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kademisainsmy.sharepoint.com/sites/ASMIT-Admin/Shared Documents/Admin/Fasiliti/STOK/"/>
    </mc:Choice>
  </mc:AlternateContent>
  <xr:revisionPtr revIDLastSave="3365" documentId="8_{C6E03FD4-30E0-4130-9713-CD021AC69ECB}" xr6:coauthVersionLast="47" xr6:coauthVersionMax="47" xr10:uidLastSave="{FFAD0487-9652-4F00-9B19-F40209317423}"/>
  <bookViews>
    <workbookView xWindow="-110" yWindow="-110" windowWidth="19420" windowHeight="10300" xr2:uid="{5E21BE10-5184-43E9-957F-F931BF983DE2}"/>
  </bookViews>
  <sheets>
    <sheet name="Report Bulanan Stok 2026" sheetId="1" r:id="rId1"/>
    <sheet name="Store ASM JTI Stocktake" sheetId="3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4" i="1" l="1"/>
  <c r="AB263" i="1"/>
  <c r="CA263" i="1"/>
  <c r="BZ263" i="1"/>
  <c r="BU263" i="1"/>
  <c r="BT263" i="1"/>
  <c r="BO263" i="1"/>
  <c r="BN263" i="1"/>
  <c r="BI263" i="1"/>
  <c r="BH263" i="1"/>
  <c r="BC263" i="1"/>
  <c r="BB263" i="1"/>
  <c r="AW263" i="1"/>
  <c r="AV263" i="1"/>
  <c r="AQ263" i="1"/>
  <c r="AP263" i="1"/>
  <c r="AK263" i="1"/>
  <c r="AJ263" i="1"/>
  <c r="AE263" i="1"/>
  <c r="AD263" i="1"/>
  <c r="BE257" i="1"/>
  <c r="CB257" i="1" s="1"/>
  <c r="CC257" i="1" s="1"/>
  <c r="BD257" i="1"/>
  <c r="AY257" i="1"/>
  <c r="BV257" i="1" s="1"/>
  <c r="AX257" i="1"/>
  <c r="AS257" i="1"/>
  <c r="BP257" i="1" s="1"/>
  <c r="AR257" i="1"/>
  <c r="AM257" i="1"/>
  <c r="BJ257" i="1" s="1"/>
  <c r="AH257" i="1"/>
  <c r="AG257" i="1"/>
  <c r="AF257" i="1"/>
  <c r="BE256" i="1"/>
  <c r="CB256" i="1" s="1"/>
  <c r="BD256" i="1"/>
  <c r="AY256" i="1"/>
  <c r="BV256" i="1" s="1"/>
  <c r="AX256" i="1"/>
  <c r="AS256" i="1"/>
  <c r="BP256" i="1" s="1"/>
  <c r="AR256" i="1"/>
  <c r="AM256" i="1"/>
  <c r="BJ256" i="1" s="1"/>
  <c r="AH256" i="1"/>
  <c r="AG256" i="1"/>
  <c r="AF256" i="1"/>
  <c r="BE255" i="1"/>
  <c r="CB255" i="1" s="1"/>
  <c r="BD255" i="1"/>
  <c r="AY255" i="1"/>
  <c r="BV255" i="1" s="1"/>
  <c r="AX255" i="1"/>
  <c r="AS255" i="1"/>
  <c r="BP255" i="1" s="1"/>
  <c r="AR255" i="1"/>
  <c r="AM255" i="1"/>
  <c r="BJ255" i="1" s="1"/>
  <c r="AH255" i="1"/>
  <c r="AG255" i="1"/>
  <c r="AF255" i="1"/>
  <c r="BE254" i="1"/>
  <c r="CB254" i="1" s="1"/>
  <c r="BD254" i="1"/>
  <c r="AY254" i="1"/>
  <c r="BV254" i="1" s="1"/>
  <c r="AX254" i="1"/>
  <c r="AS254" i="1"/>
  <c r="BP254" i="1" s="1"/>
  <c r="AR254" i="1"/>
  <c r="AM254" i="1"/>
  <c r="BJ254" i="1" s="1"/>
  <c r="AH254" i="1"/>
  <c r="AG254" i="1"/>
  <c r="AF254" i="1"/>
  <c r="BE253" i="1"/>
  <c r="CB253" i="1" s="1"/>
  <c r="BD253" i="1"/>
  <c r="AY253" i="1"/>
  <c r="BV253" i="1" s="1"/>
  <c r="AX253" i="1"/>
  <c r="AS253" i="1"/>
  <c r="BP253" i="1" s="1"/>
  <c r="AR253" i="1"/>
  <c r="AM253" i="1"/>
  <c r="BJ253" i="1" s="1"/>
  <c r="AH253" i="1"/>
  <c r="AG253" i="1"/>
  <c r="AF253" i="1"/>
  <c r="BE252" i="1"/>
  <c r="CB252" i="1" s="1"/>
  <c r="BD252" i="1"/>
  <c r="AY252" i="1"/>
  <c r="BV252" i="1" s="1"/>
  <c r="AX252" i="1"/>
  <c r="AS252" i="1"/>
  <c r="BP252" i="1" s="1"/>
  <c r="AR252" i="1"/>
  <c r="AM252" i="1"/>
  <c r="BJ252" i="1" s="1"/>
  <c r="AH252" i="1"/>
  <c r="AG252" i="1"/>
  <c r="AF252" i="1"/>
  <c r="BE251" i="1"/>
  <c r="CB251" i="1" s="1"/>
  <c r="BD251" i="1"/>
  <c r="AY251" i="1"/>
  <c r="BV251" i="1" s="1"/>
  <c r="AX251" i="1"/>
  <c r="AS251" i="1"/>
  <c r="BP251" i="1" s="1"/>
  <c r="AR251" i="1"/>
  <c r="AM251" i="1"/>
  <c r="BJ251" i="1" s="1"/>
  <c r="AH251" i="1"/>
  <c r="AG251" i="1"/>
  <c r="AF251" i="1"/>
  <c r="BE250" i="1"/>
  <c r="CB250" i="1" s="1"/>
  <c r="BD250" i="1"/>
  <c r="AY250" i="1"/>
  <c r="BV250" i="1" s="1"/>
  <c r="AX250" i="1"/>
  <c r="AS250" i="1"/>
  <c r="BP250" i="1" s="1"/>
  <c r="AR250" i="1"/>
  <c r="AM250" i="1"/>
  <c r="BJ250" i="1" s="1"/>
  <c r="AH250" i="1"/>
  <c r="AG250" i="1"/>
  <c r="AF250" i="1"/>
  <c r="BE249" i="1"/>
  <c r="CB249" i="1" s="1"/>
  <c r="BD249" i="1"/>
  <c r="AY249" i="1"/>
  <c r="BV249" i="1" s="1"/>
  <c r="AX249" i="1"/>
  <c r="AS249" i="1"/>
  <c r="BP249" i="1" s="1"/>
  <c r="AR249" i="1"/>
  <c r="AM249" i="1"/>
  <c r="BJ249" i="1" s="1"/>
  <c r="AH249" i="1"/>
  <c r="AG249" i="1"/>
  <c r="AF249" i="1"/>
  <c r="BE248" i="1"/>
  <c r="CB248" i="1" s="1"/>
  <c r="BD248" i="1"/>
  <c r="AY248" i="1"/>
  <c r="BV248" i="1" s="1"/>
  <c r="AX248" i="1"/>
  <c r="AS248" i="1"/>
  <c r="BP248" i="1" s="1"/>
  <c r="AR248" i="1"/>
  <c r="AM248" i="1"/>
  <c r="BJ248" i="1" s="1"/>
  <c r="AH248" i="1"/>
  <c r="AG248" i="1"/>
  <c r="AF248" i="1"/>
  <c r="BE247" i="1"/>
  <c r="CB247" i="1" s="1"/>
  <c r="BD247" i="1"/>
  <c r="AY247" i="1"/>
  <c r="BV247" i="1" s="1"/>
  <c r="AX247" i="1"/>
  <c r="AS247" i="1"/>
  <c r="BP247" i="1" s="1"/>
  <c r="AR247" i="1"/>
  <c r="AM247" i="1"/>
  <c r="BJ247" i="1" s="1"/>
  <c r="AH247" i="1"/>
  <c r="AG247" i="1"/>
  <c r="AF247" i="1"/>
  <c r="BE246" i="1"/>
  <c r="CB246" i="1" s="1"/>
  <c r="BD246" i="1"/>
  <c r="AY246" i="1"/>
  <c r="BV246" i="1" s="1"/>
  <c r="AX246" i="1"/>
  <c r="AS246" i="1"/>
  <c r="BP246" i="1" s="1"/>
  <c r="AR246" i="1"/>
  <c r="AM246" i="1"/>
  <c r="BJ246" i="1" s="1"/>
  <c r="AH246" i="1"/>
  <c r="AG246" i="1"/>
  <c r="AF246" i="1"/>
  <c r="BE245" i="1"/>
  <c r="CB245" i="1" s="1"/>
  <c r="BD245" i="1"/>
  <c r="AY245" i="1"/>
  <c r="BV245" i="1" s="1"/>
  <c r="AX245" i="1"/>
  <c r="AS245" i="1"/>
  <c r="BP245" i="1" s="1"/>
  <c r="AR245" i="1"/>
  <c r="AM245" i="1"/>
  <c r="BJ245" i="1" s="1"/>
  <c r="AH245" i="1"/>
  <c r="AG245" i="1"/>
  <c r="AF245" i="1"/>
  <c r="BE244" i="1"/>
  <c r="CB244" i="1" s="1"/>
  <c r="BD244" i="1"/>
  <c r="AY244" i="1"/>
  <c r="BV244" i="1" s="1"/>
  <c r="AX244" i="1"/>
  <c r="AS244" i="1"/>
  <c r="BP244" i="1" s="1"/>
  <c r="AR244" i="1"/>
  <c r="AM244" i="1"/>
  <c r="BJ244" i="1" s="1"/>
  <c r="AH244" i="1"/>
  <c r="AG244" i="1"/>
  <c r="AF244" i="1"/>
  <c r="BE243" i="1"/>
  <c r="CB243" i="1" s="1"/>
  <c r="BD243" i="1"/>
  <c r="AY243" i="1"/>
  <c r="BV243" i="1" s="1"/>
  <c r="AX243" i="1"/>
  <c r="AS243" i="1"/>
  <c r="BP243" i="1" s="1"/>
  <c r="AR243" i="1"/>
  <c r="AM243" i="1"/>
  <c r="BJ243" i="1" s="1"/>
  <c r="AH243" i="1"/>
  <c r="AG243" i="1"/>
  <c r="AF243" i="1"/>
  <c r="BE242" i="1"/>
  <c r="CB242" i="1" s="1"/>
  <c r="BD242" i="1"/>
  <c r="AY242" i="1"/>
  <c r="BV242" i="1" s="1"/>
  <c r="AX242" i="1"/>
  <c r="AS242" i="1"/>
  <c r="BP242" i="1" s="1"/>
  <c r="AR242" i="1"/>
  <c r="AM242" i="1"/>
  <c r="BJ242" i="1" s="1"/>
  <c r="AH242" i="1"/>
  <c r="AG242" i="1"/>
  <c r="AF242" i="1"/>
  <c r="BE241" i="1"/>
  <c r="CB241" i="1" s="1"/>
  <c r="BD241" i="1"/>
  <c r="AY241" i="1"/>
  <c r="BV241" i="1" s="1"/>
  <c r="AX241" i="1"/>
  <c r="AS241" i="1"/>
  <c r="BP241" i="1" s="1"/>
  <c r="AR241" i="1"/>
  <c r="AM241" i="1"/>
  <c r="BJ241" i="1" s="1"/>
  <c r="AH241" i="1"/>
  <c r="AG241" i="1"/>
  <c r="AF241" i="1"/>
  <c r="BE240" i="1"/>
  <c r="CB240" i="1" s="1"/>
  <c r="CC240" i="1" s="1"/>
  <c r="BD240" i="1"/>
  <c r="AY240" i="1"/>
  <c r="BV240" i="1" s="1"/>
  <c r="AX240" i="1"/>
  <c r="AS240" i="1"/>
  <c r="BP240" i="1" s="1"/>
  <c r="AR240" i="1"/>
  <c r="AM240" i="1"/>
  <c r="BJ240" i="1" s="1"/>
  <c r="AH240" i="1"/>
  <c r="AG240" i="1"/>
  <c r="AF240" i="1"/>
  <c r="BE239" i="1"/>
  <c r="CB239" i="1" s="1"/>
  <c r="CC239" i="1" s="1"/>
  <c r="BD239" i="1"/>
  <c r="AY239" i="1"/>
  <c r="BV239" i="1" s="1"/>
  <c r="AX239" i="1"/>
  <c r="AS239" i="1"/>
  <c r="BP239" i="1" s="1"/>
  <c r="AR239" i="1"/>
  <c r="AM239" i="1"/>
  <c r="BJ239" i="1" s="1"/>
  <c r="AH239" i="1"/>
  <c r="AG239" i="1"/>
  <c r="AF239" i="1"/>
  <c r="BE238" i="1"/>
  <c r="CB238" i="1" s="1"/>
  <c r="CC238" i="1" s="1"/>
  <c r="BD238" i="1"/>
  <c r="AY238" i="1"/>
  <c r="BV238" i="1" s="1"/>
  <c r="AX238" i="1"/>
  <c r="AS238" i="1"/>
  <c r="BP238" i="1" s="1"/>
  <c r="AR238" i="1"/>
  <c r="AM238" i="1"/>
  <c r="BJ238" i="1" s="1"/>
  <c r="AH238" i="1"/>
  <c r="AG238" i="1"/>
  <c r="AF238" i="1"/>
  <c r="BE237" i="1"/>
  <c r="CB237" i="1" s="1"/>
  <c r="CC237" i="1" s="1"/>
  <c r="BD237" i="1"/>
  <c r="AY237" i="1"/>
  <c r="BV237" i="1" s="1"/>
  <c r="AX237" i="1"/>
  <c r="AS237" i="1"/>
  <c r="BP237" i="1" s="1"/>
  <c r="AR237" i="1"/>
  <c r="AM237" i="1"/>
  <c r="BJ237" i="1" s="1"/>
  <c r="AH237" i="1"/>
  <c r="AG237" i="1"/>
  <c r="AF237" i="1"/>
  <c r="BE236" i="1"/>
  <c r="CB236" i="1" s="1"/>
  <c r="CC236" i="1" s="1"/>
  <c r="BD236" i="1"/>
  <c r="AY236" i="1"/>
  <c r="BV236" i="1" s="1"/>
  <c r="AX236" i="1"/>
  <c r="AS236" i="1"/>
  <c r="BP236" i="1" s="1"/>
  <c r="AR236" i="1"/>
  <c r="AM236" i="1"/>
  <c r="BJ236" i="1" s="1"/>
  <c r="AH236" i="1"/>
  <c r="AG236" i="1"/>
  <c r="AF236" i="1"/>
  <c r="BE235" i="1"/>
  <c r="CB235" i="1" s="1"/>
  <c r="BD235" i="1"/>
  <c r="AY235" i="1"/>
  <c r="BV235" i="1" s="1"/>
  <c r="AX235" i="1"/>
  <c r="AS235" i="1"/>
  <c r="BP235" i="1" s="1"/>
  <c r="AR235" i="1"/>
  <c r="AM235" i="1"/>
  <c r="BJ235" i="1" s="1"/>
  <c r="AH235" i="1"/>
  <c r="AG235" i="1"/>
  <c r="AF235" i="1"/>
  <c r="BE234" i="1"/>
  <c r="CB234" i="1" s="1"/>
  <c r="BD234" i="1"/>
  <c r="AY234" i="1"/>
  <c r="BV234" i="1" s="1"/>
  <c r="AX234" i="1"/>
  <c r="AS234" i="1"/>
  <c r="BP234" i="1" s="1"/>
  <c r="AR234" i="1"/>
  <c r="AM234" i="1"/>
  <c r="BJ234" i="1" s="1"/>
  <c r="AH234" i="1"/>
  <c r="AG234" i="1"/>
  <c r="AF234" i="1"/>
  <c r="BE233" i="1"/>
  <c r="CB233" i="1" s="1"/>
  <c r="BD233" i="1"/>
  <c r="AY233" i="1"/>
  <c r="BV233" i="1" s="1"/>
  <c r="AX233" i="1"/>
  <c r="AS233" i="1"/>
  <c r="BP233" i="1" s="1"/>
  <c r="AR233" i="1"/>
  <c r="AM233" i="1"/>
  <c r="BJ233" i="1" s="1"/>
  <c r="AH233" i="1"/>
  <c r="AG233" i="1"/>
  <c r="AF233" i="1"/>
  <c r="BE232" i="1"/>
  <c r="CB232" i="1" s="1"/>
  <c r="BD232" i="1"/>
  <c r="AY232" i="1"/>
  <c r="BV232" i="1" s="1"/>
  <c r="AX232" i="1"/>
  <c r="AS232" i="1"/>
  <c r="BP232" i="1" s="1"/>
  <c r="AR232" i="1"/>
  <c r="AM232" i="1"/>
  <c r="BJ232" i="1" s="1"/>
  <c r="AH232" i="1"/>
  <c r="AG232" i="1"/>
  <c r="AF232" i="1"/>
  <c r="BE231" i="1"/>
  <c r="CB231" i="1" s="1"/>
  <c r="BD231" i="1"/>
  <c r="AY231" i="1"/>
  <c r="BV231" i="1" s="1"/>
  <c r="AX231" i="1"/>
  <c r="AS231" i="1"/>
  <c r="BP231" i="1" s="1"/>
  <c r="AR231" i="1"/>
  <c r="AM231" i="1"/>
  <c r="BJ231" i="1" s="1"/>
  <c r="AH231" i="1"/>
  <c r="AG231" i="1"/>
  <c r="AF231" i="1"/>
  <c r="BE230" i="1"/>
  <c r="CB230" i="1" s="1"/>
  <c r="BD230" i="1"/>
  <c r="AY230" i="1"/>
  <c r="BV230" i="1" s="1"/>
  <c r="AX230" i="1"/>
  <c r="AS230" i="1"/>
  <c r="BP230" i="1" s="1"/>
  <c r="AR230" i="1"/>
  <c r="AM230" i="1"/>
  <c r="BJ230" i="1" s="1"/>
  <c r="AH230" i="1"/>
  <c r="AG230" i="1"/>
  <c r="AF230" i="1"/>
  <c r="BE229" i="1"/>
  <c r="CB229" i="1" s="1"/>
  <c r="BD229" i="1"/>
  <c r="AY229" i="1"/>
  <c r="BV229" i="1" s="1"/>
  <c r="AX229" i="1"/>
  <c r="AS229" i="1"/>
  <c r="BP229" i="1" s="1"/>
  <c r="AR229" i="1"/>
  <c r="AM229" i="1"/>
  <c r="BJ229" i="1" s="1"/>
  <c r="AH229" i="1"/>
  <c r="AG229" i="1"/>
  <c r="AF229" i="1"/>
  <c r="BE228" i="1"/>
  <c r="CB228" i="1" s="1"/>
  <c r="BD228" i="1"/>
  <c r="AY228" i="1"/>
  <c r="BV228" i="1" s="1"/>
  <c r="AX228" i="1"/>
  <c r="AS228" i="1"/>
  <c r="BP228" i="1" s="1"/>
  <c r="AR228" i="1"/>
  <c r="AM228" i="1"/>
  <c r="BJ228" i="1" s="1"/>
  <c r="AH228" i="1"/>
  <c r="AG228" i="1"/>
  <c r="AF228" i="1"/>
  <c r="BE227" i="1"/>
  <c r="CB227" i="1" s="1"/>
  <c r="BD227" i="1"/>
  <c r="AY227" i="1"/>
  <c r="BV227" i="1" s="1"/>
  <c r="AX227" i="1"/>
  <c r="AS227" i="1"/>
  <c r="BP227" i="1" s="1"/>
  <c r="AR227" i="1"/>
  <c r="AM227" i="1"/>
  <c r="BJ227" i="1" s="1"/>
  <c r="AH227" i="1"/>
  <c r="AG227" i="1"/>
  <c r="AF227" i="1"/>
  <c r="BE226" i="1"/>
  <c r="CB226" i="1" s="1"/>
  <c r="BD226" i="1"/>
  <c r="AY226" i="1"/>
  <c r="BV226" i="1" s="1"/>
  <c r="AX226" i="1"/>
  <c r="AS226" i="1"/>
  <c r="BP226" i="1" s="1"/>
  <c r="AR226" i="1"/>
  <c r="AM226" i="1"/>
  <c r="BJ226" i="1" s="1"/>
  <c r="AH226" i="1"/>
  <c r="AG226" i="1"/>
  <c r="AF226" i="1"/>
  <c r="BE225" i="1"/>
  <c r="CB225" i="1" s="1"/>
  <c r="BD225" i="1"/>
  <c r="AY225" i="1"/>
  <c r="BV225" i="1" s="1"/>
  <c r="AX225" i="1"/>
  <c r="AS225" i="1"/>
  <c r="BP225" i="1" s="1"/>
  <c r="AR225" i="1"/>
  <c r="AM225" i="1"/>
  <c r="BJ225" i="1" s="1"/>
  <c r="AH225" i="1"/>
  <c r="AG225" i="1"/>
  <c r="AF225" i="1"/>
  <c r="BE224" i="1"/>
  <c r="CB224" i="1" s="1"/>
  <c r="BD224" i="1"/>
  <c r="AY224" i="1"/>
  <c r="BV224" i="1" s="1"/>
  <c r="AX224" i="1"/>
  <c r="AS224" i="1"/>
  <c r="BP224" i="1" s="1"/>
  <c r="AR224" i="1"/>
  <c r="AM224" i="1"/>
  <c r="BJ224" i="1" s="1"/>
  <c r="AH224" i="1"/>
  <c r="AG224" i="1"/>
  <c r="AF224" i="1"/>
  <c r="BE223" i="1"/>
  <c r="CB223" i="1" s="1"/>
  <c r="BD223" i="1"/>
  <c r="AY223" i="1"/>
  <c r="BV223" i="1" s="1"/>
  <c r="AX223" i="1"/>
  <c r="AS223" i="1"/>
  <c r="BP223" i="1" s="1"/>
  <c r="AR223" i="1"/>
  <c r="AM223" i="1"/>
  <c r="BJ223" i="1" s="1"/>
  <c r="AH223" i="1"/>
  <c r="AG223" i="1"/>
  <c r="AF223" i="1"/>
  <c r="BE222" i="1"/>
  <c r="CB222" i="1" s="1"/>
  <c r="BD222" i="1"/>
  <c r="AY222" i="1"/>
  <c r="BV222" i="1" s="1"/>
  <c r="AX222" i="1"/>
  <c r="AS222" i="1"/>
  <c r="BP222" i="1" s="1"/>
  <c r="AR222" i="1"/>
  <c r="AM222" i="1"/>
  <c r="BJ222" i="1" s="1"/>
  <c r="AH222" i="1"/>
  <c r="AG222" i="1"/>
  <c r="AF222" i="1"/>
  <c r="BE221" i="1"/>
  <c r="CB221" i="1" s="1"/>
  <c r="BD221" i="1"/>
  <c r="AY221" i="1"/>
  <c r="BV221" i="1" s="1"/>
  <c r="AX221" i="1"/>
  <c r="AS221" i="1"/>
  <c r="BP221" i="1" s="1"/>
  <c r="AR221" i="1"/>
  <c r="AM221" i="1"/>
  <c r="BJ221" i="1" s="1"/>
  <c r="AH221" i="1"/>
  <c r="AG221" i="1"/>
  <c r="AF221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L263" i="1"/>
  <c r="M263" i="1"/>
  <c r="R263" i="1"/>
  <c r="S263" i="1"/>
  <c r="V263" i="1"/>
  <c r="X263" i="1"/>
  <c r="Y263" i="1"/>
  <c r="AT265" i="1"/>
  <c r="AT216" i="3"/>
  <c r="I215" i="3"/>
  <c r="CA214" i="3"/>
  <c r="BZ214" i="3"/>
  <c r="BU214" i="3"/>
  <c r="BT214" i="3"/>
  <c r="BO214" i="3"/>
  <c r="BN214" i="3"/>
  <c r="BI214" i="3"/>
  <c r="BH214" i="3"/>
  <c r="BC214" i="3"/>
  <c r="BB214" i="3"/>
  <c r="AW214" i="3"/>
  <c r="AV214" i="3"/>
  <c r="AQ214" i="3"/>
  <c r="AP214" i="3"/>
  <c r="AK214" i="3"/>
  <c r="AJ214" i="3"/>
  <c r="AE214" i="3"/>
  <c r="AD214" i="3"/>
  <c r="AB214" i="3"/>
  <c r="Y214" i="3"/>
  <c r="X214" i="3"/>
  <c r="V214" i="3"/>
  <c r="S214" i="3"/>
  <c r="R214" i="3"/>
  <c r="M214" i="3"/>
  <c r="L214" i="3"/>
  <c r="BD214" i="3"/>
  <c r="AS214" i="3"/>
  <c r="AC214" i="3"/>
  <c r="BD6" i="1"/>
  <c r="BE6" i="1"/>
  <c r="BD7" i="1"/>
  <c r="BE7" i="1"/>
  <c r="BD8" i="1"/>
  <c r="BE8" i="1"/>
  <c r="BD9" i="1"/>
  <c r="BE9" i="1"/>
  <c r="BD10" i="1"/>
  <c r="BE10" i="1"/>
  <c r="BD11" i="1"/>
  <c r="BE11" i="1"/>
  <c r="BD12" i="1"/>
  <c r="BE12" i="1"/>
  <c r="BD13" i="1"/>
  <c r="BE13" i="1"/>
  <c r="BD14" i="1"/>
  <c r="BE14" i="1"/>
  <c r="BD15" i="1"/>
  <c r="BE15" i="1"/>
  <c r="BD16" i="1"/>
  <c r="BE16" i="1"/>
  <c r="BD17" i="1"/>
  <c r="BE17" i="1"/>
  <c r="BD18" i="1"/>
  <c r="BE18" i="1"/>
  <c r="BD20" i="1"/>
  <c r="BE20" i="1"/>
  <c r="BD21" i="1"/>
  <c r="BE21" i="1"/>
  <c r="BD22" i="1"/>
  <c r="BE22" i="1"/>
  <c r="BD23" i="1"/>
  <c r="BE23" i="1"/>
  <c r="BD24" i="1"/>
  <c r="BE24" i="1"/>
  <c r="BD25" i="1"/>
  <c r="BE25" i="1"/>
  <c r="BD26" i="1"/>
  <c r="BE26" i="1"/>
  <c r="BD27" i="1"/>
  <c r="BE27" i="1"/>
  <c r="BD28" i="1"/>
  <c r="BE28" i="1"/>
  <c r="BD29" i="1"/>
  <c r="BE29" i="1"/>
  <c r="BD30" i="1"/>
  <c r="BE30" i="1"/>
  <c r="BD31" i="1"/>
  <c r="BE31" i="1"/>
  <c r="BD32" i="1"/>
  <c r="BE32" i="1"/>
  <c r="BD33" i="1"/>
  <c r="BE33" i="1"/>
  <c r="BD34" i="1"/>
  <c r="BE34" i="1"/>
  <c r="BD35" i="1"/>
  <c r="BE35" i="1"/>
  <c r="BD36" i="1"/>
  <c r="BE36" i="1"/>
  <c r="BD37" i="1"/>
  <c r="BE37" i="1"/>
  <c r="BD38" i="1"/>
  <c r="BE38" i="1"/>
  <c r="BD39" i="1"/>
  <c r="BE39" i="1"/>
  <c r="BD40" i="1"/>
  <c r="BE40" i="1"/>
  <c r="BD41" i="1"/>
  <c r="BE41" i="1"/>
  <c r="BD42" i="1"/>
  <c r="BE42" i="1"/>
  <c r="BD43" i="1"/>
  <c r="BE43" i="1"/>
  <c r="BD44" i="1"/>
  <c r="BE44" i="1"/>
  <c r="BD45" i="1"/>
  <c r="BE45" i="1"/>
  <c r="BD46" i="1"/>
  <c r="BE46" i="1"/>
  <c r="BD47" i="1"/>
  <c r="BE47" i="1"/>
  <c r="BD48" i="1"/>
  <c r="BE48" i="1"/>
  <c r="BD49" i="1"/>
  <c r="BE49" i="1"/>
  <c r="BD50" i="1"/>
  <c r="BE50" i="1"/>
  <c r="BD51" i="1"/>
  <c r="BE51" i="1"/>
  <c r="BD52" i="1"/>
  <c r="BE52" i="1"/>
  <c r="BD53" i="1"/>
  <c r="BE53" i="1"/>
  <c r="BD54" i="1"/>
  <c r="BE54" i="1"/>
  <c r="BD55" i="1"/>
  <c r="BE55" i="1"/>
  <c r="BD56" i="1"/>
  <c r="BE56" i="1"/>
  <c r="BD57" i="1"/>
  <c r="BE57" i="1"/>
  <c r="BD58" i="1"/>
  <c r="BE58" i="1"/>
  <c r="BD59" i="1"/>
  <c r="BE59" i="1"/>
  <c r="BD60" i="1"/>
  <c r="BE60" i="1"/>
  <c r="BD61" i="1"/>
  <c r="BE61" i="1"/>
  <c r="BD62" i="1"/>
  <c r="BE62" i="1"/>
  <c r="BD63" i="1"/>
  <c r="BE63" i="1"/>
  <c r="BD64" i="1"/>
  <c r="BE64" i="1"/>
  <c r="BD65" i="1"/>
  <c r="BE65" i="1"/>
  <c r="BD66" i="1"/>
  <c r="BE66" i="1"/>
  <c r="BD67" i="1"/>
  <c r="BE67" i="1"/>
  <c r="BD68" i="1"/>
  <c r="BE68" i="1"/>
  <c r="BD69" i="1"/>
  <c r="BE69" i="1"/>
  <c r="BD70" i="1"/>
  <c r="BE70" i="1"/>
  <c r="BD71" i="1"/>
  <c r="BE71" i="1"/>
  <c r="BD72" i="1"/>
  <c r="BE72" i="1"/>
  <c r="BD73" i="1"/>
  <c r="BE73" i="1"/>
  <c r="BD74" i="1"/>
  <c r="BE74" i="1"/>
  <c r="BD75" i="1"/>
  <c r="BE75" i="1"/>
  <c r="BD76" i="1"/>
  <c r="BE76" i="1"/>
  <c r="BD77" i="1"/>
  <c r="BE77" i="1"/>
  <c r="BD78" i="1"/>
  <c r="BE78" i="1"/>
  <c r="BD79" i="1"/>
  <c r="BE79" i="1"/>
  <c r="BD80" i="1"/>
  <c r="BE80" i="1"/>
  <c r="BD81" i="1"/>
  <c r="BE81" i="1"/>
  <c r="BD82" i="1"/>
  <c r="BE82" i="1"/>
  <c r="BD83" i="1"/>
  <c r="BE83" i="1"/>
  <c r="BD84" i="1"/>
  <c r="BE84" i="1"/>
  <c r="BD85" i="1"/>
  <c r="BE85" i="1"/>
  <c r="BD86" i="1"/>
  <c r="BE86" i="1"/>
  <c r="BD87" i="1"/>
  <c r="BE87" i="1"/>
  <c r="BD88" i="1"/>
  <c r="BE88" i="1"/>
  <c r="BD89" i="1"/>
  <c r="BE89" i="1"/>
  <c r="BD90" i="1"/>
  <c r="BE90" i="1"/>
  <c r="BD91" i="1"/>
  <c r="BE91" i="1"/>
  <c r="BD92" i="1"/>
  <c r="BE92" i="1"/>
  <c r="BD93" i="1"/>
  <c r="BE93" i="1"/>
  <c r="BD94" i="1"/>
  <c r="BE94" i="1"/>
  <c r="BD95" i="1"/>
  <c r="BE95" i="1"/>
  <c r="BD96" i="1"/>
  <c r="BE96" i="1"/>
  <c r="BD97" i="1"/>
  <c r="BE97" i="1"/>
  <c r="BD98" i="1"/>
  <c r="BE98" i="1"/>
  <c r="BD99" i="1"/>
  <c r="BE99" i="1"/>
  <c r="BD100" i="1"/>
  <c r="BE100" i="1"/>
  <c r="BD101" i="1"/>
  <c r="BE101" i="1"/>
  <c r="BD102" i="1"/>
  <c r="BE102" i="1"/>
  <c r="BD103" i="1"/>
  <c r="BE103" i="1"/>
  <c r="BD104" i="1"/>
  <c r="BE104" i="1"/>
  <c r="BD105" i="1"/>
  <c r="BE105" i="1"/>
  <c r="BD106" i="1"/>
  <c r="BE106" i="1"/>
  <c r="BD107" i="1"/>
  <c r="BE107" i="1"/>
  <c r="BD108" i="1"/>
  <c r="BE108" i="1"/>
  <c r="BD109" i="1"/>
  <c r="BE109" i="1"/>
  <c r="BD110" i="1"/>
  <c r="BE110" i="1"/>
  <c r="BD111" i="1"/>
  <c r="BE111" i="1"/>
  <c r="BD112" i="1"/>
  <c r="BE112" i="1"/>
  <c r="BD113" i="1"/>
  <c r="BE113" i="1"/>
  <c r="BD114" i="1"/>
  <c r="BE114" i="1"/>
  <c r="BD115" i="1"/>
  <c r="BE115" i="1"/>
  <c r="BD116" i="1"/>
  <c r="BE116" i="1"/>
  <c r="BD117" i="1"/>
  <c r="BE117" i="1"/>
  <c r="BD118" i="1"/>
  <c r="BE118" i="1"/>
  <c r="BD119" i="1"/>
  <c r="BE119" i="1"/>
  <c r="BD120" i="1"/>
  <c r="BE120" i="1"/>
  <c r="BD121" i="1"/>
  <c r="BE121" i="1"/>
  <c r="BD122" i="1"/>
  <c r="BE122" i="1"/>
  <c r="BD123" i="1"/>
  <c r="BE123" i="1"/>
  <c r="BD124" i="1"/>
  <c r="BE124" i="1"/>
  <c r="BD125" i="1"/>
  <c r="BE125" i="1"/>
  <c r="BD126" i="1"/>
  <c r="BE126" i="1"/>
  <c r="BD127" i="1"/>
  <c r="BE127" i="1"/>
  <c r="BD128" i="1"/>
  <c r="BE128" i="1"/>
  <c r="BD129" i="1"/>
  <c r="BE129" i="1"/>
  <c r="BD130" i="1"/>
  <c r="BE130" i="1"/>
  <c r="BD131" i="1"/>
  <c r="BE131" i="1"/>
  <c r="BD132" i="1"/>
  <c r="BE132" i="1"/>
  <c r="BD133" i="1"/>
  <c r="BE133" i="1"/>
  <c r="BD134" i="1"/>
  <c r="BE134" i="1"/>
  <c r="BD135" i="1"/>
  <c r="BE135" i="1"/>
  <c r="BD136" i="1"/>
  <c r="BE136" i="1"/>
  <c r="BD137" i="1"/>
  <c r="BE137" i="1"/>
  <c r="BD138" i="1"/>
  <c r="BE138" i="1"/>
  <c r="BD139" i="1"/>
  <c r="BE139" i="1"/>
  <c r="BD140" i="1"/>
  <c r="BE140" i="1"/>
  <c r="BD141" i="1"/>
  <c r="BE141" i="1"/>
  <c r="BD142" i="1"/>
  <c r="BE142" i="1"/>
  <c r="BD143" i="1"/>
  <c r="BE143" i="1"/>
  <c r="BD144" i="1"/>
  <c r="BE144" i="1"/>
  <c r="BD145" i="1"/>
  <c r="BE145" i="1"/>
  <c r="BD146" i="1"/>
  <c r="BE146" i="1"/>
  <c r="BD147" i="1"/>
  <c r="BE147" i="1"/>
  <c r="BD148" i="1"/>
  <c r="BE148" i="1"/>
  <c r="BD149" i="1"/>
  <c r="BE149" i="1"/>
  <c r="BD150" i="1"/>
  <c r="BE150" i="1"/>
  <c r="BD151" i="1"/>
  <c r="BE151" i="1"/>
  <c r="BD152" i="1"/>
  <c r="BE152" i="1"/>
  <c r="BD153" i="1"/>
  <c r="BE153" i="1"/>
  <c r="BD154" i="1"/>
  <c r="BE154" i="1"/>
  <c r="BD155" i="1"/>
  <c r="BE155" i="1"/>
  <c r="BD156" i="1"/>
  <c r="BE156" i="1"/>
  <c r="BD157" i="1"/>
  <c r="BE157" i="1"/>
  <c r="BD158" i="1"/>
  <c r="BE158" i="1"/>
  <c r="BD159" i="1"/>
  <c r="BE159" i="1"/>
  <c r="BD160" i="1"/>
  <c r="BE160" i="1"/>
  <c r="BD161" i="1"/>
  <c r="BE161" i="1"/>
  <c r="BD162" i="1"/>
  <c r="BE162" i="1"/>
  <c r="BD163" i="1"/>
  <c r="BE163" i="1"/>
  <c r="BD164" i="1"/>
  <c r="BE164" i="1"/>
  <c r="BD165" i="1"/>
  <c r="BE165" i="1"/>
  <c r="BD166" i="1"/>
  <c r="BE166" i="1"/>
  <c r="BD167" i="1"/>
  <c r="BE167" i="1"/>
  <c r="BD168" i="1"/>
  <c r="BE168" i="1"/>
  <c r="BD169" i="1"/>
  <c r="BE169" i="1"/>
  <c r="BD170" i="1"/>
  <c r="BE170" i="1"/>
  <c r="BD171" i="1"/>
  <c r="BE171" i="1"/>
  <c r="BD172" i="1"/>
  <c r="BE172" i="1"/>
  <c r="BD173" i="1"/>
  <c r="BE173" i="1"/>
  <c r="BD174" i="1"/>
  <c r="BE174" i="1"/>
  <c r="BD175" i="1"/>
  <c r="BE175" i="1"/>
  <c r="BD176" i="1"/>
  <c r="BE176" i="1"/>
  <c r="BD177" i="1"/>
  <c r="BE177" i="1"/>
  <c r="BD178" i="1"/>
  <c r="BE178" i="1"/>
  <c r="BD179" i="1"/>
  <c r="BE179" i="1"/>
  <c r="BD180" i="1"/>
  <c r="BE180" i="1"/>
  <c r="BD181" i="1"/>
  <c r="BE181" i="1"/>
  <c r="BD182" i="1"/>
  <c r="BE182" i="1"/>
  <c r="BD183" i="1"/>
  <c r="BE183" i="1"/>
  <c r="BD184" i="1"/>
  <c r="BE184" i="1"/>
  <c r="BD185" i="1"/>
  <c r="BE185" i="1"/>
  <c r="BD186" i="1"/>
  <c r="BE186" i="1"/>
  <c r="BD187" i="1"/>
  <c r="BE187" i="1"/>
  <c r="BD188" i="1"/>
  <c r="BE188" i="1"/>
  <c r="BD189" i="1"/>
  <c r="BE189" i="1"/>
  <c r="BD190" i="1"/>
  <c r="BE190" i="1"/>
  <c r="BD191" i="1"/>
  <c r="BE191" i="1"/>
  <c r="BD192" i="1"/>
  <c r="BE192" i="1"/>
  <c r="BD193" i="1"/>
  <c r="BE193" i="1"/>
  <c r="BD194" i="1"/>
  <c r="BE194" i="1"/>
  <c r="BD195" i="1"/>
  <c r="BE195" i="1"/>
  <c r="BD196" i="1"/>
  <c r="BE196" i="1"/>
  <c r="BD197" i="1"/>
  <c r="BE197" i="1"/>
  <c r="BD198" i="1"/>
  <c r="BE198" i="1"/>
  <c r="BD199" i="1"/>
  <c r="BE199" i="1"/>
  <c r="BD200" i="1"/>
  <c r="BE200" i="1"/>
  <c r="BD201" i="1"/>
  <c r="BE201" i="1"/>
  <c r="BD202" i="1"/>
  <c r="BE202" i="1"/>
  <c r="BD203" i="1"/>
  <c r="BE203" i="1"/>
  <c r="BD204" i="1"/>
  <c r="BE204" i="1"/>
  <c r="BD205" i="1"/>
  <c r="BE205" i="1"/>
  <c r="BD206" i="1"/>
  <c r="BE206" i="1"/>
  <c r="BD207" i="1"/>
  <c r="BE207" i="1"/>
  <c r="BD208" i="1"/>
  <c r="BE208" i="1"/>
  <c r="BD209" i="1"/>
  <c r="BE209" i="1"/>
  <c r="BD210" i="1"/>
  <c r="BE210" i="1"/>
  <c r="BD211" i="1"/>
  <c r="BE211" i="1"/>
  <c r="BD212" i="1"/>
  <c r="BE212" i="1"/>
  <c r="BD213" i="1"/>
  <c r="BE213" i="1"/>
  <c r="BD214" i="1"/>
  <c r="BE214" i="1"/>
  <c r="BD215" i="1"/>
  <c r="BE215" i="1"/>
  <c r="BD216" i="1"/>
  <c r="BE216" i="1"/>
  <c r="BD217" i="1"/>
  <c r="BE217" i="1"/>
  <c r="BD218" i="1"/>
  <c r="BE218" i="1"/>
  <c r="BD219" i="1"/>
  <c r="BE219" i="1"/>
  <c r="BD220" i="1"/>
  <c r="BE220" i="1"/>
  <c r="AX6" i="1"/>
  <c r="AY6" i="1"/>
  <c r="AX7" i="1"/>
  <c r="AY7" i="1"/>
  <c r="AX8" i="1"/>
  <c r="AY8" i="1"/>
  <c r="AX9" i="1"/>
  <c r="AY9" i="1"/>
  <c r="AX10" i="1"/>
  <c r="AY10" i="1"/>
  <c r="AX11" i="1"/>
  <c r="AY11" i="1"/>
  <c r="AX12" i="1"/>
  <c r="AY12" i="1"/>
  <c r="AX13" i="1"/>
  <c r="AY13" i="1"/>
  <c r="AX14" i="1"/>
  <c r="AY14" i="1"/>
  <c r="AX15" i="1"/>
  <c r="AY15" i="1"/>
  <c r="AX16" i="1"/>
  <c r="AY16" i="1"/>
  <c r="AX17" i="1"/>
  <c r="AY17" i="1"/>
  <c r="AX18" i="1"/>
  <c r="AY18" i="1"/>
  <c r="AX20" i="1"/>
  <c r="AY20" i="1"/>
  <c r="AX21" i="1"/>
  <c r="AY21" i="1"/>
  <c r="AX22" i="1"/>
  <c r="AY22" i="1"/>
  <c r="AX23" i="1"/>
  <c r="AY23" i="1"/>
  <c r="AX24" i="1"/>
  <c r="AY24" i="1"/>
  <c r="AX25" i="1"/>
  <c r="AY25" i="1"/>
  <c r="AX26" i="1"/>
  <c r="AY26" i="1"/>
  <c r="AX27" i="1"/>
  <c r="AY27" i="1"/>
  <c r="AX28" i="1"/>
  <c r="AY28" i="1"/>
  <c r="AX29" i="1"/>
  <c r="AY29" i="1"/>
  <c r="AX30" i="1"/>
  <c r="AY30" i="1"/>
  <c r="AX31" i="1"/>
  <c r="AY31" i="1"/>
  <c r="AX32" i="1"/>
  <c r="AY32" i="1"/>
  <c r="AX33" i="1"/>
  <c r="AY33" i="1"/>
  <c r="AX34" i="1"/>
  <c r="AY34" i="1"/>
  <c r="AX35" i="1"/>
  <c r="AY35" i="1"/>
  <c r="AX36" i="1"/>
  <c r="AY36" i="1"/>
  <c r="AX37" i="1"/>
  <c r="AY37" i="1"/>
  <c r="AX38" i="1"/>
  <c r="AY38" i="1"/>
  <c r="AX39" i="1"/>
  <c r="AY39" i="1"/>
  <c r="AX40" i="1"/>
  <c r="AY40" i="1"/>
  <c r="AX41" i="1"/>
  <c r="AY41" i="1"/>
  <c r="AX42" i="1"/>
  <c r="AY42" i="1"/>
  <c r="AX43" i="1"/>
  <c r="AY43" i="1"/>
  <c r="AX44" i="1"/>
  <c r="AY44" i="1"/>
  <c r="AX45" i="1"/>
  <c r="AY45" i="1"/>
  <c r="AX46" i="1"/>
  <c r="AY46" i="1"/>
  <c r="AX47" i="1"/>
  <c r="AY47" i="1"/>
  <c r="AX48" i="1"/>
  <c r="AY48" i="1"/>
  <c r="AX49" i="1"/>
  <c r="AY49" i="1"/>
  <c r="AX50" i="1"/>
  <c r="AY50" i="1"/>
  <c r="AX51" i="1"/>
  <c r="AY51" i="1"/>
  <c r="AX52" i="1"/>
  <c r="AY52" i="1"/>
  <c r="AX53" i="1"/>
  <c r="AY53" i="1"/>
  <c r="AX54" i="1"/>
  <c r="AY54" i="1"/>
  <c r="AX55" i="1"/>
  <c r="AY55" i="1"/>
  <c r="AX56" i="1"/>
  <c r="AY56" i="1"/>
  <c r="AX57" i="1"/>
  <c r="AY57" i="1"/>
  <c r="AX58" i="1"/>
  <c r="AY58" i="1"/>
  <c r="AX59" i="1"/>
  <c r="AY59" i="1"/>
  <c r="AX60" i="1"/>
  <c r="AY60" i="1"/>
  <c r="AX61" i="1"/>
  <c r="AY61" i="1"/>
  <c r="AX62" i="1"/>
  <c r="AY62" i="1"/>
  <c r="AX63" i="1"/>
  <c r="AY63" i="1"/>
  <c r="AX64" i="1"/>
  <c r="AY64" i="1"/>
  <c r="AX65" i="1"/>
  <c r="AY65" i="1"/>
  <c r="AX66" i="1"/>
  <c r="AY66" i="1"/>
  <c r="AX67" i="1"/>
  <c r="AY67" i="1"/>
  <c r="AX68" i="1"/>
  <c r="AY68" i="1"/>
  <c r="AX69" i="1"/>
  <c r="AY69" i="1"/>
  <c r="AX70" i="1"/>
  <c r="AY70" i="1"/>
  <c r="AX71" i="1"/>
  <c r="AY71" i="1"/>
  <c r="AX72" i="1"/>
  <c r="AY72" i="1"/>
  <c r="AX73" i="1"/>
  <c r="AY73" i="1"/>
  <c r="AX74" i="1"/>
  <c r="AY74" i="1"/>
  <c r="AX75" i="1"/>
  <c r="AY75" i="1"/>
  <c r="AX76" i="1"/>
  <c r="AY76" i="1"/>
  <c r="AX77" i="1"/>
  <c r="AY77" i="1"/>
  <c r="AX78" i="1"/>
  <c r="AY78" i="1"/>
  <c r="AX79" i="1"/>
  <c r="AY79" i="1"/>
  <c r="AX80" i="1"/>
  <c r="AY80" i="1"/>
  <c r="AX81" i="1"/>
  <c r="AY81" i="1"/>
  <c r="AX82" i="1"/>
  <c r="AY82" i="1"/>
  <c r="AX83" i="1"/>
  <c r="AY83" i="1"/>
  <c r="AX84" i="1"/>
  <c r="AY84" i="1"/>
  <c r="AX85" i="1"/>
  <c r="AY85" i="1"/>
  <c r="AX86" i="1"/>
  <c r="AY86" i="1"/>
  <c r="AX87" i="1"/>
  <c r="AY87" i="1"/>
  <c r="AX88" i="1"/>
  <c r="AY88" i="1"/>
  <c r="AX89" i="1"/>
  <c r="AY89" i="1"/>
  <c r="AX90" i="1"/>
  <c r="AY90" i="1"/>
  <c r="AX91" i="1"/>
  <c r="AY91" i="1"/>
  <c r="AX92" i="1"/>
  <c r="AY92" i="1"/>
  <c r="AX93" i="1"/>
  <c r="AY93" i="1"/>
  <c r="AX94" i="1"/>
  <c r="AY94" i="1"/>
  <c r="AX95" i="1"/>
  <c r="AY95" i="1"/>
  <c r="AX96" i="1"/>
  <c r="AY96" i="1"/>
  <c r="AX97" i="1"/>
  <c r="AY97" i="1"/>
  <c r="AX98" i="1"/>
  <c r="AY98" i="1"/>
  <c r="AX99" i="1"/>
  <c r="AY99" i="1"/>
  <c r="AX100" i="1"/>
  <c r="AY100" i="1"/>
  <c r="AX101" i="1"/>
  <c r="AY101" i="1"/>
  <c r="AX102" i="1"/>
  <c r="AY102" i="1"/>
  <c r="AX103" i="1"/>
  <c r="AY103" i="1"/>
  <c r="AX104" i="1"/>
  <c r="AY104" i="1"/>
  <c r="AX105" i="1"/>
  <c r="AY105" i="1"/>
  <c r="AX106" i="1"/>
  <c r="AY106" i="1"/>
  <c r="AX107" i="1"/>
  <c r="AY107" i="1"/>
  <c r="AX108" i="1"/>
  <c r="AY108" i="1"/>
  <c r="AX109" i="1"/>
  <c r="AY109" i="1"/>
  <c r="AX110" i="1"/>
  <c r="AY110" i="1"/>
  <c r="AX111" i="1"/>
  <c r="AY111" i="1"/>
  <c r="AX112" i="1"/>
  <c r="AY112" i="1"/>
  <c r="AX113" i="1"/>
  <c r="AY113" i="1"/>
  <c r="AX114" i="1"/>
  <c r="AY114" i="1"/>
  <c r="AX115" i="1"/>
  <c r="AY115" i="1"/>
  <c r="AX116" i="1"/>
  <c r="AY116" i="1"/>
  <c r="AX117" i="1"/>
  <c r="AY117" i="1"/>
  <c r="AX118" i="1"/>
  <c r="AY118" i="1"/>
  <c r="AX119" i="1"/>
  <c r="AY119" i="1"/>
  <c r="AX120" i="1"/>
  <c r="AY120" i="1"/>
  <c r="AX121" i="1"/>
  <c r="AY121" i="1"/>
  <c r="AX122" i="1"/>
  <c r="AY122" i="1"/>
  <c r="AX123" i="1"/>
  <c r="AY123" i="1"/>
  <c r="AX124" i="1"/>
  <c r="AY124" i="1"/>
  <c r="AX125" i="1"/>
  <c r="AY125" i="1"/>
  <c r="AX126" i="1"/>
  <c r="AY126" i="1"/>
  <c r="AX127" i="1"/>
  <c r="AY127" i="1"/>
  <c r="AX128" i="1"/>
  <c r="AY128" i="1"/>
  <c r="AX129" i="1"/>
  <c r="AY129" i="1"/>
  <c r="AX130" i="1"/>
  <c r="AY130" i="1"/>
  <c r="AX131" i="1"/>
  <c r="AY131" i="1"/>
  <c r="AX132" i="1"/>
  <c r="AY132" i="1"/>
  <c r="AX133" i="1"/>
  <c r="AY133" i="1"/>
  <c r="AX134" i="1"/>
  <c r="AY134" i="1"/>
  <c r="AX135" i="1"/>
  <c r="AY135" i="1"/>
  <c r="AX136" i="1"/>
  <c r="AY136" i="1"/>
  <c r="AX137" i="1"/>
  <c r="AY137" i="1"/>
  <c r="AX138" i="1"/>
  <c r="AY138" i="1"/>
  <c r="AX139" i="1"/>
  <c r="AY139" i="1"/>
  <c r="AX140" i="1"/>
  <c r="AY140" i="1"/>
  <c r="AX141" i="1"/>
  <c r="AY141" i="1"/>
  <c r="AX142" i="1"/>
  <c r="AY142" i="1"/>
  <c r="AX143" i="1"/>
  <c r="AY143" i="1"/>
  <c r="AX144" i="1"/>
  <c r="AY144" i="1"/>
  <c r="AX145" i="1"/>
  <c r="AY145" i="1"/>
  <c r="AX146" i="1"/>
  <c r="AY146" i="1"/>
  <c r="AX147" i="1"/>
  <c r="AY147" i="1"/>
  <c r="AX148" i="1"/>
  <c r="AY148" i="1"/>
  <c r="AX149" i="1"/>
  <c r="AY149" i="1"/>
  <c r="AX150" i="1"/>
  <c r="AY150" i="1"/>
  <c r="AX151" i="1"/>
  <c r="AY151" i="1"/>
  <c r="AX152" i="1"/>
  <c r="AY152" i="1"/>
  <c r="AX153" i="1"/>
  <c r="AY153" i="1"/>
  <c r="AX154" i="1"/>
  <c r="AY154" i="1"/>
  <c r="AX155" i="1"/>
  <c r="AY155" i="1"/>
  <c r="AX156" i="1"/>
  <c r="AY156" i="1"/>
  <c r="AX157" i="1"/>
  <c r="AY157" i="1"/>
  <c r="AX158" i="1"/>
  <c r="AY158" i="1"/>
  <c r="AX159" i="1"/>
  <c r="AY159" i="1"/>
  <c r="AX160" i="1"/>
  <c r="AY160" i="1"/>
  <c r="AX161" i="1"/>
  <c r="AY161" i="1"/>
  <c r="AX162" i="1"/>
  <c r="AY162" i="1"/>
  <c r="AX163" i="1"/>
  <c r="AY163" i="1"/>
  <c r="AX164" i="1"/>
  <c r="AY164" i="1"/>
  <c r="AX165" i="1"/>
  <c r="AY165" i="1"/>
  <c r="AX166" i="1"/>
  <c r="AY166" i="1"/>
  <c r="AX167" i="1"/>
  <c r="AY167" i="1"/>
  <c r="AX168" i="1"/>
  <c r="AY168" i="1"/>
  <c r="AX169" i="1"/>
  <c r="AY169" i="1"/>
  <c r="AX170" i="1"/>
  <c r="AY170" i="1"/>
  <c r="AX171" i="1"/>
  <c r="AY171" i="1"/>
  <c r="AX172" i="1"/>
  <c r="AY172" i="1"/>
  <c r="AX173" i="1"/>
  <c r="AY173" i="1"/>
  <c r="AX174" i="1"/>
  <c r="AY174" i="1"/>
  <c r="AX175" i="1"/>
  <c r="AY175" i="1"/>
  <c r="AX176" i="1"/>
  <c r="AY176" i="1"/>
  <c r="AX177" i="1"/>
  <c r="AY177" i="1"/>
  <c r="AX178" i="1"/>
  <c r="AY178" i="1"/>
  <c r="AX179" i="1"/>
  <c r="AY179" i="1"/>
  <c r="AX180" i="1"/>
  <c r="AY180" i="1"/>
  <c r="AX181" i="1"/>
  <c r="AY181" i="1"/>
  <c r="AX182" i="1"/>
  <c r="AY182" i="1"/>
  <c r="AX183" i="1"/>
  <c r="AY183" i="1"/>
  <c r="AX184" i="1"/>
  <c r="AY184" i="1"/>
  <c r="AX185" i="1"/>
  <c r="AY185" i="1"/>
  <c r="AX186" i="1"/>
  <c r="AY186" i="1"/>
  <c r="AX187" i="1"/>
  <c r="AY187" i="1"/>
  <c r="AX188" i="1"/>
  <c r="AY188" i="1"/>
  <c r="AX189" i="1"/>
  <c r="AY189" i="1"/>
  <c r="AX190" i="1"/>
  <c r="AY190" i="1"/>
  <c r="AX191" i="1"/>
  <c r="AY191" i="1"/>
  <c r="AX192" i="1"/>
  <c r="AY192" i="1"/>
  <c r="AX193" i="1"/>
  <c r="AY193" i="1"/>
  <c r="AX194" i="1"/>
  <c r="AY194" i="1"/>
  <c r="AX195" i="1"/>
  <c r="AY195" i="1"/>
  <c r="AX196" i="1"/>
  <c r="AY196" i="1"/>
  <c r="AX197" i="1"/>
  <c r="AY197" i="1"/>
  <c r="AX198" i="1"/>
  <c r="AY198" i="1"/>
  <c r="AX199" i="1"/>
  <c r="AY199" i="1"/>
  <c r="AX200" i="1"/>
  <c r="AY200" i="1"/>
  <c r="AX201" i="1"/>
  <c r="AY201" i="1"/>
  <c r="AX202" i="1"/>
  <c r="AY202" i="1"/>
  <c r="AX203" i="1"/>
  <c r="AY203" i="1"/>
  <c r="AX204" i="1"/>
  <c r="AY204" i="1"/>
  <c r="AX205" i="1"/>
  <c r="AY205" i="1"/>
  <c r="AX206" i="1"/>
  <c r="AY206" i="1"/>
  <c r="AX207" i="1"/>
  <c r="AY207" i="1"/>
  <c r="AX208" i="1"/>
  <c r="AY208" i="1"/>
  <c r="AX209" i="1"/>
  <c r="AY209" i="1"/>
  <c r="AX210" i="1"/>
  <c r="AY210" i="1"/>
  <c r="AX211" i="1"/>
  <c r="AY211" i="1"/>
  <c r="AX212" i="1"/>
  <c r="AY212" i="1"/>
  <c r="AX213" i="1"/>
  <c r="AY213" i="1"/>
  <c r="AX214" i="1"/>
  <c r="AY214" i="1"/>
  <c r="AX215" i="1"/>
  <c r="AY215" i="1"/>
  <c r="AX216" i="1"/>
  <c r="AY216" i="1"/>
  <c r="AX217" i="1"/>
  <c r="AY217" i="1"/>
  <c r="AX218" i="1"/>
  <c r="AY218" i="1"/>
  <c r="AX219" i="1"/>
  <c r="AY219" i="1"/>
  <c r="AX220" i="1"/>
  <c r="AY220" i="1"/>
  <c r="AR6" i="1"/>
  <c r="AS6" i="1"/>
  <c r="AR7" i="1"/>
  <c r="AS7" i="1"/>
  <c r="AR8" i="1"/>
  <c r="AS8" i="1"/>
  <c r="AR9" i="1"/>
  <c r="AS9" i="1"/>
  <c r="AR10" i="1"/>
  <c r="AS10" i="1"/>
  <c r="AR11" i="1"/>
  <c r="AS11" i="1"/>
  <c r="AR12" i="1"/>
  <c r="AS12" i="1"/>
  <c r="AR13" i="1"/>
  <c r="AS13" i="1"/>
  <c r="AR14" i="1"/>
  <c r="AS14" i="1"/>
  <c r="AR15" i="1"/>
  <c r="AS15" i="1"/>
  <c r="AR16" i="1"/>
  <c r="AS16" i="1"/>
  <c r="AR17" i="1"/>
  <c r="AS17" i="1"/>
  <c r="AR18" i="1"/>
  <c r="AS18" i="1"/>
  <c r="AR20" i="1"/>
  <c r="AS20" i="1"/>
  <c r="AR21" i="1"/>
  <c r="AS21" i="1"/>
  <c r="AR22" i="1"/>
  <c r="AS22" i="1"/>
  <c r="AR23" i="1"/>
  <c r="AS23" i="1"/>
  <c r="AR24" i="1"/>
  <c r="AS24" i="1"/>
  <c r="AR25" i="1"/>
  <c r="AS25" i="1"/>
  <c r="AR26" i="1"/>
  <c r="AS26" i="1"/>
  <c r="AR27" i="1"/>
  <c r="AS27" i="1"/>
  <c r="AR28" i="1"/>
  <c r="AS28" i="1"/>
  <c r="AR29" i="1"/>
  <c r="AS29" i="1"/>
  <c r="AR30" i="1"/>
  <c r="AS30" i="1"/>
  <c r="AR31" i="1"/>
  <c r="AS31" i="1"/>
  <c r="AR32" i="1"/>
  <c r="AS32" i="1"/>
  <c r="AR33" i="1"/>
  <c r="AS33" i="1"/>
  <c r="AR34" i="1"/>
  <c r="AS34" i="1"/>
  <c r="AR35" i="1"/>
  <c r="AS35" i="1"/>
  <c r="AR36" i="1"/>
  <c r="AS36" i="1"/>
  <c r="AR37" i="1"/>
  <c r="AS37" i="1"/>
  <c r="AR38" i="1"/>
  <c r="AS38" i="1"/>
  <c r="AR39" i="1"/>
  <c r="AS39" i="1"/>
  <c r="CB39" i="1" s="1"/>
  <c r="AR40" i="1"/>
  <c r="AS40" i="1"/>
  <c r="AR41" i="1"/>
  <c r="AS41" i="1"/>
  <c r="AR42" i="1"/>
  <c r="AS42" i="1"/>
  <c r="AR43" i="1"/>
  <c r="AS43" i="1"/>
  <c r="CB43" i="1" s="1"/>
  <c r="AR44" i="1"/>
  <c r="AS44" i="1"/>
  <c r="AR45" i="1"/>
  <c r="AS45" i="1"/>
  <c r="AR46" i="1"/>
  <c r="AS46" i="1"/>
  <c r="AR47" i="1"/>
  <c r="AS47" i="1"/>
  <c r="AR48" i="1"/>
  <c r="AS48" i="1"/>
  <c r="AR49" i="1"/>
  <c r="AS49" i="1"/>
  <c r="AR50" i="1"/>
  <c r="AS50" i="1"/>
  <c r="AR51" i="1"/>
  <c r="AS51" i="1"/>
  <c r="AR52" i="1"/>
  <c r="AS52" i="1"/>
  <c r="AR53" i="1"/>
  <c r="AS53" i="1"/>
  <c r="AR54" i="1"/>
  <c r="AS54" i="1"/>
  <c r="AR55" i="1"/>
  <c r="AS55" i="1"/>
  <c r="AR56" i="1"/>
  <c r="AS56" i="1"/>
  <c r="AR57" i="1"/>
  <c r="AS57" i="1"/>
  <c r="AR58" i="1"/>
  <c r="AS58" i="1"/>
  <c r="CB58" i="1" s="1"/>
  <c r="AR59" i="1"/>
  <c r="AS59" i="1"/>
  <c r="AR60" i="1"/>
  <c r="AS60" i="1"/>
  <c r="AR61" i="1"/>
  <c r="AS61" i="1"/>
  <c r="CB61" i="1" s="1"/>
  <c r="AR62" i="1"/>
  <c r="AS62" i="1"/>
  <c r="AR63" i="1"/>
  <c r="AS63" i="1"/>
  <c r="AR64" i="1"/>
  <c r="AS64" i="1"/>
  <c r="CB64" i="1" s="1"/>
  <c r="AR65" i="1"/>
  <c r="AS65" i="1"/>
  <c r="AR66" i="1"/>
  <c r="AS66" i="1"/>
  <c r="AR67" i="1"/>
  <c r="AS67" i="1"/>
  <c r="AR68" i="1"/>
  <c r="AS68" i="1"/>
  <c r="AR69" i="1"/>
  <c r="AS69" i="1"/>
  <c r="AR70" i="1"/>
  <c r="AS70" i="1"/>
  <c r="AR71" i="1"/>
  <c r="AS71" i="1"/>
  <c r="AR72" i="1"/>
  <c r="AS72" i="1"/>
  <c r="AR73" i="1"/>
  <c r="AS73" i="1"/>
  <c r="AR74" i="1"/>
  <c r="AS74" i="1"/>
  <c r="AR75" i="1"/>
  <c r="AS75" i="1"/>
  <c r="AR76" i="1"/>
  <c r="AS76" i="1"/>
  <c r="AR77" i="1"/>
  <c r="AS77" i="1"/>
  <c r="AR78" i="1"/>
  <c r="AS78" i="1"/>
  <c r="AR79" i="1"/>
  <c r="AS79" i="1"/>
  <c r="AR80" i="1"/>
  <c r="AS80" i="1"/>
  <c r="AR81" i="1"/>
  <c r="AS81" i="1"/>
  <c r="AR82" i="1"/>
  <c r="AS82" i="1"/>
  <c r="AR83" i="1"/>
  <c r="AS83" i="1"/>
  <c r="AR84" i="1"/>
  <c r="AS84" i="1"/>
  <c r="AR85" i="1"/>
  <c r="AS85" i="1"/>
  <c r="AR86" i="1"/>
  <c r="AS86" i="1"/>
  <c r="AR87" i="1"/>
  <c r="AS87" i="1"/>
  <c r="AR88" i="1"/>
  <c r="AS88" i="1"/>
  <c r="AR89" i="1"/>
  <c r="AS89" i="1"/>
  <c r="AR90" i="1"/>
  <c r="AS90" i="1"/>
  <c r="AR91" i="1"/>
  <c r="AS91" i="1"/>
  <c r="AR92" i="1"/>
  <c r="AS92" i="1"/>
  <c r="AR93" i="1"/>
  <c r="AS93" i="1"/>
  <c r="AR94" i="1"/>
  <c r="AS94" i="1"/>
  <c r="AR95" i="1"/>
  <c r="AS95" i="1"/>
  <c r="AR96" i="1"/>
  <c r="AS96" i="1"/>
  <c r="AR97" i="1"/>
  <c r="AS97" i="1"/>
  <c r="AR98" i="1"/>
  <c r="AS98" i="1"/>
  <c r="AR99" i="1"/>
  <c r="AS99" i="1"/>
  <c r="AR100" i="1"/>
  <c r="AS100" i="1"/>
  <c r="AR101" i="1"/>
  <c r="AS101" i="1"/>
  <c r="AR102" i="1"/>
  <c r="AS102" i="1"/>
  <c r="AR103" i="1"/>
  <c r="AS103" i="1"/>
  <c r="AR104" i="1"/>
  <c r="AS104" i="1"/>
  <c r="AR105" i="1"/>
  <c r="AS105" i="1"/>
  <c r="AR106" i="1"/>
  <c r="AS106" i="1"/>
  <c r="AR107" i="1"/>
  <c r="AS107" i="1"/>
  <c r="AR108" i="1"/>
  <c r="AS108" i="1"/>
  <c r="AR109" i="1"/>
  <c r="AS109" i="1"/>
  <c r="AR110" i="1"/>
  <c r="AS110" i="1"/>
  <c r="AR111" i="1"/>
  <c r="AS111" i="1"/>
  <c r="AR112" i="1"/>
  <c r="AS112" i="1"/>
  <c r="AR113" i="1"/>
  <c r="AS113" i="1"/>
  <c r="AR114" i="1"/>
  <c r="AS114" i="1"/>
  <c r="AR115" i="1"/>
  <c r="AS115" i="1"/>
  <c r="AR116" i="1"/>
  <c r="AS116" i="1"/>
  <c r="AR117" i="1"/>
  <c r="AS117" i="1"/>
  <c r="AR118" i="1"/>
  <c r="AS118" i="1"/>
  <c r="AR119" i="1"/>
  <c r="AS119" i="1"/>
  <c r="AR120" i="1"/>
  <c r="AS120" i="1"/>
  <c r="AR121" i="1"/>
  <c r="AS121" i="1"/>
  <c r="AR122" i="1"/>
  <c r="AS122" i="1"/>
  <c r="AR123" i="1"/>
  <c r="AS123" i="1"/>
  <c r="AR124" i="1"/>
  <c r="AS124" i="1"/>
  <c r="AR125" i="1"/>
  <c r="AS125" i="1"/>
  <c r="AR126" i="1"/>
  <c r="AS126" i="1"/>
  <c r="AR127" i="1"/>
  <c r="AS127" i="1"/>
  <c r="AR128" i="1"/>
  <c r="AS128" i="1"/>
  <c r="AR129" i="1"/>
  <c r="AS129" i="1"/>
  <c r="AR130" i="1"/>
  <c r="AS130" i="1"/>
  <c r="AR131" i="1"/>
  <c r="AS131" i="1"/>
  <c r="AR132" i="1"/>
  <c r="AS132" i="1"/>
  <c r="AR133" i="1"/>
  <c r="AS133" i="1"/>
  <c r="AR134" i="1"/>
  <c r="AS134" i="1"/>
  <c r="AR135" i="1"/>
  <c r="AS135" i="1"/>
  <c r="AR136" i="1"/>
  <c r="AS136" i="1"/>
  <c r="AR137" i="1"/>
  <c r="AS137" i="1"/>
  <c r="AR138" i="1"/>
  <c r="AS138" i="1"/>
  <c r="AR139" i="1"/>
  <c r="AS139" i="1"/>
  <c r="AR140" i="1"/>
  <c r="AS140" i="1"/>
  <c r="AR141" i="1"/>
  <c r="AS141" i="1"/>
  <c r="AR142" i="1"/>
  <c r="AS142" i="1"/>
  <c r="AR143" i="1"/>
  <c r="AS143" i="1"/>
  <c r="AR144" i="1"/>
  <c r="AS144" i="1"/>
  <c r="AR145" i="1"/>
  <c r="AS145" i="1"/>
  <c r="AR146" i="1"/>
  <c r="AS146" i="1"/>
  <c r="AR147" i="1"/>
  <c r="AS147" i="1"/>
  <c r="AR148" i="1"/>
  <c r="AS148" i="1"/>
  <c r="AR149" i="1"/>
  <c r="AS149" i="1"/>
  <c r="AR150" i="1"/>
  <c r="AS150" i="1"/>
  <c r="AR151" i="1"/>
  <c r="AS151" i="1"/>
  <c r="AR152" i="1"/>
  <c r="AS152" i="1"/>
  <c r="AR153" i="1"/>
  <c r="AS153" i="1"/>
  <c r="AR154" i="1"/>
  <c r="AS154" i="1"/>
  <c r="AR155" i="1"/>
  <c r="AS155" i="1"/>
  <c r="AR156" i="1"/>
  <c r="AS156" i="1"/>
  <c r="AR157" i="1"/>
  <c r="AS157" i="1"/>
  <c r="AR158" i="1"/>
  <c r="AS158" i="1"/>
  <c r="AR159" i="1"/>
  <c r="AS159" i="1"/>
  <c r="AR160" i="1"/>
  <c r="AS160" i="1"/>
  <c r="AR161" i="1"/>
  <c r="AS161" i="1"/>
  <c r="AR162" i="1"/>
  <c r="AS162" i="1"/>
  <c r="AR163" i="1"/>
  <c r="AS163" i="1"/>
  <c r="AR164" i="1"/>
  <c r="AS164" i="1"/>
  <c r="AR165" i="1"/>
  <c r="AS165" i="1"/>
  <c r="AR166" i="1"/>
  <c r="AS166" i="1"/>
  <c r="AR167" i="1"/>
  <c r="AS167" i="1"/>
  <c r="AR168" i="1"/>
  <c r="AS168" i="1"/>
  <c r="AR169" i="1"/>
  <c r="AS169" i="1"/>
  <c r="AR170" i="1"/>
  <c r="AS170" i="1"/>
  <c r="AR171" i="1"/>
  <c r="AS171" i="1"/>
  <c r="AR172" i="1"/>
  <c r="AS172" i="1"/>
  <c r="AR173" i="1"/>
  <c r="AS173" i="1"/>
  <c r="AR174" i="1"/>
  <c r="AS174" i="1"/>
  <c r="AR175" i="1"/>
  <c r="AS175" i="1"/>
  <c r="AR176" i="1"/>
  <c r="AS176" i="1"/>
  <c r="AR177" i="1"/>
  <c r="AS177" i="1"/>
  <c r="AR178" i="1"/>
  <c r="AS178" i="1"/>
  <c r="AR179" i="1"/>
  <c r="AS179" i="1"/>
  <c r="AR180" i="1"/>
  <c r="AS180" i="1"/>
  <c r="AR181" i="1"/>
  <c r="AS181" i="1"/>
  <c r="AR182" i="1"/>
  <c r="AS182" i="1"/>
  <c r="AR183" i="1"/>
  <c r="AS183" i="1"/>
  <c r="AR184" i="1"/>
  <c r="AS184" i="1"/>
  <c r="AR185" i="1"/>
  <c r="AS185" i="1"/>
  <c r="AR186" i="1"/>
  <c r="AS186" i="1"/>
  <c r="AR187" i="1"/>
  <c r="AS187" i="1"/>
  <c r="AR188" i="1"/>
  <c r="AS188" i="1"/>
  <c r="AR189" i="1"/>
  <c r="AS189" i="1"/>
  <c r="AR190" i="1"/>
  <c r="AS190" i="1"/>
  <c r="AR191" i="1"/>
  <c r="AS191" i="1"/>
  <c r="AR192" i="1"/>
  <c r="AS192" i="1"/>
  <c r="AR193" i="1"/>
  <c r="AS193" i="1"/>
  <c r="AR194" i="1"/>
  <c r="AS194" i="1"/>
  <c r="AR195" i="1"/>
  <c r="AS195" i="1"/>
  <c r="AR196" i="1"/>
  <c r="AS196" i="1"/>
  <c r="AR197" i="1"/>
  <c r="AS197" i="1"/>
  <c r="AR198" i="1"/>
  <c r="AS198" i="1"/>
  <c r="AR199" i="1"/>
  <c r="AS199" i="1"/>
  <c r="AR200" i="1"/>
  <c r="AS200" i="1"/>
  <c r="AR201" i="1"/>
  <c r="AS201" i="1"/>
  <c r="AR202" i="1"/>
  <c r="AS202" i="1"/>
  <c r="AR203" i="1"/>
  <c r="AS203" i="1"/>
  <c r="AR204" i="1"/>
  <c r="AS204" i="1"/>
  <c r="AR205" i="1"/>
  <c r="AS205" i="1"/>
  <c r="AR206" i="1"/>
  <c r="AS206" i="1"/>
  <c r="AR207" i="1"/>
  <c r="AS207" i="1"/>
  <c r="AR208" i="1"/>
  <c r="AS208" i="1"/>
  <c r="AR209" i="1"/>
  <c r="AS209" i="1"/>
  <c r="AR210" i="1"/>
  <c r="AS210" i="1"/>
  <c r="AR211" i="1"/>
  <c r="AS211" i="1"/>
  <c r="AR212" i="1"/>
  <c r="AS212" i="1"/>
  <c r="AR213" i="1"/>
  <c r="AS213" i="1"/>
  <c r="AR214" i="1"/>
  <c r="AS214" i="1"/>
  <c r="AR215" i="1"/>
  <c r="AS215" i="1"/>
  <c r="AR216" i="1"/>
  <c r="AS216" i="1"/>
  <c r="AR217" i="1"/>
  <c r="AS217" i="1"/>
  <c r="AR218" i="1"/>
  <c r="AS218" i="1"/>
  <c r="AR219" i="1"/>
  <c r="AS219" i="1"/>
  <c r="AR220" i="1"/>
  <c r="AS220" i="1"/>
  <c r="AM41" i="1"/>
  <c r="BV41" i="1" s="1"/>
  <c r="AM42" i="1"/>
  <c r="AM43" i="1"/>
  <c r="BV43" i="1" s="1"/>
  <c r="AM44" i="1"/>
  <c r="BV44" i="1" s="1"/>
  <c r="AM45" i="1"/>
  <c r="BV45" i="1" s="1"/>
  <c r="AM46" i="1"/>
  <c r="AM47" i="1"/>
  <c r="BV47" i="1" s="1"/>
  <c r="AM48" i="1"/>
  <c r="AM49" i="1"/>
  <c r="AM50" i="1"/>
  <c r="AM51" i="1"/>
  <c r="BV51" i="1" s="1"/>
  <c r="AM52" i="1"/>
  <c r="BV52" i="1" s="1"/>
  <c r="AM53" i="1"/>
  <c r="BV53" i="1" s="1"/>
  <c r="AM54" i="1"/>
  <c r="BV54" i="1" s="1"/>
  <c r="AM55" i="1"/>
  <c r="BV55" i="1" s="1"/>
  <c r="AM56" i="1"/>
  <c r="AM57" i="1"/>
  <c r="AM58" i="1"/>
  <c r="BV58" i="1" s="1"/>
  <c r="AM59" i="1"/>
  <c r="BV59" i="1" s="1"/>
  <c r="AM60" i="1"/>
  <c r="BV60" i="1" s="1"/>
  <c r="AM61" i="1"/>
  <c r="AM62" i="1"/>
  <c r="BV62" i="1" s="1"/>
  <c r="AM63" i="1"/>
  <c r="BV63" i="1" s="1"/>
  <c r="AM64" i="1"/>
  <c r="BV64" i="1" s="1"/>
  <c r="AM65" i="1"/>
  <c r="AM66" i="1"/>
  <c r="BV66" i="1" s="1"/>
  <c r="AM67" i="1"/>
  <c r="BV67" i="1" s="1"/>
  <c r="AM68" i="1"/>
  <c r="BV68" i="1" s="1"/>
  <c r="AM69" i="1"/>
  <c r="AM70" i="1"/>
  <c r="BV70" i="1" s="1"/>
  <c r="AM71" i="1"/>
  <c r="BV71" i="1" s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BJ87" i="1" s="1"/>
  <c r="AM88" i="1"/>
  <c r="AM89" i="1"/>
  <c r="AM90" i="1"/>
  <c r="BJ90" i="1" s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H6" i="1"/>
  <c r="AN6" i="1" s="1"/>
  <c r="AH7" i="1"/>
  <c r="AH8" i="1"/>
  <c r="AN8" i="1" s="1"/>
  <c r="AO8" i="1" s="1"/>
  <c r="AH9" i="1"/>
  <c r="AN9" i="1" s="1"/>
  <c r="AH10" i="1"/>
  <c r="AN10" i="1" s="1"/>
  <c r="AH11" i="1"/>
  <c r="AN11" i="1" s="1"/>
  <c r="CE11" i="1" s="1"/>
  <c r="AH12" i="1"/>
  <c r="AN12" i="1" s="1"/>
  <c r="AH13" i="1"/>
  <c r="AI13" i="1" s="1"/>
  <c r="AH14" i="1"/>
  <c r="AN14" i="1" s="1"/>
  <c r="AO14" i="1" s="1"/>
  <c r="AH15" i="1"/>
  <c r="AH16" i="1"/>
  <c r="AN16" i="1" s="1"/>
  <c r="AO16" i="1" s="1"/>
  <c r="AH17" i="1"/>
  <c r="AN17" i="1" s="1"/>
  <c r="AH18" i="1"/>
  <c r="AN18" i="1" s="1"/>
  <c r="AH20" i="1"/>
  <c r="AI20" i="1" s="1"/>
  <c r="AH21" i="1"/>
  <c r="AN21" i="1" s="1"/>
  <c r="AT21" i="1" s="1"/>
  <c r="AH22" i="1"/>
  <c r="AN22" i="1" s="1"/>
  <c r="AH23" i="1"/>
  <c r="AN23" i="1" s="1"/>
  <c r="AT23" i="1" s="1"/>
  <c r="AH24" i="1"/>
  <c r="AH25" i="1"/>
  <c r="AN25" i="1" s="1"/>
  <c r="AO25" i="1" s="1"/>
  <c r="AH26" i="1"/>
  <c r="AN26" i="1" s="1"/>
  <c r="AH27" i="1"/>
  <c r="AN27" i="1" s="1"/>
  <c r="AH28" i="1"/>
  <c r="AI28" i="1" s="1"/>
  <c r="AH29" i="1"/>
  <c r="AI29" i="1" s="1"/>
  <c r="AH30" i="1"/>
  <c r="AN30" i="1" s="1"/>
  <c r="AH31" i="1"/>
  <c r="AN31" i="1" s="1"/>
  <c r="AH32" i="1"/>
  <c r="AN32" i="1" s="1"/>
  <c r="AH33" i="1"/>
  <c r="AH34" i="1"/>
  <c r="AN34" i="1" s="1"/>
  <c r="AH35" i="1"/>
  <c r="AN35" i="1" s="1"/>
  <c r="AH36" i="1"/>
  <c r="AN36" i="1" s="1"/>
  <c r="AH37" i="1"/>
  <c r="AN37" i="1" s="1"/>
  <c r="AH38" i="1"/>
  <c r="AN38" i="1" s="1"/>
  <c r="AH39" i="1"/>
  <c r="AN39" i="1" s="1"/>
  <c r="AO39" i="1" s="1"/>
  <c r="AH40" i="1"/>
  <c r="AH41" i="1"/>
  <c r="AN41" i="1" s="1"/>
  <c r="AO41" i="1" s="1"/>
  <c r="AH42" i="1"/>
  <c r="AN42" i="1" s="1"/>
  <c r="AH43" i="1"/>
  <c r="AN43" i="1" s="1"/>
  <c r="AH44" i="1"/>
  <c r="AN44" i="1" s="1"/>
  <c r="AH45" i="1"/>
  <c r="AI45" i="1" s="1"/>
  <c r="AH46" i="1"/>
  <c r="AI46" i="1" s="1"/>
  <c r="AH47" i="1"/>
  <c r="AN47" i="1" s="1"/>
  <c r="AH48" i="1"/>
  <c r="AI48" i="1" s="1"/>
  <c r="AH49" i="1"/>
  <c r="AN49" i="1" s="1"/>
  <c r="AH50" i="1"/>
  <c r="AN50" i="1" s="1"/>
  <c r="AH51" i="1"/>
  <c r="AH52" i="1"/>
  <c r="AH53" i="1"/>
  <c r="AN53" i="1" s="1"/>
  <c r="AH54" i="1"/>
  <c r="AN54" i="1" s="1"/>
  <c r="AH55" i="1"/>
  <c r="AN55" i="1" s="1"/>
  <c r="AH56" i="1"/>
  <c r="AN56" i="1" s="1"/>
  <c r="AH57" i="1"/>
  <c r="AN57" i="1" s="1"/>
  <c r="AH58" i="1"/>
  <c r="AN58" i="1" s="1"/>
  <c r="AT58" i="1" s="1"/>
  <c r="AH59" i="1"/>
  <c r="AN59" i="1" s="1"/>
  <c r="AH60" i="1"/>
  <c r="AH61" i="1"/>
  <c r="AN61" i="1" s="1"/>
  <c r="AH62" i="1"/>
  <c r="AN62" i="1" s="1"/>
  <c r="AH63" i="1"/>
  <c r="AI63" i="1" s="1"/>
  <c r="AH64" i="1"/>
  <c r="AI64" i="1" s="1"/>
  <c r="AH65" i="1"/>
  <c r="AN65" i="1" s="1"/>
  <c r="AO65" i="1" s="1"/>
  <c r="AH66" i="1"/>
  <c r="AN66" i="1" s="1"/>
  <c r="AH67" i="1"/>
  <c r="AN67" i="1" s="1"/>
  <c r="AH68" i="1"/>
  <c r="AN68" i="1" s="1"/>
  <c r="AT68" i="1" s="1"/>
  <c r="AH69" i="1"/>
  <c r="AN69" i="1" s="1"/>
  <c r="AT69" i="1" s="1"/>
  <c r="AH70" i="1"/>
  <c r="AN70" i="1" s="1"/>
  <c r="AH71" i="1"/>
  <c r="AN71" i="1" s="1"/>
  <c r="AH72" i="1"/>
  <c r="AN72" i="1" s="1"/>
  <c r="AH73" i="1"/>
  <c r="AN73" i="1" s="1"/>
  <c r="AT73" i="1" s="1"/>
  <c r="AH74" i="1"/>
  <c r="AN74" i="1" s="1"/>
  <c r="AH75" i="1"/>
  <c r="AH76" i="1"/>
  <c r="AN76" i="1" s="1"/>
  <c r="AT76" i="1" s="1"/>
  <c r="AH77" i="1"/>
  <c r="AN77" i="1" s="1"/>
  <c r="AH78" i="1"/>
  <c r="AN78" i="1" s="1"/>
  <c r="AH79" i="1"/>
  <c r="AN79" i="1" s="1"/>
  <c r="AO79" i="1" s="1"/>
  <c r="AH80" i="1"/>
  <c r="AN80" i="1" s="1"/>
  <c r="AH81" i="1"/>
  <c r="AN81" i="1" s="1"/>
  <c r="AH82" i="1"/>
  <c r="AN82" i="1" s="1"/>
  <c r="AH83" i="1"/>
  <c r="AN83" i="1" s="1"/>
  <c r="AT83" i="1" s="1"/>
  <c r="AH84" i="1"/>
  <c r="AN84" i="1" s="1"/>
  <c r="AH85" i="1"/>
  <c r="AN85" i="1" s="1"/>
  <c r="AH86" i="1"/>
  <c r="AI86" i="1" s="1"/>
  <c r="AH87" i="1"/>
  <c r="AH88" i="1"/>
  <c r="AH89" i="1"/>
  <c r="AN89" i="1" s="1"/>
  <c r="AO89" i="1" s="1"/>
  <c r="AH90" i="1"/>
  <c r="AN90" i="1" s="1"/>
  <c r="AH91" i="1"/>
  <c r="AN91" i="1" s="1"/>
  <c r="AH92" i="1"/>
  <c r="AI92" i="1" s="1"/>
  <c r="AH93" i="1"/>
  <c r="AN93" i="1" s="1"/>
  <c r="AT93" i="1" s="1"/>
  <c r="AZ93" i="1" s="1"/>
  <c r="BA93" i="1" s="1"/>
  <c r="AH94" i="1"/>
  <c r="AN94" i="1" s="1"/>
  <c r="AT94" i="1" s="1"/>
  <c r="AH95" i="1"/>
  <c r="AN95" i="1" s="1"/>
  <c r="AO95" i="1" s="1"/>
  <c r="AH96" i="1"/>
  <c r="AN96" i="1" s="1"/>
  <c r="AH97" i="1"/>
  <c r="AN97" i="1" s="1"/>
  <c r="AO97" i="1" s="1"/>
  <c r="AH98" i="1"/>
  <c r="AH99" i="1"/>
  <c r="AN99" i="1" s="1"/>
  <c r="AH100" i="1"/>
  <c r="AN100" i="1" s="1"/>
  <c r="AH101" i="1"/>
  <c r="AN101" i="1" s="1"/>
  <c r="AH102" i="1"/>
  <c r="AI102" i="1" s="1"/>
  <c r="AH103" i="1"/>
  <c r="AN103" i="1" s="1"/>
  <c r="AH104" i="1"/>
  <c r="AN104" i="1" s="1"/>
  <c r="AH105" i="1"/>
  <c r="AN105" i="1" s="1"/>
  <c r="AO105" i="1" s="1"/>
  <c r="AH106" i="1"/>
  <c r="AN106" i="1" s="1"/>
  <c r="AH107" i="1"/>
  <c r="AN107" i="1" s="1"/>
  <c r="AH108" i="1"/>
  <c r="AI108" i="1" s="1"/>
  <c r="AH109" i="1"/>
  <c r="AN109" i="1" s="1"/>
  <c r="AH110" i="1"/>
  <c r="AI110" i="1" s="1"/>
  <c r="AH111" i="1"/>
  <c r="AN111" i="1" s="1"/>
  <c r="AT111" i="1" s="1"/>
  <c r="AH112" i="1"/>
  <c r="AH113" i="1"/>
  <c r="AN113" i="1" s="1"/>
  <c r="AO113" i="1" s="1"/>
  <c r="AH114" i="1"/>
  <c r="AN114" i="1" s="1"/>
  <c r="AH115" i="1"/>
  <c r="AN115" i="1" s="1"/>
  <c r="AH116" i="1"/>
  <c r="AH117" i="1"/>
  <c r="AI117" i="1" s="1"/>
  <c r="AH118" i="1"/>
  <c r="AI118" i="1" s="1"/>
  <c r="AH119" i="1"/>
  <c r="AN119" i="1" s="1"/>
  <c r="AH120" i="1"/>
  <c r="AN120" i="1" s="1"/>
  <c r="AH121" i="1"/>
  <c r="AN121" i="1" s="1"/>
  <c r="AH122" i="1"/>
  <c r="AN122" i="1" s="1"/>
  <c r="AH123" i="1"/>
  <c r="AN123" i="1" s="1"/>
  <c r="AH124" i="1"/>
  <c r="AN124" i="1" s="1"/>
  <c r="AH125" i="1"/>
  <c r="AN125" i="1" s="1"/>
  <c r="AH126" i="1"/>
  <c r="AN126" i="1" s="1"/>
  <c r="AH127" i="1"/>
  <c r="AN127" i="1" s="1"/>
  <c r="AH128" i="1"/>
  <c r="AN128" i="1" s="1"/>
  <c r="AH129" i="1"/>
  <c r="AH130" i="1"/>
  <c r="AN130" i="1" s="1"/>
  <c r="AT130" i="1" s="1"/>
  <c r="AH131" i="1"/>
  <c r="AN131" i="1" s="1"/>
  <c r="AH132" i="1"/>
  <c r="AN132" i="1" s="1"/>
  <c r="AH133" i="1"/>
  <c r="AN133" i="1" s="1"/>
  <c r="AH134" i="1"/>
  <c r="AN134" i="1" s="1"/>
  <c r="AH135" i="1"/>
  <c r="AN135" i="1" s="1"/>
  <c r="AH136" i="1"/>
  <c r="AN136" i="1" s="1"/>
  <c r="AH137" i="1"/>
  <c r="AN137" i="1" s="1"/>
  <c r="AO137" i="1" s="1"/>
  <c r="AH138" i="1"/>
  <c r="AN138" i="1" s="1"/>
  <c r="AH139" i="1"/>
  <c r="AN139" i="1" s="1"/>
  <c r="AH140" i="1"/>
  <c r="AN140" i="1" s="1"/>
  <c r="AH141" i="1"/>
  <c r="AN141" i="1" s="1"/>
  <c r="AH142" i="1"/>
  <c r="AH143" i="1"/>
  <c r="AN143" i="1" s="1"/>
  <c r="AO143" i="1" s="1"/>
  <c r="AH144" i="1"/>
  <c r="AN144" i="1" s="1"/>
  <c r="AH145" i="1"/>
  <c r="AN145" i="1" s="1"/>
  <c r="AH146" i="1"/>
  <c r="AN146" i="1" s="1"/>
  <c r="AT146" i="1" s="1"/>
  <c r="AH147" i="1"/>
  <c r="AN147" i="1" s="1"/>
  <c r="AH148" i="1"/>
  <c r="AH149" i="1"/>
  <c r="AN149" i="1" s="1"/>
  <c r="AH150" i="1"/>
  <c r="AN150" i="1" s="1"/>
  <c r="AH151" i="1"/>
  <c r="AN151" i="1" s="1"/>
  <c r="AH152" i="1"/>
  <c r="AI152" i="1" s="1"/>
  <c r="AH153" i="1"/>
  <c r="AI153" i="1" s="1"/>
  <c r="AH154" i="1"/>
  <c r="AN154" i="1" s="1"/>
  <c r="AH155" i="1"/>
  <c r="AN155" i="1" s="1"/>
  <c r="AH156" i="1"/>
  <c r="AN156" i="1" s="1"/>
  <c r="AT156" i="1" s="1"/>
  <c r="AH157" i="1"/>
  <c r="AN157" i="1" s="1"/>
  <c r="AT157" i="1" s="1"/>
  <c r="AZ157" i="1" s="1"/>
  <c r="BA157" i="1" s="1"/>
  <c r="AH158" i="1"/>
  <c r="AN158" i="1" s="1"/>
  <c r="AT158" i="1" s="1"/>
  <c r="AZ158" i="1" s="1"/>
  <c r="BA158" i="1" s="1"/>
  <c r="AH159" i="1"/>
  <c r="AH160" i="1"/>
  <c r="AN160" i="1" s="1"/>
  <c r="AH161" i="1"/>
  <c r="AN161" i="1" s="1"/>
  <c r="AH162" i="1"/>
  <c r="AN162" i="1" s="1"/>
  <c r="AH163" i="1"/>
  <c r="AN163" i="1" s="1"/>
  <c r="AT163" i="1" s="1"/>
  <c r="AH164" i="1"/>
  <c r="AN164" i="1" s="1"/>
  <c r="AT164" i="1" s="1"/>
  <c r="AZ164" i="1" s="1"/>
  <c r="BA164" i="1" s="1"/>
  <c r="AH165" i="1"/>
  <c r="AN165" i="1" s="1"/>
  <c r="AH166" i="1"/>
  <c r="AN166" i="1" s="1"/>
  <c r="AH167" i="1"/>
  <c r="AN167" i="1" s="1"/>
  <c r="AH168" i="1"/>
  <c r="AN168" i="1" s="1"/>
  <c r="AT168" i="1" s="1"/>
  <c r="AH169" i="1"/>
  <c r="AN169" i="1" s="1"/>
  <c r="AH170" i="1"/>
  <c r="AN170" i="1" s="1"/>
  <c r="AH171" i="1"/>
  <c r="AH172" i="1"/>
  <c r="AN172" i="1" s="1"/>
  <c r="AT172" i="1" s="1"/>
  <c r="AZ172" i="1" s="1"/>
  <c r="BA172" i="1" s="1"/>
  <c r="AH173" i="1"/>
  <c r="AN173" i="1" s="1"/>
  <c r="AH174" i="1"/>
  <c r="AN174" i="1" s="1"/>
  <c r="AH175" i="1"/>
  <c r="AN175" i="1" s="1"/>
  <c r="AH176" i="1"/>
  <c r="AN176" i="1" s="1"/>
  <c r="AH177" i="1"/>
  <c r="AN177" i="1" s="1"/>
  <c r="AT177" i="1" s="1"/>
  <c r="AH178" i="1"/>
  <c r="AI178" i="1" s="1"/>
  <c r="AH179" i="1"/>
  <c r="AN179" i="1" s="1"/>
  <c r="AH180" i="1"/>
  <c r="AN180" i="1" s="1"/>
  <c r="AH181" i="1"/>
  <c r="AN181" i="1" s="1"/>
  <c r="AH182" i="1"/>
  <c r="AI182" i="1" s="1"/>
  <c r="AH183" i="1"/>
  <c r="AN183" i="1" s="1"/>
  <c r="AH184" i="1"/>
  <c r="AI184" i="1" s="1"/>
  <c r="AH185" i="1"/>
  <c r="AN185" i="1" s="1"/>
  <c r="AH186" i="1"/>
  <c r="AN186" i="1" s="1"/>
  <c r="AT186" i="1" s="1"/>
  <c r="AH187" i="1"/>
  <c r="AN187" i="1" s="1"/>
  <c r="AH188" i="1"/>
  <c r="AN188" i="1" s="1"/>
  <c r="AH189" i="1"/>
  <c r="AN189" i="1" s="1"/>
  <c r="AH190" i="1"/>
  <c r="AN190" i="1" s="1"/>
  <c r="AH191" i="1"/>
  <c r="AN191" i="1" s="1"/>
  <c r="AO191" i="1" s="1"/>
  <c r="AH192" i="1"/>
  <c r="AN192" i="1" s="1"/>
  <c r="AH193" i="1"/>
  <c r="AN193" i="1" s="1"/>
  <c r="AH194" i="1"/>
  <c r="AN194" i="1" s="1"/>
  <c r="AT194" i="1" s="1"/>
  <c r="AH195" i="1"/>
  <c r="AN195" i="1" s="1"/>
  <c r="AT195" i="1" s="1"/>
  <c r="AH196" i="1"/>
  <c r="AN196" i="1" s="1"/>
  <c r="AH197" i="1"/>
  <c r="AN197" i="1" s="1"/>
  <c r="AH198" i="1"/>
  <c r="AI198" i="1" s="1"/>
  <c r="AH199" i="1"/>
  <c r="AN199" i="1" s="1"/>
  <c r="AH200" i="1"/>
  <c r="AN200" i="1" s="1"/>
  <c r="AH201" i="1"/>
  <c r="AN201" i="1" s="1"/>
  <c r="AH202" i="1"/>
  <c r="AH203" i="1"/>
  <c r="AN203" i="1" s="1"/>
  <c r="AH204" i="1"/>
  <c r="AH205" i="1"/>
  <c r="AN205" i="1" s="1"/>
  <c r="AH206" i="1"/>
  <c r="AH207" i="1"/>
  <c r="AI207" i="1" s="1"/>
  <c r="AH208" i="1"/>
  <c r="AN208" i="1" s="1"/>
  <c r="AH209" i="1"/>
  <c r="AN209" i="1" s="1"/>
  <c r="AH210" i="1"/>
  <c r="AN210" i="1" s="1"/>
  <c r="AH211" i="1"/>
  <c r="AN211" i="1" s="1"/>
  <c r="AH212" i="1"/>
  <c r="AN212" i="1" s="1"/>
  <c r="AH213" i="1"/>
  <c r="AN213" i="1" s="1"/>
  <c r="AH214" i="1"/>
  <c r="AN214" i="1" s="1"/>
  <c r="AH215" i="1"/>
  <c r="AN215" i="1" s="1"/>
  <c r="AH216" i="1"/>
  <c r="AN216" i="1" s="1"/>
  <c r="AH217" i="1"/>
  <c r="AN217" i="1" s="1"/>
  <c r="AH218" i="1"/>
  <c r="AN218" i="1" s="1"/>
  <c r="AH219" i="1"/>
  <c r="AI219" i="1" s="1"/>
  <c r="AH220" i="1"/>
  <c r="AN220" i="1" s="1"/>
  <c r="AI6" i="1"/>
  <c r="AM6" i="1"/>
  <c r="AM7" i="1"/>
  <c r="AM8" i="1"/>
  <c r="AI9" i="1"/>
  <c r="AM9" i="1"/>
  <c r="AI10" i="1"/>
  <c r="AM10" i="1"/>
  <c r="AM11" i="1"/>
  <c r="AM12" i="1"/>
  <c r="AM13" i="1"/>
  <c r="AI14" i="1"/>
  <c r="AM14" i="1"/>
  <c r="AM15" i="1"/>
  <c r="AI16" i="1"/>
  <c r="AM16" i="1"/>
  <c r="AI17" i="1"/>
  <c r="AM17" i="1"/>
  <c r="AI18" i="1"/>
  <c r="AM18" i="1"/>
  <c r="AM20" i="1"/>
  <c r="AM21" i="1"/>
  <c r="AM22" i="1"/>
  <c r="AI23" i="1"/>
  <c r="AM23" i="1"/>
  <c r="AM24" i="1"/>
  <c r="AI25" i="1"/>
  <c r="AM25" i="1"/>
  <c r="AI26" i="1"/>
  <c r="AM26" i="1"/>
  <c r="AI27" i="1"/>
  <c r="AM27" i="1"/>
  <c r="AM28" i="1"/>
  <c r="AM29" i="1"/>
  <c r="AM30" i="1"/>
  <c r="AI31" i="1"/>
  <c r="AM31" i="1"/>
  <c r="AM32" i="1"/>
  <c r="AM33" i="1"/>
  <c r="AM34" i="1"/>
  <c r="AI35" i="1"/>
  <c r="AM35" i="1"/>
  <c r="BV35" i="1" s="1"/>
  <c r="AM36" i="1"/>
  <c r="AM37" i="1"/>
  <c r="AM38" i="1"/>
  <c r="BV38" i="1" s="1"/>
  <c r="AI39" i="1"/>
  <c r="AM39" i="1"/>
  <c r="BV39" i="1" s="1"/>
  <c r="AM40" i="1"/>
  <c r="AI41" i="1"/>
  <c r="AI42" i="1"/>
  <c r="AI44" i="1"/>
  <c r="AI47" i="1"/>
  <c r="BV48" i="1"/>
  <c r="AI49" i="1"/>
  <c r="BV49" i="1"/>
  <c r="AI50" i="1"/>
  <c r="AI55" i="1"/>
  <c r="AI56" i="1"/>
  <c r="AI57" i="1"/>
  <c r="AI58" i="1"/>
  <c r="AI59" i="1"/>
  <c r="AI65" i="1"/>
  <c r="AI68" i="1"/>
  <c r="AI71" i="1"/>
  <c r="AI73" i="1"/>
  <c r="AI74" i="1"/>
  <c r="AI76" i="1"/>
  <c r="AI79" i="1"/>
  <c r="AI80" i="1"/>
  <c r="AI83" i="1"/>
  <c r="AI89" i="1"/>
  <c r="AI91" i="1"/>
  <c r="AI95" i="1"/>
  <c r="AI96" i="1"/>
  <c r="AI104" i="1"/>
  <c r="AI107" i="1"/>
  <c r="AI109" i="1"/>
  <c r="AI111" i="1"/>
  <c r="AI113" i="1"/>
  <c r="AI115" i="1"/>
  <c r="AI119" i="1"/>
  <c r="AI121" i="1"/>
  <c r="AI127" i="1"/>
  <c r="AI128" i="1"/>
  <c r="AI131" i="1"/>
  <c r="AI135" i="1"/>
  <c r="AI136" i="1"/>
  <c r="AI137" i="1"/>
  <c r="AI140" i="1"/>
  <c r="AI143" i="1"/>
  <c r="AI146" i="1"/>
  <c r="AI147" i="1"/>
  <c r="AI154" i="1"/>
  <c r="AI155" i="1"/>
  <c r="AI161" i="1"/>
  <c r="AI162" i="1"/>
  <c r="AI163" i="1"/>
  <c r="AI164" i="1"/>
  <c r="AI167" i="1"/>
  <c r="AI169" i="1"/>
  <c r="AI170" i="1"/>
  <c r="AI172" i="1"/>
  <c r="AI175" i="1"/>
  <c r="AI176" i="1"/>
  <c r="AI177" i="1"/>
  <c r="AI179" i="1"/>
  <c r="AI183" i="1"/>
  <c r="AI185" i="1"/>
  <c r="AI187" i="1"/>
  <c r="AI191" i="1"/>
  <c r="AI193" i="1"/>
  <c r="AI194" i="1"/>
  <c r="AI195" i="1"/>
  <c r="AI196" i="1"/>
  <c r="AI199" i="1"/>
  <c r="AI200" i="1"/>
  <c r="AI203" i="1"/>
  <c r="AI205" i="1"/>
  <c r="AI208" i="1"/>
  <c r="AI209" i="1"/>
  <c r="AI211" i="1"/>
  <c r="AI215" i="1"/>
  <c r="AI216" i="1"/>
  <c r="AI217" i="1"/>
  <c r="AI218" i="1"/>
  <c r="BV40" i="1"/>
  <c r="BV61" i="1"/>
  <c r="BJ89" i="1"/>
  <c r="AF6" i="1"/>
  <c r="AG6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BP35" i="1" s="1"/>
  <c r="AF36" i="1"/>
  <c r="AG36" i="1"/>
  <c r="BP36" i="1" s="1"/>
  <c r="AF37" i="1"/>
  <c r="AG37" i="1"/>
  <c r="AF38" i="1"/>
  <c r="AG38" i="1"/>
  <c r="AF39" i="1"/>
  <c r="AG39" i="1"/>
  <c r="BP39" i="1" s="1"/>
  <c r="BQ39" i="1" s="1"/>
  <c r="AF40" i="1"/>
  <c r="AG40" i="1"/>
  <c r="BP40" i="1" s="1"/>
  <c r="BQ40" i="1" s="1"/>
  <c r="AF41" i="1"/>
  <c r="AG41" i="1"/>
  <c r="BP41" i="1" s="1"/>
  <c r="AF42" i="1"/>
  <c r="AG42" i="1"/>
  <c r="AF43" i="1"/>
  <c r="AG43" i="1"/>
  <c r="BP43" i="1" s="1"/>
  <c r="BQ43" i="1" s="1"/>
  <c r="AF44" i="1"/>
  <c r="AG44" i="1"/>
  <c r="BP44" i="1" s="1"/>
  <c r="BQ44" i="1" s="1"/>
  <c r="AF45" i="1"/>
  <c r="AG45" i="1"/>
  <c r="AF46" i="1"/>
  <c r="AG46" i="1"/>
  <c r="AF47" i="1"/>
  <c r="AG47" i="1"/>
  <c r="BP47" i="1" s="1"/>
  <c r="AF48" i="1"/>
  <c r="AG48" i="1"/>
  <c r="BP48" i="1" s="1"/>
  <c r="AF49" i="1"/>
  <c r="AG49" i="1"/>
  <c r="AF50" i="1"/>
  <c r="AG50" i="1"/>
  <c r="AF51" i="1"/>
  <c r="AG51" i="1"/>
  <c r="BP51" i="1" s="1"/>
  <c r="AF52" i="1"/>
  <c r="AG52" i="1"/>
  <c r="BP52" i="1" s="1"/>
  <c r="BQ52" i="1" s="1"/>
  <c r="AF53" i="1"/>
  <c r="AG53" i="1"/>
  <c r="BP53" i="1" s="1"/>
  <c r="AF54" i="1"/>
  <c r="AG54" i="1"/>
  <c r="AF55" i="1"/>
  <c r="AG55" i="1"/>
  <c r="BP55" i="1" s="1"/>
  <c r="BQ55" i="1" s="1"/>
  <c r="AF56" i="1"/>
  <c r="AG56" i="1"/>
  <c r="BP56" i="1" s="1"/>
  <c r="BQ56" i="1" s="1"/>
  <c r="AF57" i="1"/>
  <c r="AG57" i="1"/>
  <c r="AF58" i="1"/>
  <c r="AG58" i="1"/>
  <c r="AF59" i="1"/>
  <c r="AG59" i="1"/>
  <c r="AF60" i="1"/>
  <c r="AG60" i="1"/>
  <c r="BP60" i="1" s="1"/>
  <c r="BQ60" i="1" s="1"/>
  <c r="AF61" i="1"/>
  <c r="AG61" i="1"/>
  <c r="AF62" i="1"/>
  <c r="AG62" i="1"/>
  <c r="AF63" i="1"/>
  <c r="AG63" i="1"/>
  <c r="BP63" i="1" s="1"/>
  <c r="BQ63" i="1" s="1"/>
  <c r="AF64" i="1"/>
  <c r="AG64" i="1"/>
  <c r="BP64" i="1" s="1"/>
  <c r="AF65" i="1"/>
  <c r="AG65" i="1"/>
  <c r="BP65" i="1" s="1"/>
  <c r="AF66" i="1"/>
  <c r="AG66" i="1"/>
  <c r="AF67" i="1"/>
  <c r="AG67" i="1"/>
  <c r="BP67" i="1" s="1"/>
  <c r="BQ67" i="1" s="1"/>
  <c r="AF68" i="1"/>
  <c r="AG68" i="1"/>
  <c r="BP68" i="1" s="1"/>
  <c r="BQ68" i="1" s="1"/>
  <c r="AF69" i="1"/>
  <c r="AG69" i="1"/>
  <c r="AF70" i="1"/>
  <c r="AG70" i="1"/>
  <c r="AF71" i="1"/>
  <c r="AG71" i="1"/>
  <c r="BP71" i="1" s="1"/>
  <c r="AF72" i="1"/>
  <c r="AG72" i="1"/>
  <c r="BP72" i="1" s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F79" i="1"/>
  <c r="AG79" i="1"/>
  <c r="AF80" i="1"/>
  <c r="AG80" i="1"/>
  <c r="AF81" i="1"/>
  <c r="AG81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97" i="1"/>
  <c r="AG97" i="1"/>
  <c r="AF98" i="1"/>
  <c r="AG98" i="1"/>
  <c r="AF99" i="1"/>
  <c r="AG99" i="1"/>
  <c r="AF100" i="1"/>
  <c r="AG100" i="1"/>
  <c r="AF101" i="1"/>
  <c r="AG101" i="1"/>
  <c r="AF102" i="1"/>
  <c r="AG102" i="1"/>
  <c r="AF103" i="1"/>
  <c r="AG103" i="1"/>
  <c r="AF104" i="1"/>
  <c r="AG104" i="1"/>
  <c r="AF105" i="1"/>
  <c r="AG105" i="1"/>
  <c r="AF106" i="1"/>
  <c r="AG106" i="1"/>
  <c r="AF107" i="1"/>
  <c r="AG107" i="1"/>
  <c r="AF108" i="1"/>
  <c r="AG108" i="1"/>
  <c r="AF109" i="1"/>
  <c r="AG109" i="1"/>
  <c r="AF110" i="1"/>
  <c r="AG110" i="1"/>
  <c r="AF111" i="1"/>
  <c r="AG111" i="1"/>
  <c r="AF112" i="1"/>
  <c r="AG112" i="1"/>
  <c r="AF113" i="1"/>
  <c r="AG113" i="1"/>
  <c r="AF114" i="1"/>
  <c r="AG114" i="1"/>
  <c r="AF115" i="1"/>
  <c r="AG115" i="1"/>
  <c r="AF116" i="1"/>
  <c r="AG116" i="1"/>
  <c r="AF117" i="1"/>
  <c r="AG117" i="1"/>
  <c r="AF118" i="1"/>
  <c r="AG118" i="1"/>
  <c r="AF119" i="1"/>
  <c r="AG119" i="1"/>
  <c r="AF120" i="1"/>
  <c r="AG120" i="1"/>
  <c r="AF121" i="1"/>
  <c r="AG121" i="1"/>
  <c r="AF122" i="1"/>
  <c r="AG122" i="1"/>
  <c r="AF123" i="1"/>
  <c r="AG123" i="1"/>
  <c r="AF124" i="1"/>
  <c r="AG124" i="1"/>
  <c r="AF125" i="1"/>
  <c r="AG125" i="1"/>
  <c r="AF126" i="1"/>
  <c r="AG126" i="1"/>
  <c r="AF127" i="1"/>
  <c r="AG127" i="1"/>
  <c r="AF128" i="1"/>
  <c r="AG128" i="1"/>
  <c r="AF129" i="1"/>
  <c r="AG129" i="1"/>
  <c r="AF130" i="1"/>
  <c r="AG130" i="1"/>
  <c r="AF131" i="1"/>
  <c r="AG131" i="1"/>
  <c r="AF132" i="1"/>
  <c r="AG132" i="1"/>
  <c r="AF133" i="1"/>
  <c r="AG133" i="1"/>
  <c r="AF134" i="1"/>
  <c r="AG134" i="1"/>
  <c r="AF135" i="1"/>
  <c r="AG135" i="1"/>
  <c r="AF136" i="1"/>
  <c r="AG136" i="1"/>
  <c r="AF137" i="1"/>
  <c r="AG137" i="1"/>
  <c r="AF138" i="1"/>
  <c r="AG138" i="1"/>
  <c r="AF139" i="1"/>
  <c r="AG139" i="1"/>
  <c r="AF140" i="1"/>
  <c r="AG140" i="1"/>
  <c r="AF141" i="1"/>
  <c r="AG141" i="1"/>
  <c r="AF142" i="1"/>
  <c r="AG142" i="1"/>
  <c r="AF143" i="1"/>
  <c r="AG143" i="1"/>
  <c r="AF144" i="1"/>
  <c r="AG144" i="1"/>
  <c r="AF145" i="1"/>
  <c r="AG145" i="1"/>
  <c r="AF146" i="1"/>
  <c r="AG146" i="1"/>
  <c r="AF147" i="1"/>
  <c r="AG147" i="1"/>
  <c r="AF148" i="1"/>
  <c r="AG148" i="1"/>
  <c r="AF149" i="1"/>
  <c r="AG149" i="1"/>
  <c r="AF150" i="1"/>
  <c r="AG150" i="1"/>
  <c r="AF151" i="1"/>
  <c r="AG151" i="1"/>
  <c r="AF152" i="1"/>
  <c r="AG152" i="1"/>
  <c r="AF153" i="1"/>
  <c r="AG153" i="1"/>
  <c r="AF154" i="1"/>
  <c r="AG154" i="1"/>
  <c r="AF155" i="1"/>
  <c r="AG155" i="1"/>
  <c r="AF156" i="1"/>
  <c r="AG156" i="1"/>
  <c r="AF157" i="1"/>
  <c r="AG157" i="1"/>
  <c r="AF158" i="1"/>
  <c r="AG158" i="1"/>
  <c r="AF159" i="1"/>
  <c r="AG159" i="1"/>
  <c r="AF160" i="1"/>
  <c r="AG160" i="1"/>
  <c r="AF161" i="1"/>
  <c r="AG161" i="1"/>
  <c r="AF162" i="1"/>
  <c r="AG162" i="1"/>
  <c r="AF163" i="1"/>
  <c r="AG163" i="1"/>
  <c r="AF164" i="1"/>
  <c r="AG164" i="1"/>
  <c r="AF165" i="1"/>
  <c r="AG165" i="1"/>
  <c r="AF166" i="1"/>
  <c r="AG166" i="1"/>
  <c r="AF167" i="1"/>
  <c r="AG167" i="1"/>
  <c r="AF168" i="1"/>
  <c r="AG168" i="1"/>
  <c r="AF169" i="1"/>
  <c r="AG169" i="1"/>
  <c r="AF170" i="1"/>
  <c r="AG170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78" i="1"/>
  <c r="AG178" i="1"/>
  <c r="AF179" i="1"/>
  <c r="AG179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7" i="1"/>
  <c r="AG187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G200" i="1"/>
  <c r="AF201" i="1"/>
  <c r="AG201" i="1"/>
  <c r="AF202" i="1"/>
  <c r="AG202" i="1"/>
  <c r="AF203" i="1"/>
  <c r="AG203" i="1"/>
  <c r="AF204" i="1"/>
  <c r="AG204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G211" i="1"/>
  <c r="AF212" i="1"/>
  <c r="AG212" i="1"/>
  <c r="AF213" i="1"/>
  <c r="AG213" i="1"/>
  <c r="AF214" i="1"/>
  <c r="AG214" i="1"/>
  <c r="AF215" i="1"/>
  <c r="AG215" i="1"/>
  <c r="AF216" i="1"/>
  <c r="AG216" i="1"/>
  <c r="AF217" i="1"/>
  <c r="AG217" i="1"/>
  <c r="AF218" i="1"/>
  <c r="AG218" i="1"/>
  <c r="AF219" i="1"/>
  <c r="AG219" i="1"/>
  <c r="AF220" i="1"/>
  <c r="AG220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H5" i="1"/>
  <c r="AH263" i="1" s="1"/>
  <c r="BP90" i="1"/>
  <c r="CB88" i="1"/>
  <c r="CC88" i="1" s="1"/>
  <c r="O87" i="1"/>
  <c r="T87" i="1" s="1"/>
  <c r="Q87" i="1"/>
  <c r="O88" i="1"/>
  <c r="U88" i="1" s="1"/>
  <c r="Z88" i="1" s="1"/>
  <c r="Q88" i="1"/>
  <c r="O89" i="1"/>
  <c r="U89" i="1" s="1"/>
  <c r="AA89" i="1" s="1"/>
  <c r="BV89" i="1" s="1"/>
  <c r="Q89" i="1"/>
  <c r="O90" i="1"/>
  <c r="U90" i="1" s="1"/>
  <c r="Q90" i="1"/>
  <c r="O91" i="1"/>
  <c r="U91" i="1" s="1"/>
  <c r="Q91" i="1"/>
  <c r="N87" i="1"/>
  <c r="N88" i="1"/>
  <c r="N89" i="1"/>
  <c r="N90" i="1"/>
  <c r="N91" i="1"/>
  <c r="K87" i="1"/>
  <c r="K88" i="1"/>
  <c r="K89" i="1"/>
  <c r="K90" i="1"/>
  <c r="K91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5" i="1"/>
  <c r="Q263" i="1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5" i="1"/>
  <c r="O263" i="1" s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5" i="1"/>
  <c r="AF5" i="1"/>
  <c r="AF263" i="1" s="1"/>
  <c r="CE172" i="1"/>
  <c r="BY79" i="1"/>
  <c r="BS164" i="1"/>
  <c r="BM105" i="1"/>
  <c r="BM190" i="1"/>
  <c r="BG96" i="1"/>
  <c r="BG115" i="1"/>
  <c r="BG172" i="1"/>
  <c r="BV72" i="1"/>
  <c r="BV69" i="1"/>
  <c r="BV57" i="1"/>
  <c r="BV46" i="1"/>
  <c r="BV42" i="1"/>
  <c r="AM5" i="1"/>
  <c r="AM263" i="1" s="1"/>
  <c r="AI5" i="1"/>
  <c r="AG5" i="1"/>
  <c r="AG263" i="1" s="1"/>
  <c r="AC5" i="1"/>
  <c r="AC263" i="1" s="1"/>
  <c r="CE9" i="1"/>
  <c r="BY57" i="1"/>
  <c r="BS58" i="1"/>
  <c r="BG58" i="1"/>
  <c r="BV73" i="1"/>
  <c r="BV65" i="1"/>
  <c r="BV56" i="1"/>
  <c r="BV50" i="1"/>
  <c r="BV36" i="1"/>
  <c r="BP73" i="1"/>
  <c r="BQ73" i="1" s="1"/>
  <c r="BP70" i="1"/>
  <c r="BP69" i="1"/>
  <c r="BP66" i="1"/>
  <c r="BQ66" i="1" s="1"/>
  <c r="BP62" i="1"/>
  <c r="BP61" i="1"/>
  <c r="BP59" i="1"/>
  <c r="BQ59" i="1" s="1"/>
  <c r="BP58" i="1"/>
  <c r="BP57" i="1"/>
  <c r="BQ57" i="1" s="1"/>
  <c r="BP54" i="1"/>
  <c r="BP50" i="1"/>
  <c r="BQ50" i="1" s="1"/>
  <c r="BP49" i="1"/>
  <c r="BP46" i="1"/>
  <c r="BP45" i="1"/>
  <c r="BP42" i="1"/>
  <c r="BP38" i="1"/>
  <c r="CB73" i="1"/>
  <c r="CB72" i="1"/>
  <c r="CB71" i="1"/>
  <c r="CB70" i="1"/>
  <c r="CB69" i="1"/>
  <c r="CB68" i="1"/>
  <c r="CB67" i="1"/>
  <c r="CB66" i="1"/>
  <c r="CB65" i="1"/>
  <c r="CB63" i="1"/>
  <c r="CB62" i="1"/>
  <c r="CB60" i="1"/>
  <c r="CB59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2" i="1"/>
  <c r="CB41" i="1"/>
  <c r="CB40" i="1"/>
  <c r="CB38" i="1"/>
  <c r="CB37" i="1"/>
  <c r="CB36" i="1"/>
  <c r="CB35" i="1"/>
  <c r="CB34" i="1"/>
  <c r="AN221" i="1" l="1"/>
  <c r="AI221" i="1"/>
  <c r="BK221" i="1"/>
  <c r="AN222" i="1"/>
  <c r="AI222" i="1"/>
  <c r="BK222" i="1"/>
  <c r="AN223" i="1"/>
  <c r="AI223" i="1"/>
  <c r="BK223" i="1"/>
  <c r="AN224" i="1"/>
  <c r="AI224" i="1"/>
  <c r="BK224" i="1"/>
  <c r="AN225" i="1"/>
  <c r="AI225" i="1"/>
  <c r="BK225" i="1"/>
  <c r="AN226" i="1"/>
  <c r="AI226" i="1"/>
  <c r="BK226" i="1"/>
  <c r="AN227" i="1"/>
  <c r="AI227" i="1"/>
  <c r="BK227" i="1"/>
  <c r="AN228" i="1"/>
  <c r="AI228" i="1"/>
  <c r="BK228" i="1"/>
  <c r="AN229" i="1"/>
  <c r="AI229" i="1"/>
  <c r="BK229" i="1"/>
  <c r="AN230" i="1"/>
  <c r="AI230" i="1"/>
  <c r="BK230" i="1"/>
  <c r="AN231" i="1"/>
  <c r="AI231" i="1"/>
  <c r="BK231" i="1"/>
  <c r="AN232" i="1"/>
  <c r="AI232" i="1"/>
  <c r="BK232" i="1"/>
  <c r="AN233" i="1"/>
  <c r="AI233" i="1"/>
  <c r="BK233" i="1"/>
  <c r="AN234" i="1"/>
  <c r="AI234" i="1"/>
  <c r="BK234" i="1"/>
  <c r="AN235" i="1"/>
  <c r="AI235" i="1"/>
  <c r="BK235" i="1"/>
  <c r="AN236" i="1"/>
  <c r="AI236" i="1"/>
  <c r="BK236" i="1"/>
  <c r="AN237" i="1"/>
  <c r="AI237" i="1"/>
  <c r="BK237" i="1"/>
  <c r="AN238" i="1"/>
  <c r="AI238" i="1"/>
  <c r="BK238" i="1"/>
  <c r="AN239" i="1"/>
  <c r="AI239" i="1"/>
  <c r="BK239" i="1"/>
  <c r="AN240" i="1"/>
  <c r="AI240" i="1"/>
  <c r="BK240" i="1"/>
  <c r="AN241" i="1"/>
  <c r="AI241" i="1"/>
  <c r="BK241" i="1"/>
  <c r="AN242" i="1"/>
  <c r="AI242" i="1"/>
  <c r="BK242" i="1"/>
  <c r="AN243" i="1"/>
  <c r="AI243" i="1"/>
  <c r="BK243" i="1"/>
  <c r="AN244" i="1"/>
  <c r="AI244" i="1"/>
  <c r="BK244" i="1"/>
  <c r="AN245" i="1"/>
  <c r="AI245" i="1"/>
  <c r="BK245" i="1"/>
  <c r="AN246" i="1"/>
  <c r="AI246" i="1"/>
  <c r="BK246" i="1"/>
  <c r="AN247" i="1"/>
  <c r="AI247" i="1"/>
  <c r="BK247" i="1"/>
  <c r="AN248" i="1"/>
  <c r="AI248" i="1"/>
  <c r="BK248" i="1"/>
  <c r="AN249" i="1"/>
  <c r="AI249" i="1"/>
  <c r="BK249" i="1"/>
  <c r="AN250" i="1"/>
  <c r="AI250" i="1"/>
  <c r="BK250" i="1"/>
  <c r="AN251" i="1"/>
  <c r="AI251" i="1"/>
  <c r="BK251" i="1"/>
  <c r="AN252" i="1"/>
  <c r="AI252" i="1"/>
  <c r="BK252" i="1"/>
  <c r="AN253" i="1"/>
  <c r="AI253" i="1"/>
  <c r="BK253" i="1"/>
  <c r="AN254" i="1"/>
  <c r="AI254" i="1"/>
  <c r="BK254" i="1"/>
  <c r="AN255" i="1"/>
  <c r="AI255" i="1"/>
  <c r="BK255" i="1"/>
  <c r="AN256" i="1"/>
  <c r="AI256" i="1"/>
  <c r="BK256" i="1"/>
  <c r="AN257" i="1"/>
  <c r="AI257" i="1"/>
  <c r="BK257" i="1"/>
  <c r="K263" i="1"/>
  <c r="K270" i="1"/>
  <c r="N263" i="1"/>
  <c r="N270" i="1"/>
  <c r="CE57" i="1"/>
  <c r="AT57" i="1"/>
  <c r="AZ57" i="1" s="1"/>
  <c r="BA57" i="1" s="1"/>
  <c r="AF214" i="3"/>
  <c r="CB214" i="3"/>
  <c r="AG214" i="3"/>
  <c r="K214" i="3"/>
  <c r="K221" i="3" s="1"/>
  <c r="BP214" i="3"/>
  <c r="N214" i="3"/>
  <c r="N221" i="3" s="1"/>
  <c r="O214" i="3"/>
  <c r="Q214" i="3"/>
  <c r="BE214" i="3"/>
  <c r="AR214" i="3"/>
  <c r="AH214" i="3"/>
  <c r="AX214" i="3"/>
  <c r="BV214" i="3"/>
  <c r="AM214" i="3"/>
  <c r="AY214" i="3"/>
  <c r="AT196" i="1"/>
  <c r="AO196" i="1"/>
  <c r="AT139" i="1"/>
  <c r="AO139" i="1"/>
  <c r="AT67" i="1"/>
  <c r="AZ67" i="1" s="1"/>
  <c r="BA67" i="1" s="1"/>
  <c r="AO67" i="1"/>
  <c r="AT217" i="1"/>
  <c r="AO217" i="1"/>
  <c r="AT145" i="1"/>
  <c r="AO145" i="1"/>
  <c r="AT8" i="1"/>
  <c r="T90" i="1"/>
  <c r="AO186" i="1"/>
  <c r="AN117" i="1"/>
  <c r="AO58" i="1"/>
  <c r="W90" i="1"/>
  <c r="AN207" i="1"/>
  <c r="AN178" i="1"/>
  <c r="AO156" i="1"/>
  <c r="AN108" i="1"/>
  <c r="AO93" i="1"/>
  <c r="AN45" i="1"/>
  <c r="AT143" i="1"/>
  <c r="AZ143" i="1" s="1"/>
  <c r="BA143" i="1" s="1"/>
  <c r="AU157" i="1"/>
  <c r="AT97" i="1"/>
  <c r="AU97" i="1" s="1"/>
  <c r="AO130" i="1"/>
  <c r="AO73" i="1"/>
  <c r="AT95" i="1"/>
  <c r="AT214" i="1"/>
  <c r="AO214" i="1"/>
  <c r="AT150" i="1"/>
  <c r="AO150" i="1"/>
  <c r="AT38" i="1"/>
  <c r="CE38" i="1"/>
  <c r="BG38" i="1"/>
  <c r="Z91" i="1"/>
  <c r="AA91" i="1"/>
  <c r="AT205" i="1"/>
  <c r="AO205" i="1"/>
  <c r="BG205" i="1"/>
  <c r="AT189" i="1"/>
  <c r="AO189" i="1"/>
  <c r="AO173" i="1"/>
  <c r="AT173" i="1"/>
  <c r="AT109" i="1"/>
  <c r="BY109" i="1"/>
  <c r="AO109" i="1"/>
  <c r="AO101" i="1"/>
  <c r="AT101" i="1"/>
  <c r="AT85" i="1"/>
  <c r="AO85" i="1"/>
  <c r="AT37" i="1"/>
  <c r="AO37" i="1"/>
  <c r="AT12" i="1"/>
  <c r="AO12" i="1"/>
  <c r="AT220" i="1"/>
  <c r="AO220" i="1"/>
  <c r="AO212" i="1"/>
  <c r="AT212" i="1"/>
  <c r="AT180" i="1"/>
  <c r="BM180" i="1"/>
  <c r="AO140" i="1"/>
  <c r="AT140" i="1"/>
  <c r="AT100" i="1"/>
  <c r="AO100" i="1"/>
  <c r="AT84" i="1"/>
  <c r="AO84" i="1"/>
  <c r="AZ68" i="1"/>
  <c r="BA68" i="1" s="1"/>
  <c r="AU68" i="1"/>
  <c r="AT30" i="1"/>
  <c r="AO30" i="1"/>
  <c r="AA90" i="1"/>
  <c r="BV90" i="1" s="1"/>
  <c r="Z90" i="1"/>
  <c r="AT211" i="1"/>
  <c r="AO211" i="1"/>
  <c r="AO203" i="1"/>
  <c r="AT203" i="1"/>
  <c r="AU195" i="1"/>
  <c r="AZ195" i="1"/>
  <c r="BA195" i="1" s="1"/>
  <c r="AT187" i="1"/>
  <c r="AO187" i="1"/>
  <c r="BY187" i="1"/>
  <c r="BG187" i="1"/>
  <c r="AO179" i="1"/>
  <c r="AT179" i="1"/>
  <c r="AO155" i="1"/>
  <c r="AT155" i="1"/>
  <c r="AO99" i="1"/>
  <c r="AT99" i="1"/>
  <c r="AT91" i="1"/>
  <c r="AO91" i="1"/>
  <c r="AZ83" i="1"/>
  <c r="BA83" i="1" s="1"/>
  <c r="AU83" i="1"/>
  <c r="AO27" i="1"/>
  <c r="AT27" i="1"/>
  <c r="CE27" i="1"/>
  <c r="AT18" i="1"/>
  <c r="AO18" i="1"/>
  <c r="AT166" i="1"/>
  <c r="AO166" i="1"/>
  <c r="AO126" i="1"/>
  <c r="AT126" i="1"/>
  <c r="CE54" i="1"/>
  <c r="AT54" i="1"/>
  <c r="BY54" i="1"/>
  <c r="BM54" i="1"/>
  <c r="AT22" i="1"/>
  <c r="AO22" i="1"/>
  <c r="AU73" i="1"/>
  <c r="AZ73" i="1"/>
  <c r="BA73" i="1" s="1"/>
  <c r="AO218" i="1"/>
  <c r="AT218" i="1"/>
  <c r="AT210" i="1"/>
  <c r="AO210" i="1"/>
  <c r="BS210" i="1"/>
  <c r="AZ194" i="1"/>
  <c r="BA194" i="1" s="1"/>
  <c r="AU194" i="1"/>
  <c r="AT154" i="1"/>
  <c r="AO154" i="1"/>
  <c r="AZ146" i="1"/>
  <c r="BA146" i="1" s="1"/>
  <c r="AU146" i="1"/>
  <c r="AT138" i="1"/>
  <c r="AO138" i="1"/>
  <c r="AT122" i="1"/>
  <c r="BM122" i="1"/>
  <c r="BS122" i="1"/>
  <c r="AO90" i="1"/>
  <c r="AT90" i="1"/>
  <c r="AO74" i="1"/>
  <c r="AT74" i="1"/>
  <c r="AT66" i="1"/>
  <c r="AO66" i="1"/>
  <c r="AO50" i="1"/>
  <c r="AT50" i="1"/>
  <c r="BM50" i="1"/>
  <c r="CE50" i="1"/>
  <c r="AO209" i="1"/>
  <c r="AT209" i="1"/>
  <c r="AO201" i="1"/>
  <c r="AT201" i="1"/>
  <c r="AT193" i="1"/>
  <c r="BG193" i="1"/>
  <c r="AO193" i="1"/>
  <c r="AO185" i="1"/>
  <c r="AT185" i="1"/>
  <c r="AZ177" i="1"/>
  <c r="BA177" i="1" s="1"/>
  <c r="AU177" i="1"/>
  <c r="BG169" i="1"/>
  <c r="AT169" i="1"/>
  <c r="AO169" i="1"/>
  <c r="BY169" i="1"/>
  <c r="AO161" i="1"/>
  <c r="AT161" i="1"/>
  <c r="AT121" i="1"/>
  <c r="AO121" i="1"/>
  <c r="AO81" i="1"/>
  <c r="AT81" i="1"/>
  <c r="CE49" i="1"/>
  <c r="BY49" i="1"/>
  <c r="BM49" i="1"/>
  <c r="AO49" i="1"/>
  <c r="AT49" i="1"/>
  <c r="BG49" i="1"/>
  <c r="AZ217" i="1"/>
  <c r="BA217" i="1" s="1"/>
  <c r="AU217" i="1"/>
  <c r="AZ145" i="1"/>
  <c r="BA145" i="1" s="1"/>
  <c r="AU145" i="1"/>
  <c r="CE216" i="1"/>
  <c r="AT216" i="1"/>
  <c r="AT208" i="1"/>
  <c r="AO208" i="1"/>
  <c r="BY208" i="1"/>
  <c r="AO200" i="1"/>
  <c r="AT200" i="1"/>
  <c r="AT192" i="1"/>
  <c r="AO192" i="1"/>
  <c r="AT160" i="1"/>
  <c r="AO160" i="1"/>
  <c r="AO144" i="1"/>
  <c r="AT144" i="1"/>
  <c r="AT136" i="1"/>
  <c r="AO136" i="1"/>
  <c r="AO128" i="1"/>
  <c r="AT128" i="1"/>
  <c r="BG128" i="1"/>
  <c r="AT120" i="1"/>
  <c r="AO120" i="1"/>
  <c r="BG120" i="1"/>
  <c r="AO72" i="1"/>
  <c r="AT72" i="1"/>
  <c r="AO56" i="1"/>
  <c r="AT56" i="1"/>
  <c r="AO183" i="1"/>
  <c r="AT183" i="1"/>
  <c r="AO175" i="1"/>
  <c r="AT175" i="1"/>
  <c r="AO167" i="1"/>
  <c r="AT167" i="1"/>
  <c r="AO135" i="1"/>
  <c r="AT135" i="1"/>
  <c r="BS127" i="1"/>
  <c r="BY127" i="1"/>
  <c r="AT127" i="1"/>
  <c r="AO127" i="1"/>
  <c r="AO119" i="1"/>
  <c r="AT119" i="1"/>
  <c r="AU111" i="1"/>
  <c r="AZ111" i="1"/>
  <c r="BA111" i="1" s="1"/>
  <c r="AT103" i="1"/>
  <c r="AO103" i="1"/>
  <c r="AT55" i="1"/>
  <c r="AO55" i="1"/>
  <c r="BG55" i="1"/>
  <c r="AO47" i="1"/>
  <c r="AT47" i="1"/>
  <c r="AT31" i="1"/>
  <c r="AO31" i="1"/>
  <c r="AT70" i="1"/>
  <c r="AO70" i="1"/>
  <c r="BG162" i="1"/>
  <c r="AT162" i="1"/>
  <c r="AT117" i="1"/>
  <c r="AO117" i="1"/>
  <c r="AT181" i="1"/>
  <c r="AO181" i="1"/>
  <c r="AO125" i="1"/>
  <c r="AT125" i="1"/>
  <c r="AO77" i="1"/>
  <c r="AT77" i="1"/>
  <c r="T89" i="1"/>
  <c r="W89" i="1"/>
  <c r="AI190" i="1"/>
  <c r="AI149" i="1"/>
  <c r="AI85" i="1"/>
  <c r="AI38" i="1"/>
  <c r="AI204" i="1"/>
  <c r="AN204" i="1"/>
  <c r="BY204" i="1" s="1"/>
  <c r="AO188" i="1"/>
  <c r="AT188" i="1"/>
  <c r="AU156" i="1"/>
  <c r="AZ156" i="1"/>
  <c r="BA156" i="1" s="1"/>
  <c r="AI148" i="1"/>
  <c r="AN148" i="1"/>
  <c r="AT132" i="1"/>
  <c r="AO132" i="1"/>
  <c r="AT124" i="1"/>
  <c r="AO124" i="1"/>
  <c r="AI116" i="1"/>
  <c r="AN116" i="1"/>
  <c r="AZ76" i="1"/>
  <c r="BA76" i="1" s="1"/>
  <c r="AU76" i="1"/>
  <c r="AI60" i="1"/>
  <c r="AN60" i="1"/>
  <c r="CE60" i="1" s="1"/>
  <c r="AI52" i="1"/>
  <c r="AN52" i="1"/>
  <c r="AO44" i="1"/>
  <c r="AT44" i="1"/>
  <c r="AN219" i="1"/>
  <c r="AO172" i="1"/>
  <c r="AT89" i="1"/>
  <c r="AU21" i="1"/>
  <c r="AZ21" i="1"/>
  <c r="BA21" i="1" s="1"/>
  <c r="AO151" i="1"/>
  <c r="AT151" i="1"/>
  <c r="AO104" i="1"/>
  <c r="AT104" i="1"/>
  <c r="AT82" i="1"/>
  <c r="AO82" i="1"/>
  <c r="AO32" i="1"/>
  <c r="AT32" i="1"/>
  <c r="BY157" i="1"/>
  <c r="AI213" i="1"/>
  <c r="AI134" i="1"/>
  <c r="AI101" i="1"/>
  <c r="AI69" i="1"/>
  <c r="AI22" i="1"/>
  <c r="AI171" i="1"/>
  <c r="AN171" i="1"/>
  <c r="AZ163" i="1"/>
  <c r="BA163" i="1" s="1"/>
  <c r="AU163" i="1"/>
  <c r="AO147" i="1"/>
  <c r="AT147" i="1"/>
  <c r="AO131" i="1"/>
  <c r="AT131" i="1"/>
  <c r="AO123" i="1"/>
  <c r="AT123" i="1"/>
  <c r="AT115" i="1"/>
  <c r="AO115" i="1"/>
  <c r="AO107" i="1"/>
  <c r="AT107" i="1"/>
  <c r="AI75" i="1"/>
  <c r="AN75" i="1"/>
  <c r="AO59" i="1"/>
  <c r="AT59" i="1"/>
  <c r="AI51" i="1"/>
  <c r="AN51" i="1"/>
  <c r="BW51" i="1" s="1"/>
  <c r="AO43" i="1"/>
  <c r="AT43" i="1"/>
  <c r="AO35" i="1"/>
  <c r="AT35" i="1"/>
  <c r="AO10" i="1"/>
  <c r="AT10" i="1"/>
  <c r="AN198" i="1"/>
  <c r="AN153" i="1"/>
  <c r="CE153" i="1" s="1"/>
  <c r="AN92" i="1"/>
  <c r="AN86" i="1"/>
  <c r="AN64" i="1"/>
  <c r="AN13" i="1"/>
  <c r="AU57" i="1"/>
  <c r="AT41" i="1"/>
  <c r="AI206" i="1"/>
  <c r="AN206" i="1"/>
  <c r="AO134" i="1"/>
  <c r="AT134" i="1"/>
  <c r="BG78" i="1"/>
  <c r="AT78" i="1"/>
  <c r="AO78" i="1"/>
  <c r="AO36" i="1"/>
  <c r="AT36" i="1"/>
  <c r="AT14" i="1"/>
  <c r="AO213" i="1"/>
  <c r="AT213" i="1"/>
  <c r="AO165" i="1"/>
  <c r="AT165" i="1"/>
  <c r="AO53" i="1"/>
  <c r="AT53" i="1"/>
  <c r="AN110" i="1"/>
  <c r="AO21" i="1"/>
  <c r="AZ8" i="1"/>
  <c r="BA8" i="1" s="1"/>
  <c r="AU8" i="1"/>
  <c r="BQ54" i="1"/>
  <c r="U87" i="1"/>
  <c r="Z87" i="1" s="1"/>
  <c r="W87" i="1"/>
  <c r="AI173" i="1"/>
  <c r="AI37" i="1"/>
  <c r="AI202" i="1"/>
  <c r="AN202" i="1"/>
  <c r="AU186" i="1"/>
  <c r="AZ186" i="1"/>
  <c r="BA186" i="1" s="1"/>
  <c r="AZ130" i="1"/>
  <c r="BA130" i="1" s="1"/>
  <c r="AU130" i="1"/>
  <c r="AT114" i="1"/>
  <c r="AO114" i="1"/>
  <c r="AO106" i="1"/>
  <c r="AT106" i="1"/>
  <c r="AI98" i="1"/>
  <c r="AN98" i="1"/>
  <c r="AU58" i="1"/>
  <c r="AZ58" i="1"/>
  <c r="BA58" i="1" s="1"/>
  <c r="BS42" i="1"/>
  <c r="AT42" i="1"/>
  <c r="AO42" i="1"/>
  <c r="AT34" i="1"/>
  <c r="AO34" i="1"/>
  <c r="AO26" i="1"/>
  <c r="AT26" i="1"/>
  <c r="AO17" i="1"/>
  <c r="AT17" i="1"/>
  <c r="AT9" i="1"/>
  <c r="AO9" i="1"/>
  <c r="AO57" i="1"/>
  <c r="AN29" i="1"/>
  <c r="AN20" i="1"/>
  <c r="AU67" i="1"/>
  <c r="AT79" i="1"/>
  <c r="AO62" i="1"/>
  <c r="AT62" i="1"/>
  <c r="AO199" i="1"/>
  <c r="AT199" i="1"/>
  <c r="AO170" i="1"/>
  <c r="AT170" i="1"/>
  <c r="AO108" i="1"/>
  <c r="AT108" i="1"/>
  <c r="AO141" i="1"/>
  <c r="AT141" i="1"/>
  <c r="AN102" i="1"/>
  <c r="AT11" i="1"/>
  <c r="AO11" i="1"/>
  <c r="BQ45" i="1"/>
  <c r="BS199" i="1"/>
  <c r="AI54" i="1"/>
  <c r="AI129" i="1"/>
  <c r="AN129" i="1"/>
  <c r="AI33" i="1"/>
  <c r="AN33" i="1"/>
  <c r="BW55" i="1"/>
  <c r="AN182" i="1"/>
  <c r="AO163" i="1"/>
  <c r="AO157" i="1"/>
  <c r="AN118" i="1"/>
  <c r="AO94" i="1"/>
  <c r="AN46" i="1"/>
  <c r="AU172" i="1"/>
  <c r="AU158" i="1"/>
  <c r="AT113" i="1"/>
  <c r="AZ97" i="1"/>
  <c r="BA97" i="1" s="1"/>
  <c r="AT190" i="1"/>
  <c r="AO190" i="1"/>
  <c r="AI142" i="1"/>
  <c r="AN142" i="1"/>
  <c r="AZ94" i="1"/>
  <c r="BA94" i="1" s="1"/>
  <c r="AU94" i="1"/>
  <c r="AI166" i="1"/>
  <c r="AO197" i="1"/>
  <c r="AT197" i="1"/>
  <c r="AO149" i="1"/>
  <c r="AT149" i="1"/>
  <c r="AT61" i="1"/>
  <c r="AO61" i="1"/>
  <c r="BQ46" i="1"/>
  <c r="BS190" i="1"/>
  <c r="AI158" i="1"/>
  <c r="AI141" i="1"/>
  <c r="AI94" i="1"/>
  <c r="AI77" i="1"/>
  <c r="AI62" i="1"/>
  <c r="AO176" i="1"/>
  <c r="AT176" i="1"/>
  <c r="AI112" i="1"/>
  <c r="AN112" i="1"/>
  <c r="BM112" i="1" s="1"/>
  <c r="BM96" i="1"/>
  <c r="AT96" i="1"/>
  <c r="AO96" i="1"/>
  <c r="AI88" i="1"/>
  <c r="AN88" i="1"/>
  <c r="CE88" i="1" s="1"/>
  <c r="AO80" i="1"/>
  <c r="AT80" i="1"/>
  <c r="AI40" i="1"/>
  <c r="AN40" i="1"/>
  <c r="AI24" i="1"/>
  <c r="AN24" i="1"/>
  <c r="AI15" i="1"/>
  <c r="AN15" i="1"/>
  <c r="CE15" i="1" s="1"/>
  <c r="AI7" i="1"/>
  <c r="AN7" i="1"/>
  <c r="AN152" i="1"/>
  <c r="AO111" i="1"/>
  <c r="AN63" i="1"/>
  <c r="AU93" i="1"/>
  <c r="AT65" i="1"/>
  <c r="AT25" i="1"/>
  <c r="AT174" i="1"/>
  <c r="AO174" i="1"/>
  <c r="AU168" i="1"/>
  <c r="AZ168" i="1"/>
  <c r="BA168" i="1" s="1"/>
  <c r="AT45" i="1"/>
  <c r="AO45" i="1"/>
  <c r="AT133" i="1"/>
  <c r="AO133" i="1"/>
  <c r="AU69" i="1"/>
  <c r="AZ69" i="1"/>
  <c r="BA69" i="1" s="1"/>
  <c r="AZ196" i="1"/>
  <c r="BA196" i="1" s="1"/>
  <c r="AU196" i="1"/>
  <c r="AT137" i="1"/>
  <c r="BQ38" i="1"/>
  <c r="BG45" i="1"/>
  <c r="BG94" i="1"/>
  <c r="AI181" i="1"/>
  <c r="AI157" i="1"/>
  <c r="AI125" i="1"/>
  <c r="AI61" i="1"/>
  <c r="AO215" i="1"/>
  <c r="AT215" i="1"/>
  <c r="AI159" i="1"/>
  <c r="AN159" i="1"/>
  <c r="BS159" i="1" s="1"/>
  <c r="AI87" i="1"/>
  <c r="AN87" i="1"/>
  <c r="AT87" i="1" s="1"/>
  <c r="AO71" i="1"/>
  <c r="AT71" i="1"/>
  <c r="CE39" i="1"/>
  <c r="AT39" i="1"/>
  <c r="AZ23" i="1"/>
  <c r="BA23" i="1" s="1"/>
  <c r="AU23" i="1"/>
  <c r="AT6" i="1"/>
  <c r="AO6" i="1"/>
  <c r="AN184" i="1"/>
  <c r="CE184" i="1" s="1"/>
  <c r="AO168" i="1"/>
  <c r="AO76" i="1"/>
  <c r="AN48" i="1"/>
  <c r="AN28" i="1"/>
  <c r="AU164" i="1"/>
  <c r="AT191" i="1"/>
  <c r="AT105" i="1"/>
  <c r="AT16" i="1"/>
  <c r="BV91" i="1"/>
  <c r="BM158" i="1"/>
  <c r="BS158" i="1"/>
  <c r="AO158" i="1"/>
  <c r="BS54" i="1"/>
  <c r="BY50" i="1"/>
  <c r="BM183" i="1"/>
  <c r="BS140" i="1"/>
  <c r="AO216" i="1"/>
  <c r="AO180" i="1"/>
  <c r="AO162" i="1"/>
  <c r="AO54" i="1"/>
  <c r="AO23" i="1"/>
  <c r="BG83" i="1"/>
  <c r="AO83" i="1"/>
  <c r="BM194" i="1"/>
  <c r="AO194" i="1"/>
  <c r="AO122" i="1"/>
  <c r="BG122" i="1"/>
  <c r="BY68" i="1"/>
  <c r="AO68" i="1"/>
  <c r="AO195" i="1"/>
  <c r="AO177" i="1"/>
  <c r="BG164" i="1"/>
  <c r="AO164" i="1"/>
  <c r="AO146" i="1"/>
  <c r="BG146" i="1"/>
  <c r="AO87" i="1"/>
  <c r="AO69" i="1"/>
  <c r="AO38" i="1"/>
  <c r="BM38" i="1"/>
  <c r="BM68" i="1"/>
  <c r="BM117" i="1"/>
  <c r="CE17" i="1"/>
  <c r="BM213" i="1"/>
  <c r="BW54" i="1"/>
  <c r="BM142" i="1"/>
  <c r="BY64" i="1"/>
  <c r="CC50" i="1"/>
  <c r="BS50" i="1"/>
  <c r="BG50" i="1"/>
  <c r="CE18" i="1"/>
  <c r="BW48" i="1"/>
  <c r="BG192" i="1"/>
  <c r="BS192" i="1"/>
  <c r="BM192" i="1"/>
  <c r="AI186" i="1"/>
  <c r="BM168" i="1"/>
  <c r="BS168" i="1"/>
  <c r="BM156" i="1"/>
  <c r="AI156" i="1"/>
  <c r="AI150" i="1"/>
  <c r="BG150" i="1"/>
  <c r="AI90" i="1"/>
  <c r="BY90" i="1"/>
  <c r="AI66" i="1"/>
  <c r="BY142" i="1"/>
  <c r="CE102" i="1"/>
  <c r="BM102" i="1"/>
  <c r="CC54" i="1"/>
  <c r="BG104" i="1"/>
  <c r="AI220" i="1"/>
  <c r="CE220" i="1"/>
  <c r="AI214" i="1"/>
  <c r="BY199" i="1"/>
  <c r="AI201" i="1"/>
  <c r="BM141" i="1"/>
  <c r="AI123" i="1"/>
  <c r="CC57" i="1"/>
  <c r="BG57" i="1"/>
  <c r="BS57" i="1"/>
  <c r="BY39" i="1"/>
  <c r="BM39" i="1"/>
  <c r="BM60" i="1"/>
  <c r="BG176" i="1"/>
  <c r="BS102" i="1"/>
  <c r="BG142" i="1"/>
  <c r="BM148" i="1"/>
  <c r="BM104" i="1"/>
  <c r="BG46" i="1"/>
  <c r="CE46" i="1"/>
  <c r="BY46" i="1"/>
  <c r="BM46" i="1"/>
  <c r="CE85" i="1"/>
  <c r="BY85" i="1"/>
  <c r="BM85" i="1"/>
  <c r="BG54" i="1"/>
  <c r="BS46" i="1"/>
  <c r="BG180" i="1"/>
  <c r="BG140" i="1"/>
  <c r="BM146" i="1"/>
  <c r="CE55" i="1"/>
  <c r="BY55" i="1"/>
  <c r="AI168" i="1"/>
  <c r="AI78" i="1"/>
  <c r="BQ36" i="1"/>
  <c r="BQ51" i="1"/>
  <c r="BQ58" i="1"/>
  <c r="BQ64" i="1"/>
  <c r="BQ72" i="1"/>
  <c r="BW50" i="1"/>
  <c r="BW68" i="1"/>
  <c r="BW46" i="1"/>
  <c r="CB90" i="1"/>
  <c r="CC90" i="1" s="1"/>
  <c r="BW64" i="1"/>
  <c r="BW40" i="1"/>
  <c r="BQ69" i="1"/>
  <c r="BW42" i="1"/>
  <c r="BW57" i="1"/>
  <c r="AI72" i="1"/>
  <c r="BW72" i="1"/>
  <c r="BS76" i="1"/>
  <c r="CE76" i="1"/>
  <c r="BM76" i="1"/>
  <c r="BG76" i="1"/>
  <c r="AI8" i="1"/>
  <c r="BY163" i="1"/>
  <c r="BS163" i="1"/>
  <c r="CE14" i="1"/>
  <c r="BS211" i="1"/>
  <c r="BG211" i="1"/>
  <c r="AI132" i="1"/>
  <c r="CC58" i="1"/>
  <c r="CE58" i="1"/>
  <c r="BM58" i="1"/>
  <c r="CC42" i="1"/>
  <c r="BG42" i="1"/>
  <c r="BM42" i="1"/>
  <c r="CE42" i="1"/>
  <c r="BY42" i="1"/>
  <c r="AI70" i="1"/>
  <c r="CE187" i="1"/>
  <c r="BS187" i="1"/>
  <c r="CE166" i="1"/>
  <c r="BY166" i="1"/>
  <c r="BS166" i="1"/>
  <c r="BG166" i="1"/>
  <c r="BM147" i="1"/>
  <c r="CE63" i="1"/>
  <c r="BS63" i="1"/>
  <c r="BG63" i="1"/>
  <c r="BY63" i="1"/>
  <c r="CC45" i="1"/>
  <c r="BS45" i="1"/>
  <c r="CE24" i="1"/>
  <c r="BY140" i="1"/>
  <c r="CE140" i="1"/>
  <c r="CE79" i="1"/>
  <c r="BG79" i="1"/>
  <c r="BS55" i="1"/>
  <c r="BM55" i="1"/>
  <c r="CE174" i="1"/>
  <c r="BG174" i="1"/>
  <c r="AI114" i="1"/>
  <c r="BM136" i="1"/>
  <c r="BG136" i="1"/>
  <c r="CC49" i="1"/>
  <c r="BY48" i="1"/>
  <c r="AI197" i="1"/>
  <c r="AI138" i="1"/>
  <c r="BY138" i="1"/>
  <c r="BQ61" i="1"/>
  <c r="BS49" i="1"/>
  <c r="BM140" i="1"/>
  <c r="BM79" i="1"/>
  <c r="BS79" i="1"/>
  <c r="BY202" i="1"/>
  <c r="BM202" i="1"/>
  <c r="BG202" i="1"/>
  <c r="BS157" i="1"/>
  <c r="BY66" i="1"/>
  <c r="AI160" i="1"/>
  <c r="AI93" i="1"/>
  <c r="BY78" i="1"/>
  <c r="BM78" i="1"/>
  <c r="AI12" i="1"/>
  <c r="CE186" i="1"/>
  <c r="AI133" i="1"/>
  <c r="BG133" i="1"/>
  <c r="AI84" i="1"/>
  <c r="AI82" i="1"/>
  <c r="AI21" i="1"/>
  <c r="BW58" i="1"/>
  <c r="BW63" i="1"/>
  <c r="BS150" i="1"/>
  <c r="BM150" i="1"/>
  <c r="CE94" i="1"/>
  <c r="BS94" i="1"/>
  <c r="BY94" i="1"/>
  <c r="BM94" i="1"/>
  <c r="CE115" i="1"/>
  <c r="BS115" i="1"/>
  <c r="BS85" i="1"/>
  <c r="BG85" i="1"/>
  <c r="BY38" i="1"/>
  <c r="BQ70" i="1"/>
  <c r="BM48" i="1"/>
  <c r="BM63" i="1"/>
  <c r="BS38" i="1"/>
  <c r="CE45" i="1"/>
  <c r="BY115" i="1"/>
  <c r="CE136" i="1"/>
  <c r="BQ90" i="1"/>
  <c r="CE25" i="1"/>
  <c r="BG215" i="1"/>
  <c r="BS194" i="1"/>
  <c r="BG194" i="1"/>
  <c r="CE33" i="1"/>
  <c r="BJ212" i="1"/>
  <c r="BK212" i="1" s="1"/>
  <c r="BP212" i="1" s="1"/>
  <c r="AI212" i="1"/>
  <c r="AI210" i="1"/>
  <c r="AI192" i="1"/>
  <c r="AI188" i="1"/>
  <c r="BM188" i="1"/>
  <c r="AI174" i="1"/>
  <c r="AI105" i="1"/>
  <c r="AI103" i="1"/>
  <c r="BW66" i="1"/>
  <c r="AI30" i="1"/>
  <c r="CE40" i="1"/>
  <c r="BS40" i="1"/>
  <c r="BW38" i="1"/>
  <c r="BY168" i="1"/>
  <c r="AI151" i="1"/>
  <c r="CE151" i="1"/>
  <c r="AI106" i="1"/>
  <c r="BY106" i="1"/>
  <c r="AI36" i="1"/>
  <c r="AI32" i="1"/>
  <c r="AI11" i="1"/>
  <c r="AI189" i="1"/>
  <c r="AI180" i="1"/>
  <c r="AI145" i="1"/>
  <c r="CE145" i="1"/>
  <c r="AI139" i="1"/>
  <c r="AI126" i="1"/>
  <c r="AI124" i="1"/>
  <c r="BG124" i="1"/>
  <c r="AI122" i="1"/>
  <c r="AI120" i="1"/>
  <c r="BW49" i="1"/>
  <c r="CE180" i="1"/>
  <c r="BY180" i="1"/>
  <c r="BS180" i="1"/>
  <c r="AI165" i="1"/>
  <c r="CE165" i="1"/>
  <c r="AI130" i="1"/>
  <c r="BY122" i="1"/>
  <c r="CE122" i="1"/>
  <c r="BS120" i="1"/>
  <c r="AI99" i="1"/>
  <c r="BM99" i="1"/>
  <c r="AI97" i="1"/>
  <c r="BM97" i="1"/>
  <c r="AI81" i="1"/>
  <c r="BY81" i="1"/>
  <c r="AI67" i="1"/>
  <c r="BW67" i="1"/>
  <c r="AI53" i="1"/>
  <c r="BG53" i="1"/>
  <c r="BW39" i="1"/>
  <c r="AI100" i="1"/>
  <c r="AI43" i="1"/>
  <c r="CE43" i="1"/>
  <c r="AI34" i="1"/>
  <c r="CC38" i="1"/>
  <c r="BQ42" i="1"/>
  <c r="BQ49" i="1"/>
  <c r="BM57" i="1"/>
  <c r="BS169" i="1"/>
  <c r="AI144" i="1"/>
  <c r="BM144" i="1"/>
  <c r="BQ71" i="1"/>
  <c r="BQ65" i="1"/>
  <c r="BQ53" i="1"/>
  <c r="BQ47" i="1"/>
  <c r="BQ41" i="1"/>
  <c r="BS69" i="1"/>
  <c r="BY69" i="1"/>
  <c r="CE196" i="1"/>
  <c r="BY196" i="1"/>
  <c r="BY162" i="1"/>
  <c r="BS162" i="1"/>
  <c r="BM162" i="1"/>
  <c r="BM135" i="1"/>
  <c r="CE22" i="1"/>
  <c r="CC68" i="1"/>
  <c r="BS68" i="1"/>
  <c r="BG68" i="1"/>
  <c r="BG196" i="1"/>
  <c r="BG102" i="1"/>
  <c r="BM129" i="1"/>
  <c r="BM177" i="1"/>
  <c r="BS205" i="1"/>
  <c r="BS193" i="1"/>
  <c r="BY176" i="1"/>
  <c r="CE176" i="1"/>
  <c r="BM176" i="1"/>
  <c r="CE6" i="1"/>
  <c r="BW53" i="1"/>
  <c r="BY216" i="1"/>
  <c r="BS216" i="1"/>
  <c r="BM216" i="1"/>
  <c r="CC69" i="1"/>
  <c r="CE69" i="1"/>
  <c r="BG69" i="1"/>
  <c r="CC37" i="1"/>
  <c r="BS37" i="1"/>
  <c r="BM37" i="1"/>
  <c r="CE210" i="1"/>
  <c r="BY210" i="1"/>
  <c r="BS195" i="1"/>
  <c r="BM195" i="1"/>
  <c r="BY174" i="1"/>
  <c r="CE132" i="1"/>
  <c r="BY102" i="1"/>
  <c r="BG84" i="1"/>
  <c r="CC67" i="1"/>
  <c r="BS67" i="1"/>
  <c r="BS51" i="1"/>
  <c r="BY128" i="1"/>
  <c r="BS128" i="1"/>
  <c r="CE128" i="1"/>
  <c r="BM128" i="1"/>
  <c r="BY104" i="1"/>
  <c r="BS104" i="1"/>
  <c r="BM69" i="1"/>
  <c r="CE214" i="1"/>
  <c r="BY214" i="1"/>
  <c r="CE178" i="1"/>
  <c r="BM178" i="1"/>
  <c r="BG178" i="1"/>
  <c r="BS148" i="1"/>
  <c r="BG148" i="1"/>
  <c r="BS118" i="1"/>
  <c r="BG118" i="1"/>
  <c r="BY118" i="1"/>
  <c r="BY103" i="1"/>
  <c r="BM70" i="1"/>
  <c r="CC39" i="1"/>
  <c r="BS39" i="1"/>
  <c r="BG39" i="1"/>
  <c r="BG216" i="1"/>
  <c r="CE68" i="1"/>
  <c r="BG214" i="1"/>
  <c r="BM210" i="1"/>
  <c r="BS176" i="1"/>
  <c r="CE104" i="1"/>
  <c r="BG208" i="1"/>
  <c r="CE208" i="1"/>
  <c r="BS208" i="1"/>
  <c r="BM208" i="1"/>
  <c r="CE190" i="1"/>
  <c r="BG190" i="1"/>
  <c r="BY190" i="1"/>
  <c r="BY172" i="1"/>
  <c r="BM172" i="1"/>
  <c r="BS172" i="1"/>
  <c r="BS156" i="1"/>
  <c r="CE156" i="1"/>
  <c r="BG156" i="1"/>
  <c r="BY156" i="1"/>
  <c r="CE130" i="1"/>
  <c r="CE114" i="1"/>
  <c r="BY100" i="1"/>
  <c r="CE13" i="1"/>
  <c r="BY164" i="1"/>
  <c r="CE164" i="1"/>
  <c r="BM164" i="1"/>
  <c r="BY121" i="1"/>
  <c r="BQ48" i="1"/>
  <c r="BG48" i="1"/>
  <c r="BM45" i="1"/>
  <c r="BQ62" i="1"/>
  <c r="BW45" i="1"/>
  <c r="BW69" i="1"/>
  <c r="BG168" i="1"/>
  <c r="BM134" i="1"/>
  <c r="BS121" i="1"/>
  <c r="CE134" i="1"/>
  <c r="BY150" i="1"/>
  <c r="BY136" i="1"/>
  <c r="BS136" i="1"/>
  <c r="CE106" i="1"/>
  <c r="CE194" i="1"/>
  <c r="BY194" i="1"/>
  <c r="BY146" i="1"/>
  <c r="CE146" i="1"/>
  <c r="BS146" i="1"/>
  <c r="BY110" i="1"/>
  <c r="CC71" i="1"/>
  <c r="BW62" i="1"/>
  <c r="CE192" i="1"/>
  <c r="BY192" i="1"/>
  <c r="BJ116" i="1"/>
  <c r="BW44" i="1"/>
  <c r="BY158" i="1"/>
  <c r="CE158" i="1"/>
  <c r="CE48" i="1"/>
  <c r="BG158" i="1"/>
  <c r="CE168" i="1"/>
  <c r="CE28" i="1"/>
  <c r="BG199" i="1"/>
  <c r="BG134" i="1"/>
  <c r="BM207" i="1"/>
  <c r="BM186" i="1"/>
  <c r="BS186" i="1"/>
  <c r="BS134" i="1"/>
  <c r="BY134" i="1"/>
  <c r="BY151" i="1"/>
  <c r="BS96" i="1"/>
  <c r="CE96" i="1"/>
  <c r="BY96" i="1"/>
  <c r="BY76" i="1"/>
  <c r="BJ218" i="1"/>
  <c r="BK218" i="1" s="1"/>
  <c r="BP218" i="1" s="1"/>
  <c r="BM74" i="1"/>
  <c r="BW65" i="1"/>
  <c r="BW56" i="1"/>
  <c r="BK90" i="1"/>
  <c r="CE202" i="1"/>
  <c r="CE142" i="1"/>
  <c r="BM219" i="1"/>
  <c r="BS123" i="1"/>
  <c r="BM123" i="1"/>
  <c r="BM111" i="1"/>
  <c r="BS175" i="1"/>
  <c r="BG175" i="1"/>
  <c r="BY175" i="1"/>
  <c r="BS145" i="1"/>
  <c r="BY97" i="1"/>
  <c r="BG91" i="1"/>
  <c r="BS91" i="1"/>
  <c r="BM73" i="1"/>
  <c r="CE73" i="1"/>
  <c r="CC73" i="1"/>
  <c r="BG73" i="1"/>
  <c r="BY73" i="1"/>
  <c r="BS73" i="1"/>
  <c r="BM61" i="1"/>
  <c r="BG61" i="1"/>
  <c r="CE61" i="1"/>
  <c r="BY61" i="1"/>
  <c r="BS61" i="1"/>
  <c r="BM43" i="1"/>
  <c r="CE31" i="1"/>
  <c r="CE10" i="1"/>
  <c r="BM220" i="1"/>
  <c r="BM174" i="1"/>
  <c r="BS83" i="1"/>
  <c r="T91" i="1"/>
  <c r="BJ91" i="1"/>
  <c r="BK91" i="1" s="1"/>
  <c r="BJ88" i="1"/>
  <c r="T88" i="1"/>
  <c r="BP89" i="1"/>
  <c r="Z89" i="1"/>
  <c r="W91" i="1"/>
  <c r="W88" i="1"/>
  <c r="BG90" i="1"/>
  <c r="BS90" i="1"/>
  <c r="BY132" i="1"/>
  <c r="AA87" i="1"/>
  <c r="BV87" i="1" s="1"/>
  <c r="BP91" i="1"/>
  <c r="BP87" i="1"/>
  <c r="CE78" i="1"/>
  <c r="BY52" i="1"/>
  <c r="CB87" i="1"/>
  <c r="CC87" i="1" s="1"/>
  <c r="BP88" i="1"/>
  <c r="AA88" i="1"/>
  <c r="BV88" i="1" s="1"/>
  <c r="CE90" i="1"/>
  <c r="CC55" i="1"/>
  <c r="BW61" i="1"/>
  <c r="BG87" i="1"/>
  <c r="BS87" i="1"/>
  <c r="CB91" i="1"/>
  <c r="CC91" i="1" s="1"/>
  <c r="CC61" i="1"/>
  <c r="BW73" i="1"/>
  <c r="BS72" i="1"/>
  <c r="BY45" i="1"/>
  <c r="BY58" i="1"/>
  <c r="BG210" i="1"/>
  <c r="BG163" i="1"/>
  <c r="BG75" i="1"/>
  <c r="BM214" i="1"/>
  <c r="BM196" i="1"/>
  <c r="BM166" i="1"/>
  <c r="BM120" i="1"/>
  <c r="BM100" i="1"/>
  <c r="BS174" i="1"/>
  <c r="BS109" i="1"/>
  <c r="BS78" i="1"/>
  <c r="BY120" i="1"/>
  <c r="CE150" i="1"/>
  <c r="CE120" i="1"/>
  <c r="CE108" i="1"/>
  <c r="CE162" i="1"/>
  <c r="BY84" i="1"/>
  <c r="AN5" i="1"/>
  <c r="AN263" i="1" s="1"/>
  <c r="CC41" i="1"/>
  <c r="CC59" i="1"/>
  <c r="BM209" i="1"/>
  <c r="BS203" i="1"/>
  <c r="BM203" i="1"/>
  <c r="CE203" i="1"/>
  <c r="BY203" i="1"/>
  <c r="BG197" i="1"/>
  <c r="BY185" i="1"/>
  <c r="BS185" i="1"/>
  <c r="BM185" i="1"/>
  <c r="BG185" i="1"/>
  <c r="CE185" i="1"/>
  <c r="BM77" i="1"/>
  <c r="BG59" i="1"/>
  <c r="BM59" i="1"/>
  <c r="BS59" i="1"/>
  <c r="BY59" i="1"/>
  <c r="CE59" i="1"/>
  <c r="BG41" i="1"/>
  <c r="BM41" i="1"/>
  <c r="CE41" i="1"/>
  <c r="BS41" i="1"/>
  <c r="BY41" i="1"/>
  <c r="CE23" i="1"/>
  <c r="CE217" i="1"/>
  <c r="BM217" i="1"/>
  <c r="BY217" i="1"/>
  <c r="CE189" i="1"/>
  <c r="BY189" i="1"/>
  <c r="BG189" i="1"/>
  <c r="BS189" i="1"/>
  <c r="CE181" i="1"/>
  <c r="BM181" i="1"/>
  <c r="CE171" i="1"/>
  <c r="BY171" i="1"/>
  <c r="BG171" i="1"/>
  <c r="BS171" i="1"/>
  <c r="BM88" i="1"/>
  <c r="BM215" i="1"/>
  <c r="BY191" i="1"/>
  <c r="CB89" i="1"/>
  <c r="CC89" i="1" s="1"/>
  <c r="CE83" i="1"/>
  <c r="BY83" i="1"/>
  <c r="BW41" i="1"/>
  <c r="BW35" i="1"/>
  <c r="BS52" i="1"/>
  <c r="CE215" i="1"/>
  <c r="CE207" i="1"/>
  <c r="BY207" i="1"/>
  <c r="BG207" i="1"/>
  <c r="BS207" i="1"/>
  <c r="BM103" i="1"/>
  <c r="BM189" i="1"/>
  <c r="BM171" i="1"/>
  <c r="CE161" i="1"/>
  <c r="BM139" i="1"/>
  <c r="BG139" i="1"/>
  <c r="CE213" i="1"/>
  <c r="BY213" i="1"/>
  <c r="BG213" i="1"/>
  <c r="BS213" i="1"/>
  <c r="CE201" i="1"/>
  <c r="BY201" i="1"/>
  <c r="BG201" i="1"/>
  <c r="BS201" i="1"/>
  <c r="CE177" i="1"/>
  <c r="BY177" i="1"/>
  <c r="BG177" i="1"/>
  <c r="BS177" i="1"/>
  <c r="BG165" i="1"/>
  <c r="BS165" i="1"/>
  <c r="CE141" i="1"/>
  <c r="BY141" i="1"/>
  <c r="BG141" i="1"/>
  <c r="BS141" i="1"/>
  <c r="CE129" i="1"/>
  <c r="BY129" i="1"/>
  <c r="BG129" i="1"/>
  <c r="BS129" i="1"/>
  <c r="CE105" i="1"/>
  <c r="BY105" i="1"/>
  <c r="BG105" i="1"/>
  <c r="BS105" i="1"/>
  <c r="BG93" i="1"/>
  <c r="BM106" i="1"/>
  <c r="BS217" i="1"/>
  <c r="BS181" i="1"/>
  <c r="BY181" i="1"/>
  <c r="CE211" i="1"/>
  <c r="BM211" i="1"/>
  <c r="BY211" i="1"/>
  <c r="CE175" i="1"/>
  <c r="BM175" i="1"/>
  <c r="CE127" i="1"/>
  <c r="BM127" i="1"/>
  <c r="BG127" i="1"/>
  <c r="CE111" i="1"/>
  <c r="BY111" i="1"/>
  <c r="BG111" i="1"/>
  <c r="BS111" i="1"/>
  <c r="BY91" i="1"/>
  <c r="BM91" i="1"/>
  <c r="CE91" i="1"/>
  <c r="BW59" i="1"/>
  <c r="BG217" i="1"/>
  <c r="BG181" i="1"/>
  <c r="CE163" i="1"/>
  <c r="BM163" i="1"/>
  <c r="CE147" i="1"/>
  <c r="BY147" i="1"/>
  <c r="BG147" i="1"/>
  <c r="BS147" i="1"/>
  <c r="CE117" i="1"/>
  <c r="BY117" i="1"/>
  <c r="BG117" i="1"/>
  <c r="BS117" i="1"/>
  <c r="CE109" i="1"/>
  <c r="BM109" i="1"/>
  <c r="BG109" i="1"/>
  <c r="BY99" i="1"/>
  <c r="BG99" i="1"/>
  <c r="BS99" i="1"/>
  <c r="CE75" i="1"/>
  <c r="BY75" i="1"/>
  <c r="CE205" i="1"/>
  <c r="BM205" i="1"/>
  <c r="BY205" i="1"/>
  <c r="CE193" i="1"/>
  <c r="BY193" i="1"/>
  <c r="BM193" i="1"/>
  <c r="CE169" i="1"/>
  <c r="BM169" i="1"/>
  <c r="CE157" i="1"/>
  <c r="BM157" i="1"/>
  <c r="BG157" i="1"/>
  <c r="CE133" i="1"/>
  <c r="BM133" i="1"/>
  <c r="CE121" i="1"/>
  <c r="BM121" i="1"/>
  <c r="BG121" i="1"/>
  <c r="BQ35" i="1"/>
  <c r="BW52" i="1"/>
  <c r="BM83" i="1"/>
  <c r="BS214" i="1"/>
  <c r="BS196" i="1"/>
  <c r="BS178" i="1"/>
  <c r="BS106" i="1"/>
  <c r="BY178" i="1"/>
  <c r="CE219" i="1"/>
  <c r="BY219" i="1"/>
  <c r="BG219" i="1"/>
  <c r="BS219" i="1"/>
  <c r="CE199" i="1"/>
  <c r="BM199" i="1"/>
  <c r="CE183" i="1"/>
  <c r="BY183" i="1"/>
  <c r="BG183" i="1"/>
  <c r="BS183" i="1"/>
  <c r="CE135" i="1"/>
  <c r="BY135" i="1"/>
  <c r="BG135" i="1"/>
  <c r="BS135" i="1"/>
  <c r="CE195" i="1"/>
  <c r="BY195" i="1"/>
  <c r="BY159" i="1"/>
  <c r="CE123" i="1"/>
  <c r="BY123" i="1"/>
  <c r="BY87" i="1"/>
  <c r="BM87" i="1"/>
  <c r="CE87" i="1"/>
  <c r="BG195" i="1"/>
  <c r="BG123" i="1"/>
  <c r="BM187" i="1"/>
  <c r="BM151" i="1"/>
  <c r="BM115" i="1"/>
  <c r="BK87" i="1"/>
  <c r="W5" i="1"/>
  <c r="T5" i="1"/>
  <c r="U5" i="1"/>
  <c r="W220" i="1"/>
  <c r="T220" i="1"/>
  <c r="U220" i="1"/>
  <c r="W219" i="1"/>
  <c r="T219" i="1"/>
  <c r="U219" i="1"/>
  <c r="AA219" i="1" s="1"/>
  <c r="W218" i="1"/>
  <c r="T218" i="1"/>
  <c r="U218" i="1"/>
  <c r="Z218" i="1" s="1"/>
  <c r="W217" i="1"/>
  <c r="T217" i="1"/>
  <c r="U217" i="1"/>
  <c r="W216" i="1"/>
  <c r="T216" i="1"/>
  <c r="U216" i="1"/>
  <c r="W215" i="1"/>
  <c r="T215" i="1"/>
  <c r="U215" i="1"/>
  <c r="W214" i="1"/>
  <c r="T214" i="1"/>
  <c r="U214" i="1"/>
  <c r="W213" i="1"/>
  <c r="T213" i="1"/>
  <c r="U213" i="1"/>
  <c r="Z213" i="1" s="1"/>
  <c r="W212" i="1"/>
  <c r="T212" i="1"/>
  <c r="U212" i="1"/>
  <c r="W211" i="1"/>
  <c r="T211" i="1"/>
  <c r="U211" i="1"/>
  <c r="W210" i="1"/>
  <c r="T210" i="1"/>
  <c r="U210" i="1"/>
  <c r="Z210" i="1" s="1"/>
  <c r="W209" i="1"/>
  <c r="T209" i="1"/>
  <c r="U209" i="1"/>
  <c r="W208" i="1"/>
  <c r="T208" i="1"/>
  <c r="U208" i="1"/>
  <c r="W207" i="1"/>
  <c r="T207" i="1"/>
  <c r="U207" i="1"/>
  <c r="Z207" i="1" s="1"/>
  <c r="W206" i="1"/>
  <c r="T206" i="1"/>
  <c r="U206" i="1"/>
  <c r="W205" i="1"/>
  <c r="T205" i="1"/>
  <c r="U205" i="1"/>
  <c r="W204" i="1"/>
  <c r="T204" i="1"/>
  <c r="U204" i="1"/>
  <c r="W203" i="1"/>
  <c r="T203" i="1"/>
  <c r="U203" i="1"/>
  <c r="W202" i="1"/>
  <c r="T202" i="1"/>
  <c r="U202" i="1"/>
  <c r="Z202" i="1" s="1"/>
  <c r="W201" i="1"/>
  <c r="T201" i="1"/>
  <c r="U201" i="1"/>
  <c r="AA201" i="1" s="1"/>
  <c r="W200" i="1"/>
  <c r="T200" i="1"/>
  <c r="U200" i="1"/>
  <c r="W199" i="1"/>
  <c r="T199" i="1"/>
  <c r="U199" i="1"/>
  <c r="W198" i="1"/>
  <c r="T198" i="1"/>
  <c r="U198" i="1"/>
  <c r="W197" i="1"/>
  <c r="T197" i="1"/>
  <c r="U197" i="1"/>
  <c r="W196" i="1"/>
  <c r="T196" i="1"/>
  <c r="U196" i="1"/>
  <c r="W195" i="1"/>
  <c r="T195" i="1"/>
  <c r="U195" i="1"/>
  <c r="Z195" i="1" s="1"/>
  <c r="W194" i="1"/>
  <c r="T194" i="1"/>
  <c r="U194" i="1"/>
  <c r="Z194" i="1" s="1"/>
  <c r="W193" i="1"/>
  <c r="T193" i="1"/>
  <c r="U193" i="1"/>
  <c r="W192" i="1"/>
  <c r="T192" i="1"/>
  <c r="U192" i="1"/>
  <c r="W191" i="1"/>
  <c r="T191" i="1"/>
  <c r="U191" i="1"/>
  <c r="W190" i="1"/>
  <c r="T190" i="1"/>
  <c r="U190" i="1"/>
  <c r="W189" i="1"/>
  <c r="T189" i="1"/>
  <c r="U189" i="1"/>
  <c r="Z189" i="1" s="1"/>
  <c r="W188" i="1"/>
  <c r="T188" i="1"/>
  <c r="U188" i="1"/>
  <c r="W187" i="1"/>
  <c r="T187" i="1"/>
  <c r="U187" i="1"/>
  <c r="W186" i="1"/>
  <c r="T186" i="1"/>
  <c r="U186" i="1"/>
  <c r="Z186" i="1" s="1"/>
  <c r="W185" i="1"/>
  <c r="T185" i="1"/>
  <c r="U185" i="1"/>
  <c r="W184" i="1"/>
  <c r="T184" i="1"/>
  <c r="U184" i="1"/>
  <c r="W183" i="1"/>
  <c r="T183" i="1"/>
  <c r="U183" i="1"/>
  <c r="AA183" i="1" s="1"/>
  <c r="W182" i="1"/>
  <c r="T182" i="1"/>
  <c r="U182" i="1"/>
  <c r="W181" i="1"/>
  <c r="T181" i="1"/>
  <c r="U181" i="1"/>
  <c r="W180" i="1"/>
  <c r="T180" i="1"/>
  <c r="U180" i="1"/>
  <c r="W179" i="1"/>
  <c r="T179" i="1"/>
  <c r="U179" i="1"/>
  <c r="W178" i="1"/>
  <c r="T178" i="1"/>
  <c r="U178" i="1"/>
  <c r="AA178" i="1" s="1"/>
  <c r="W177" i="1"/>
  <c r="T177" i="1"/>
  <c r="U177" i="1"/>
  <c r="Z177" i="1" s="1"/>
  <c r="W176" i="1"/>
  <c r="T176" i="1"/>
  <c r="U176" i="1"/>
  <c r="W175" i="1"/>
  <c r="T175" i="1"/>
  <c r="U175" i="1"/>
  <c r="W174" i="1"/>
  <c r="T174" i="1"/>
  <c r="U174" i="1"/>
  <c r="W173" i="1"/>
  <c r="T173" i="1"/>
  <c r="U173" i="1"/>
  <c r="W172" i="1"/>
  <c r="T172" i="1"/>
  <c r="U172" i="1"/>
  <c r="W171" i="1"/>
  <c r="T171" i="1"/>
  <c r="U171" i="1"/>
  <c r="AA171" i="1" s="1"/>
  <c r="W170" i="1"/>
  <c r="T170" i="1"/>
  <c r="U170" i="1"/>
  <c r="AA170" i="1" s="1"/>
  <c r="W169" i="1"/>
  <c r="T169" i="1"/>
  <c r="U169" i="1"/>
  <c r="W168" i="1"/>
  <c r="T168" i="1"/>
  <c r="U168" i="1"/>
  <c r="W167" i="1"/>
  <c r="T167" i="1"/>
  <c r="U167" i="1"/>
  <c r="W166" i="1"/>
  <c r="T166" i="1"/>
  <c r="U166" i="1"/>
  <c r="W165" i="1"/>
  <c r="T165" i="1"/>
  <c r="U165" i="1"/>
  <c r="AA165" i="1" s="1"/>
  <c r="W164" i="1"/>
  <c r="T164" i="1"/>
  <c r="U164" i="1"/>
  <c r="W163" i="1"/>
  <c r="T163" i="1"/>
  <c r="U163" i="1"/>
  <c r="W162" i="1"/>
  <c r="T162" i="1"/>
  <c r="U162" i="1"/>
  <c r="Z162" i="1" s="1"/>
  <c r="W161" i="1"/>
  <c r="T161" i="1"/>
  <c r="U161" i="1"/>
  <c r="W160" i="1"/>
  <c r="T160" i="1"/>
  <c r="U160" i="1"/>
  <c r="W159" i="1"/>
  <c r="T159" i="1"/>
  <c r="U159" i="1"/>
  <c r="Z159" i="1" s="1"/>
  <c r="W158" i="1"/>
  <c r="T158" i="1"/>
  <c r="U158" i="1"/>
  <c r="W157" i="1"/>
  <c r="T157" i="1"/>
  <c r="U157" i="1"/>
  <c r="W156" i="1"/>
  <c r="T156" i="1"/>
  <c r="U156" i="1"/>
  <c r="W155" i="1"/>
  <c r="T155" i="1"/>
  <c r="U155" i="1"/>
  <c r="W154" i="1"/>
  <c r="T154" i="1"/>
  <c r="U154" i="1"/>
  <c r="Z154" i="1" s="1"/>
  <c r="W153" i="1"/>
  <c r="T153" i="1"/>
  <c r="U153" i="1"/>
  <c r="AA153" i="1" s="1"/>
  <c r="W152" i="1"/>
  <c r="T152" i="1"/>
  <c r="U152" i="1"/>
  <c r="W151" i="1"/>
  <c r="T151" i="1"/>
  <c r="U151" i="1"/>
  <c r="W150" i="1"/>
  <c r="T150" i="1"/>
  <c r="U150" i="1"/>
  <c r="W149" i="1"/>
  <c r="T149" i="1"/>
  <c r="U149" i="1"/>
  <c r="W148" i="1"/>
  <c r="T148" i="1"/>
  <c r="U148" i="1"/>
  <c r="W147" i="1"/>
  <c r="T147" i="1"/>
  <c r="U147" i="1"/>
  <c r="AA147" i="1" s="1"/>
  <c r="W146" i="1"/>
  <c r="T146" i="1"/>
  <c r="U146" i="1"/>
  <c r="Z146" i="1" s="1"/>
  <c r="W145" i="1"/>
  <c r="T145" i="1"/>
  <c r="U145" i="1"/>
  <c r="W144" i="1"/>
  <c r="T144" i="1"/>
  <c r="U144" i="1"/>
  <c r="W143" i="1"/>
  <c r="T143" i="1"/>
  <c r="U143" i="1"/>
  <c r="W142" i="1"/>
  <c r="T142" i="1"/>
  <c r="U142" i="1"/>
  <c r="W141" i="1"/>
  <c r="T141" i="1"/>
  <c r="U141" i="1"/>
  <c r="Z141" i="1" s="1"/>
  <c r="W140" i="1"/>
  <c r="T140" i="1"/>
  <c r="U140" i="1"/>
  <c r="W139" i="1"/>
  <c r="T139" i="1"/>
  <c r="U139" i="1"/>
  <c r="W138" i="1"/>
  <c r="T138" i="1"/>
  <c r="U138" i="1"/>
  <c r="Z138" i="1" s="1"/>
  <c r="W137" i="1"/>
  <c r="T137" i="1"/>
  <c r="U137" i="1"/>
  <c r="W136" i="1"/>
  <c r="T136" i="1"/>
  <c r="U136" i="1"/>
  <c r="W135" i="1"/>
  <c r="T135" i="1"/>
  <c r="U135" i="1"/>
  <c r="Z135" i="1" s="1"/>
  <c r="W134" i="1"/>
  <c r="T134" i="1"/>
  <c r="U134" i="1"/>
  <c r="W133" i="1"/>
  <c r="T133" i="1"/>
  <c r="U133" i="1"/>
  <c r="W132" i="1"/>
  <c r="T132" i="1"/>
  <c r="U132" i="1"/>
  <c r="W131" i="1"/>
  <c r="T131" i="1"/>
  <c r="U131" i="1"/>
  <c r="W130" i="1"/>
  <c r="T130" i="1"/>
  <c r="U130" i="1"/>
  <c r="Z130" i="1" s="1"/>
  <c r="W129" i="1"/>
  <c r="T129" i="1"/>
  <c r="U129" i="1"/>
  <c r="AA129" i="1" s="1"/>
  <c r="W128" i="1"/>
  <c r="T128" i="1"/>
  <c r="U128" i="1"/>
  <c r="W127" i="1"/>
  <c r="T127" i="1"/>
  <c r="U127" i="1"/>
  <c r="W126" i="1"/>
  <c r="T126" i="1"/>
  <c r="U126" i="1"/>
  <c r="W125" i="1"/>
  <c r="T125" i="1"/>
  <c r="U125" i="1"/>
  <c r="W124" i="1"/>
  <c r="T124" i="1"/>
  <c r="U124" i="1"/>
  <c r="W123" i="1"/>
  <c r="T123" i="1"/>
  <c r="U123" i="1"/>
  <c r="Z123" i="1" s="1"/>
  <c r="W122" i="1"/>
  <c r="T122" i="1"/>
  <c r="U122" i="1"/>
  <c r="Z122" i="1" s="1"/>
  <c r="W121" i="1"/>
  <c r="T121" i="1"/>
  <c r="U121" i="1"/>
  <c r="W120" i="1"/>
  <c r="T120" i="1"/>
  <c r="U120" i="1"/>
  <c r="W119" i="1"/>
  <c r="T119" i="1"/>
  <c r="U119" i="1"/>
  <c r="W118" i="1"/>
  <c r="T118" i="1"/>
  <c r="U118" i="1"/>
  <c r="W117" i="1"/>
  <c r="T117" i="1"/>
  <c r="U117" i="1"/>
  <c r="AA117" i="1" s="1"/>
  <c r="W116" i="1"/>
  <c r="T116" i="1"/>
  <c r="U116" i="1"/>
  <c r="W115" i="1"/>
  <c r="T115" i="1"/>
  <c r="U115" i="1"/>
  <c r="W114" i="1"/>
  <c r="T114" i="1"/>
  <c r="U114" i="1"/>
  <c r="Z114" i="1" s="1"/>
  <c r="W113" i="1"/>
  <c r="T113" i="1"/>
  <c r="U113" i="1"/>
  <c r="W112" i="1"/>
  <c r="T112" i="1"/>
  <c r="U112" i="1"/>
  <c r="W111" i="1"/>
  <c r="T111" i="1"/>
  <c r="U111" i="1"/>
  <c r="AA111" i="1" s="1"/>
  <c r="W110" i="1"/>
  <c r="T110" i="1"/>
  <c r="U110" i="1"/>
  <c r="W109" i="1"/>
  <c r="T109" i="1"/>
  <c r="U109" i="1"/>
  <c r="W108" i="1"/>
  <c r="T108" i="1"/>
  <c r="U108" i="1"/>
  <c r="W107" i="1"/>
  <c r="T107" i="1"/>
  <c r="U107" i="1"/>
  <c r="W106" i="1"/>
  <c r="T106" i="1"/>
  <c r="U106" i="1"/>
  <c r="Z106" i="1" s="1"/>
  <c r="W105" i="1"/>
  <c r="T105" i="1"/>
  <c r="U105" i="1"/>
  <c r="Z105" i="1" s="1"/>
  <c r="W104" i="1"/>
  <c r="T104" i="1"/>
  <c r="U104" i="1"/>
  <c r="W103" i="1"/>
  <c r="T103" i="1"/>
  <c r="U103" i="1"/>
  <c r="W102" i="1"/>
  <c r="T102" i="1"/>
  <c r="U102" i="1"/>
  <c r="W101" i="1"/>
  <c r="T101" i="1"/>
  <c r="U101" i="1"/>
  <c r="W100" i="1"/>
  <c r="T100" i="1"/>
  <c r="U100" i="1"/>
  <c r="AA100" i="1" s="1"/>
  <c r="W99" i="1"/>
  <c r="T99" i="1"/>
  <c r="U99" i="1"/>
  <c r="Z99" i="1" s="1"/>
  <c r="W98" i="1"/>
  <c r="T98" i="1"/>
  <c r="U98" i="1"/>
  <c r="Z98" i="1" s="1"/>
  <c r="W97" i="1"/>
  <c r="T97" i="1"/>
  <c r="U97" i="1"/>
  <c r="W96" i="1"/>
  <c r="T96" i="1"/>
  <c r="U96" i="1"/>
  <c r="W95" i="1"/>
  <c r="T95" i="1"/>
  <c r="U95" i="1"/>
  <c r="W94" i="1"/>
  <c r="T94" i="1"/>
  <c r="U94" i="1"/>
  <c r="W93" i="1"/>
  <c r="T93" i="1"/>
  <c r="U93" i="1"/>
  <c r="AA93" i="1" s="1"/>
  <c r="W92" i="1"/>
  <c r="T92" i="1"/>
  <c r="U92" i="1"/>
  <c r="Z92" i="1" s="1"/>
  <c r="W86" i="1"/>
  <c r="T86" i="1"/>
  <c r="U86" i="1"/>
  <c r="W85" i="1"/>
  <c r="T85" i="1"/>
  <c r="U85" i="1"/>
  <c r="Z85" i="1" s="1"/>
  <c r="W84" i="1"/>
  <c r="T84" i="1"/>
  <c r="U84" i="1"/>
  <c r="W83" i="1"/>
  <c r="T83" i="1"/>
  <c r="U83" i="1"/>
  <c r="W82" i="1"/>
  <c r="T82" i="1"/>
  <c r="U82" i="1"/>
  <c r="Z82" i="1" s="1"/>
  <c r="W81" i="1"/>
  <c r="T81" i="1"/>
  <c r="U81" i="1"/>
  <c r="W80" i="1"/>
  <c r="T80" i="1"/>
  <c r="U80" i="1"/>
  <c r="W79" i="1"/>
  <c r="T79" i="1"/>
  <c r="U79" i="1"/>
  <c r="Z79" i="1" s="1"/>
  <c r="W78" i="1"/>
  <c r="T78" i="1"/>
  <c r="U78" i="1"/>
  <c r="W77" i="1"/>
  <c r="T77" i="1"/>
  <c r="U77" i="1"/>
  <c r="Z77" i="1" s="1"/>
  <c r="W76" i="1"/>
  <c r="T76" i="1"/>
  <c r="U76" i="1"/>
  <c r="Z76" i="1" s="1"/>
  <c r="W75" i="1"/>
  <c r="T75" i="1"/>
  <c r="U75" i="1"/>
  <c r="W74" i="1"/>
  <c r="T74" i="1"/>
  <c r="U74" i="1"/>
  <c r="W73" i="1"/>
  <c r="T73" i="1"/>
  <c r="U73" i="1"/>
  <c r="W72" i="1"/>
  <c r="T72" i="1"/>
  <c r="U72" i="1"/>
  <c r="W71" i="1"/>
  <c r="T71" i="1"/>
  <c r="U71" i="1"/>
  <c r="Z71" i="1" s="1"/>
  <c r="W70" i="1"/>
  <c r="T70" i="1"/>
  <c r="U70" i="1"/>
  <c r="W69" i="1"/>
  <c r="T69" i="1"/>
  <c r="U69" i="1"/>
  <c r="Z69" i="1" s="1"/>
  <c r="W68" i="1"/>
  <c r="T68" i="1"/>
  <c r="U68" i="1"/>
  <c r="W67" i="1"/>
  <c r="T67" i="1"/>
  <c r="U67" i="1"/>
  <c r="W66" i="1"/>
  <c r="T66" i="1"/>
  <c r="U66" i="1"/>
  <c r="W65" i="1"/>
  <c r="T65" i="1"/>
  <c r="U65" i="1"/>
  <c r="W64" i="1"/>
  <c r="T64" i="1"/>
  <c r="U64" i="1"/>
  <c r="W63" i="1"/>
  <c r="T63" i="1"/>
  <c r="U63" i="1"/>
  <c r="Z63" i="1" s="1"/>
  <c r="W62" i="1"/>
  <c r="T62" i="1"/>
  <c r="U62" i="1"/>
  <c r="W61" i="1"/>
  <c r="T61" i="1"/>
  <c r="U61" i="1"/>
  <c r="Z61" i="1" s="1"/>
  <c r="W60" i="1"/>
  <c r="T60" i="1"/>
  <c r="U60" i="1"/>
  <c r="W59" i="1"/>
  <c r="T59" i="1"/>
  <c r="U59" i="1"/>
  <c r="W58" i="1"/>
  <c r="T58" i="1"/>
  <c r="U58" i="1"/>
  <c r="W57" i="1"/>
  <c r="T57" i="1"/>
  <c r="U57" i="1"/>
  <c r="W56" i="1"/>
  <c r="T56" i="1"/>
  <c r="U56" i="1"/>
  <c r="W55" i="1"/>
  <c r="T55" i="1"/>
  <c r="U55" i="1"/>
  <c r="Z55" i="1" s="1"/>
  <c r="W54" i="1"/>
  <c r="T54" i="1"/>
  <c r="U54" i="1"/>
  <c r="W53" i="1"/>
  <c r="T53" i="1"/>
  <c r="U53" i="1"/>
  <c r="Z53" i="1" s="1"/>
  <c r="W52" i="1"/>
  <c r="T52" i="1"/>
  <c r="U52" i="1"/>
  <c r="W51" i="1"/>
  <c r="T51" i="1"/>
  <c r="U51" i="1"/>
  <c r="W50" i="1"/>
  <c r="T50" i="1"/>
  <c r="U50" i="1"/>
  <c r="W49" i="1"/>
  <c r="T49" i="1"/>
  <c r="U49" i="1"/>
  <c r="W48" i="1"/>
  <c r="T48" i="1"/>
  <c r="U48" i="1"/>
  <c r="W47" i="1"/>
  <c r="T47" i="1"/>
  <c r="U47" i="1"/>
  <c r="Z47" i="1" s="1"/>
  <c r="W46" i="1"/>
  <c r="T46" i="1"/>
  <c r="U46" i="1"/>
  <c r="W45" i="1"/>
  <c r="T45" i="1"/>
  <c r="U45" i="1"/>
  <c r="Z45" i="1" s="1"/>
  <c r="W44" i="1"/>
  <c r="T44" i="1"/>
  <c r="U44" i="1"/>
  <c r="W43" i="1"/>
  <c r="T43" i="1"/>
  <c r="U43" i="1"/>
  <c r="W42" i="1"/>
  <c r="T42" i="1"/>
  <c r="U42" i="1"/>
  <c r="W41" i="1"/>
  <c r="T41" i="1"/>
  <c r="U41" i="1"/>
  <c r="W40" i="1"/>
  <c r="T40" i="1"/>
  <c r="U40" i="1"/>
  <c r="W39" i="1"/>
  <c r="T39" i="1"/>
  <c r="U39" i="1"/>
  <c r="Z39" i="1" s="1"/>
  <c r="W38" i="1"/>
  <c r="T38" i="1"/>
  <c r="U38" i="1"/>
  <c r="W37" i="1"/>
  <c r="T37" i="1"/>
  <c r="U37" i="1"/>
  <c r="Z37" i="1" s="1"/>
  <c r="W36" i="1"/>
  <c r="T36" i="1"/>
  <c r="U36" i="1"/>
  <c r="W35" i="1"/>
  <c r="T35" i="1"/>
  <c r="U35" i="1"/>
  <c r="W34" i="1"/>
  <c r="T34" i="1"/>
  <c r="U34" i="1"/>
  <c r="Z34" i="1" s="1"/>
  <c r="W33" i="1"/>
  <c r="T33" i="1"/>
  <c r="U33" i="1"/>
  <c r="W32" i="1"/>
  <c r="T32" i="1"/>
  <c r="U32" i="1"/>
  <c r="W31" i="1"/>
  <c r="T31" i="1"/>
  <c r="U31" i="1"/>
  <c r="Z31" i="1" s="1"/>
  <c r="W30" i="1"/>
  <c r="T30" i="1"/>
  <c r="U30" i="1"/>
  <c r="W29" i="1"/>
  <c r="T29" i="1"/>
  <c r="U29" i="1"/>
  <c r="AA29" i="1" s="1"/>
  <c r="W28" i="1"/>
  <c r="T28" i="1"/>
  <c r="U28" i="1"/>
  <c r="Z28" i="1" s="1"/>
  <c r="W27" i="1"/>
  <c r="T27" i="1"/>
  <c r="U27" i="1"/>
  <c r="W26" i="1"/>
  <c r="T26" i="1"/>
  <c r="U26" i="1"/>
  <c r="W25" i="1"/>
  <c r="T25" i="1"/>
  <c r="U25" i="1"/>
  <c r="W24" i="1"/>
  <c r="T24" i="1"/>
  <c r="U24" i="1"/>
  <c r="W23" i="1"/>
  <c r="T23" i="1"/>
  <c r="U23" i="1"/>
  <c r="Z23" i="1" s="1"/>
  <c r="W22" i="1"/>
  <c r="T22" i="1"/>
  <c r="U22" i="1"/>
  <c r="Z22" i="1" s="1"/>
  <c r="W21" i="1"/>
  <c r="T21" i="1"/>
  <c r="U21" i="1"/>
  <c r="AA21" i="1" s="1"/>
  <c r="W20" i="1"/>
  <c r="T20" i="1"/>
  <c r="U20" i="1"/>
  <c r="W18" i="1"/>
  <c r="T18" i="1"/>
  <c r="U18" i="1"/>
  <c r="Z18" i="1" s="1"/>
  <c r="W17" i="1"/>
  <c r="T17" i="1"/>
  <c r="U17" i="1"/>
  <c r="W16" i="1"/>
  <c r="T16" i="1"/>
  <c r="U16" i="1"/>
  <c r="W15" i="1"/>
  <c r="T15" i="1"/>
  <c r="U15" i="1"/>
  <c r="AA15" i="1" s="1"/>
  <c r="W14" i="1"/>
  <c r="T14" i="1"/>
  <c r="U14" i="1"/>
  <c r="Z14" i="1" s="1"/>
  <c r="W13" i="1"/>
  <c r="T13" i="1"/>
  <c r="U13" i="1"/>
  <c r="W12" i="1"/>
  <c r="T12" i="1"/>
  <c r="U12" i="1"/>
  <c r="Z12" i="1" s="1"/>
  <c r="W11" i="1"/>
  <c r="T11" i="1"/>
  <c r="U11" i="1"/>
  <c r="W10" i="1"/>
  <c r="T10" i="1"/>
  <c r="U10" i="1"/>
  <c r="W9" i="1"/>
  <c r="T9" i="1"/>
  <c r="U9" i="1"/>
  <c r="Z9" i="1" s="1"/>
  <c r="W8" i="1"/>
  <c r="T8" i="1"/>
  <c r="U8" i="1"/>
  <c r="W7" i="1"/>
  <c r="T7" i="1"/>
  <c r="U7" i="1"/>
  <c r="W6" i="1"/>
  <c r="T6" i="1"/>
  <c r="U6" i="1"/>
  <c r="Z220" i="1"/>
  <c r="AA220" i="1"/>
  <c r="Z219" i="1"/>
  <c r="Z216" i="1"/>
  <c r="AA216" i="1"/>
  <c r="Z214" i="1"/>
  <c r="AA214" i="1"/>
  <c r="Z212" i="1"/>
  <c r="AA212" i="1"/>
  <c r="Z208" i="1"/>
  <c r="AA208" i="1"/>
  <c r="Z206" i="1"/>
  <c r="AA206" i="1"/>
  <c r="Z204" i="1"/>
  <c r="AA204" i="1"/>
  <c r="Z201" i="1"/>
  <c r="Z200" i="1"/>
  <c r="AA200" i="1"/>
  <c r="Z198" i="1"/>
  <c r="AA198" i="1"/>
  <c r="Z196" i="1"/>
  <c r="AA196" i="1"/>
  <c r="Z192" i="1"/>
  <c r="AA192" i="1"/>
  <c r="Z190" i="1"/>
  <c r="AA190" i="1"/>
  <c r="Z188" i="1"/>
  <c r="AA188" i="1"/>
  <c r="AA186" i="1"/>
  <c r="Z184" i="1"/>
  <c r="AA184" i="1"/>
  <c r="Z182" i="1"/>
  <c r="AA182" i="1"/>
  <c r="Z180" i="1"/>
  <c r="AA180" i="1"/>
  <c r="Z178" i="1"/>
  <c r="Z176" i="1"/>
  <c r="AA176" i="1"/>
  <c r="Z174" i="1"/>
  <c r="AA174" i="1"/>
  <c r="Z172" i="1"/>
  <c r="AA172" i="1"/>
  <c r="Z168" i="1"/>
  <c r="AA168" i="1"/>
  <c r="Z166" i="1"/>
  <c r="AA166" i="1"/>
  <c r="Z165" i="1"/>
  <c r="Z164" i="1"/>
  <c r="AA164" i="1"/>
  <c r="Z160" i="1"/>
  <c r="AA160" i="1"/>
  <c r="Z158" i="1"/>
  <c r="AA158" i="1"/>
  <c r="Z156" i="1"/>
  <c r="AA156" i="1"/>
  <c r="Z152" i="1"/>
  <c r="AA152" i="1"/>
  <c r="Z150" i="1"/>
  <c r="AA150" i="1"/>
  <c r="Z148" i="1"/>
  <c r="AA148" i="1"/>
  <c r="Z147" i="1"/>
  <c r="Z144" i="1"/>
  <c r="AA144" i="1"/>
  <c r="Z142" i="1"/>
  <c r="AA142" i="1"/>
  <c r="Z140" i="1"/>
  <c r="AA140" i="1"/>
  <c r="Z136" i="1"/>
  <c r="AA136" i="1"/>
  <c r="Z134" i="1"/>
  <c r="AA134" i="1"/>
  <c r="Z132" i="1"/>
  <c r="AA132" i="1"/>
  <c r="Z129" i="1"/>
  <c r="Z128" i="1"/>
  <c r="AA128" i="1"/>
  <c r="Z126" i="1"/>
  <c r="AA126" i="1"/>
  <c r="Z124" i="1"/>
  <c r="AA124" i="1"/>
  <c r="Z120" i="1"/>
  <c r="AA120" i="1"/>
  <c r="Z118" i="1"/>
  <c r="AA118" i="1"/>
  <c r="Z116" i="1"/>
  <c r="AA116" i="1"/>
  <c r="Z112" i="1"/>
  <c r="AA112" i="1"/>
  <c r="Z110" i="1"/>
  <c r="AA110" i="1"/>
  <c r="Z108" i="1"/>
  <c r="AA108" i="1"/>
  <c r="Z104" i="1"/>
  <c r="AA104" i="1"/>
  <c r="Z102" i="1"/>
  <c r="AA102" i="1"/>
  <c r="Z100" i="1"/>
  <c r="Z96" i="1"/>
  <c r="AA96" i="1"/>
  <c r="Z94" i="1"/>
  <c r="AA94" i="1"/>
  <c r="Z93" i="1"/>
  <c r="Z83" i="1"/>
  <c r="AA83" i="1"/>
  <c r="Z81" i="1"/>
  <c r="AA81" i="1"/>
  <c r="Z75" i="1"/>
  <c r="AA75" i="1"/>
  <c r="Z73" i="1"/>
  <c r="AA73" i="1"/>
  <c r="BJ73" i="1" s="1"/>
  <c r="BK73" i="1" s="1"/>
  <c r="Z70" i="1"/>
  <c r="Z67" i="1"/>
  <c r="AA67" i="1"/>
  <c r="BJ67" i="1" s="1"/>
  <c r="BK67" i="1" s="1"/>
  <c r="Z65" i="1"/>
  <c r="AA65" i="1"/>
  <c r="BJ65" i="1" s="1"/>
  <c r="BK65" i="1" s="1"/>
  <c r="Z59" i="1"/>
  <c r="AA59" i="1"/>
  <c r="BJ59" i="1" s="1"/>
  <c r="BK59" i="1" s="1"/>
  <c r="Z57" i="1"/>
  <c r="AA57" i="1"/>
  <c r="BJ57" i="1" s="1"/>
  <c r="BK57" i="1" s="1"/>
  <c r="Z52" i="1"/>
  <c r="Z51" i="1"/>
  <c r="AA51" i="1"/>
  <c r="BJ51" i="1" s="1"/>
  <c r="BK51" i="1" s="1"/>
  <c r="Z49" i="1"/>
  <c r="AA49" i="1"/>
  <c r="BJ49" i="1" s="1"/>
  <c r="BK49" i="1" s="1"/>
  <c r="Z43" i="1"/>
  <c r="AA43" i="1"/>
  <c r="BJ43" i="1" s="1"/>
  <c r="BK43" i="1" s="1"/>
  <c r="Z41" i="1"/>
  <c r="AA41" i="1"/>
  <c r="BJ41" i="1" s="1"/>
  <c r="BK41" i="1" s="1"/>
  <c r="Z35" i="1"/>
  <c r="AA35" i="1"/>
  <c r="BJ35" i="1" s="1"/>
  <c r="BK35" i="1" s="1"/>
  <c r="Z33" i="1"/>
  <c r="AA33" i="1"/>
  <c r="Z29" i="1"/>
  <c r="Z27" i="1"/>
  <c r="AA27" i="1"/>
  <c r="Z25" i="1"/>
  <c r="AA25" i="1"/>
  <c r="AA23" i="1"/>
  <c r="AA18" i="1"/>
  <c r="Z16" i="1"/>
  <c r="AA16" i="1"/>
  <c r="Z10" i="1"/>
  <c r="AA10" i="1"/>
  <c r="Z8" i="1"/>
  <c r="AA8" i="1"/>
  <c r="Z6" i="1"/>
  <c r="AA6" i="1"/>
  <c r="BJ206" i="1"/>
  <c r="BJ194" i="1"/>
  <c r="BK194" i="1" s="1"/>
  <c r="BP194" i="1" s="1"/>
  <c r="BJ176" i="1"/>
  <c r="BK176" i="1" s="1"/>
  <c r="BP176" i="1" s="1"/>
  <c r="BJ170" i="1"/>
  <c r="BK170" i="1" s="1"/>
  <c r="BP170" i="1" s="1"/>
  <c r="BJ168" i="1"/>
  <c r="BK168" i="1" s="1"/>
  <c r="BP168" i="1" s="1"/>
  <c r="BQ168" i="1" s="1"/>
  <c r="BV168" i="1" s="1"/>
  <c r="BW168" i="1" s="1"/>
  <c r="CB168" i="1" s="1"/>
  <c r="CC168" i="1" s="1"/>
  <c r="BJ164" i="1"/>
  <c r="BK164" i="1" s="1"/>
  <c r="BP164" i="1" s="1"/>
  <c r="BJ158" i="1"/>
  <c r="BK158" i="1" s="1"/>
  <c r="BP158" i="1" s="1"/>
  <c r="BJ156" i="1"/>
  <c r="BK156" i="1" s="1"/>
  <c r="BP156" i="1" s="1"/>
  <c r="BQ156" i="1" s="1"/>
  <c r="BV156" i="1" s="1"/>
  <c r="BW156" i="1" s="1"/>
  <c r="CB156" i="1" s="1"/>
  <c r="CC156" i="1" s="1"/>
  <c r="BJ154" i="1"/>
  <c r="BK154" i="1" s="1"/>
  <c r="BP154" i="1" s="1"/>
  <c r="BJ150" i="1"/>
  <c r="BK150" i="1" s="1"/>
  <c r="BP150" i="1" s="1"/>
  <c r="BJ148" i="1"/>
  <c r="BK148" i="1" s="1"/>
  <c r="BP148" i="1" s="1"/>
  <c r="BJ146" i="1"/>
  <c r="BK146" i="1" s="1"/>
  <c r="BP146" i="1" s="1"/>
  <c r="BJ142" i="1"/>
  <c r="BK142" i="1" s="1"/>
  <c r="BP142" i="1" s="1"/>
  <c r="BJ140" i="1"/>
  <c r="BK140" i="1" s="1"/>
  <c r="BP140" i="1" s="1"/>
  <c r="BJ136" i="1"/>
  <c r="BK136" i="1" s="1"/>
  <c r="BP136" i="1" s="1"/>
  <c r="BQ136" i="1" s="1"/>
  <c r="BV136" i="1" s="1"/>
  <c r="BJ134" i="1"/>
  <c r="BK134" i="1" s="1"/>
  <c r="BP134" i="1" s="1"/>
  <c r="BQ134" i="1" s="1"/>
  <c r="BV134" i="1" s="1"/>
  <c r="BJ128" i="1"/>
  <c r="BK128" i="1" s="1"/>
  <c r="BP128" i="1" s="1"/>
  <c r="BJ122" i="1"/>
  <c r="BK122" i="1" s="1"/>
  <c r="BP122" i="1" s="1"/>
  <c r="BJ120" i="1"/>
  <c r="BK120" i="1" s="1"/>
  <c r="BP120" i="1" s="1"/>
  <c r="BQ120" i="1" s="1"/>
  <c r="BV120" i="1" s="1"/>
  <c r="BJ114" i="1"/>
  <c r="BK114" i="1" s="1"/>
  <c r="BP114" i="1" s="1"/>
  <c r="BJ112" i="1"/>
  <c r="BJ110" i="1"/>
  <c r="BK110" i="1" s="1"/>
  <c r="BP110" i="1" s="1"/>
  <c r="BJ106" i="1"/>
  <c r="BK106" i="1" s="1"/>
  <c r="BP106" i="1" s="1"/>
  <c r="BJ104" i="1"/>
  <c r="BK104" i="1" s="1"/>
  <c r="BP104" i="1" s="1"/>
  <c r="BJ102" i="1"/>
  <c r="BK102" i="1" s="1"/>
  <c r="BP102" i="1" s="1"/>
  <c r="BJ100" i="1"/>
  <c r="BK100" i="1" s="1"/>
  <c r="BP100" i="1" s="1"/>
  <c r="BJ94" i="1"/>
  <c r="BK94" i="1" s="1"/>
  <c r="BP94" i="1" s="1"/>
  <c r="BQ94" i="1" s="1"/>
  <c r="BV94" i="1" s="1"/>
  <c r="BW94" i="1" s="1"/>
  <c r="CB94" i="1" s="1"/>
  <c r="CC94" i="1" s="1"/>
  <c r="BJ83" i="1"/>
  <c r="BK83" i="1" s="1"/>
  <c r="BP83" i="1" s="1"/>
  <c r="BQ83" i="1" s="1"/>
  <c r="BV83" i="1" s="1"/>
  <c r="CC33" i="1"/>
  <c r="CB33" i="1"/>
  <c r="BW33" i="1"/>
  <c r="BV33" i="1"/>
  <c r="BQ33" i="1"/>
  <c r="BP33" i="1"/>
  <c r="BK33" i="1"/>
  <c r="BJ33" i="1"/>
  <c r="CC32" i="1"/>
  <c r="CB32" i="1"/>
  <c r="BW32" i="1"/>
  <c r="BV32" i="1"/>
  <c r="BQ32" i="1"/>
  <c r="BP32" i="1"/>
  <c r="BK32" i="1"/>
  <c r="BJ32" i="1"/>
  <c r="CC31" i="1"/>
  <c r="CB31" i="1"/>
  <c r="BW31" i="1"/>
  <c r="BV31" i="1"/>
  <c r="BQ31" i="1"/>
  <c r="BP31" i="1"/>
  <c r="BK31" i="1"/>
  <c r="BJ31" i="1"/>
  <c r="CC30" i="1"/>
  <c r="CB30" i="1"/>
  <c r="BW30" i="1"/>
  <c r="BV30" i="1"/>
  <c r="BQ30" i="1"/>
  <c r="BP30" i="1"/>
  <c r="BK30" i="1"/>
  <c r="BJ30" i="1"/>
  <c r="CC29" i="1"/>
  <c r="CB29" i="1"/>
  <c r="BW29" i="1"/>
  <c r="BV29" i="1"/>
  <c r="BQ29" i="1"/>
  <c r="BP29" i="1"/>
  <c r="BK29" i="1"/>
  <c r="BJ29" i="1"/>
  <c r="CC28" i="1"/>
  <c r="CB28" i="1"/>
  <c r="BW28" i="1"/>
  <c r="BV28" i="1"/>
  <c r="BQ28" i="1"/>
  <c r="BP28" i="1"/>
  <c r="BK28" i="1"/>
  <c r="BJ28" i="1"/>
  <c r="CC27" i="1"/>
  <c r="CB27" i="1"/>
  <c r="BW27" i="1"/>
  <c r="BV27" i="1"/>
  <c r="BQ27" i="1"/>
  <c r="BP27" i="1"/>
  <c r="BK27" i="1"/>
  <c r="BJ27" i="1"/>
  <c r="CC26" i="1"/>
  <c r="CB26" i="1"/>
  <c r="BW26" i="1"/>
  <c r="BV26" i="1"/>
  <c r="BQ26" i="1"/>
  <c r="BP26" i="1"/>
  <c r="BK26" i="1"/>
  <c r="BJ26" i="1"/>
  <c r="CC25" i="1"/>
  <c r="CB25" i="1"/>
  <c r="BW25" i="1"/>
  <c r="BV25" i="1"/>
  <c r="BQ25" i="1"/>
  <c r="BP25" i="1"/>
  <c r="BK25" i="1"/>
  <c r="BJ25" i="1"/>
  <c r="CC24" i="1"/>
  <c r="CB24" i="1"/>
  <c r="BW24" i="1"/>
  <c r="BV24" i="1"/>
  <c r="BQ24" i="1"/>
  <c r="BP24" i="1"/>
  <c r="BK24" i="1"/>
  <c r="BJ24" i="1"/>
  <c r="CC23" i="1"/>
  <c r="CB23" i="1"/>
  <c r="BW23" i="1"/>
  <c r="BV23" i="1"/>
  <c r="BQ23" i="1"/>
  <c r="BP23" i="1"/>
  <c r="BK23" i="1"/>
  <c r="BJ23" i="1"/>
  <c r="CC22" i="1"/>
  <c r="CB22" i="1"/>
  <c r="BW22" i="1"/>
  <c r="BV22" i="1"/>
  <c r="BQ22" i="1"/>
  <c r="BP22" i="1"/>
  <c r="BK22" i="1"/>
  <c r="BJ22" i="1"/>
  <c r="CC21" i="1"/>
  <c r="CB21" i="1"/>
  <c r="BW21" i="1"/>
  <c r="BV21" i="1"/>
  <c r="BQ21" i="1"/>
  <c r="BP21" i="1"/>
  <c r="BK21" i="1"/>
  <c r="BJ21" i="1"/>
  <c r="CC20" i="1"/>
  <c r="CB20" i="1"/>
  <c r="BW20" i="1"/>
  <c r="BV20" i="1"/>
  <c r="BQ20" i="1"/>
  <c r="BP20" i="1"/>
  <c r="BK20" i="1"/>
  <c r="BJ20" i="1"/>
  <c r="CC18" i="1"/>
  <c r="CB18" i="1"/>
  <c r="BW18" i="1"/>
  <c r="BV18" i="1"/>
  <c r="BQ18" i="1"/>
  <c r="BP18" i="1"/>
  <c r="BK18" i="1"/>
  <c r="BJ18" i="1"/>
  <c r="CC17" i="1"/>
  <c r="CB17" i="1"/>
  <c r="BW17" i="1"/>
  <c r="BV17" i="1"/>
  <c r="BQ17" i="1"/>
  <c r="BP17" i="1"/>
  <c r="BK17" i="1"/>
  <c r="BJ17" i="1"/>
  <c r="CC16" i="1"/>
  <c r="CB16" i="1"/>
  <c r="BW16" i="1"/>
  <c r="BV16" i="1"/>
  <c r="BQ16" i="1"/>
  <c r="BP16" i="1"/>
  <c r="BK16" i="1"/>
  <c r="BJ16" i="1"/>
  <c r="CC15" i="1"/>
  <c r="CB15" i="1"/>
  <c r="BW15" i="1"/>
  <c r="BV15" i="1"/>
  <c r="BQ15" i="1"/>
  <c r="BP15" i="1"/>
  <c r="BK15" i="1"/>
  <c r="BJ15" i="1"/>
  <c r="CC14" i="1"/>
  <c r="CB14" i="1"/>
  <c r="BW14" i="1"/>
  <c r="BV14" i="1"/>
  <c r="BQ14" i="1"/>
  <c r="BP14" i="1"/>
  <c r="BK14" i="1"/>
  <c r="BJ14" i="1"/>
  <c r="CC13" i="1"/>
  <c r="CB13" i="1"/>
  <c r="BW13" i="1"/>
  <c r="BV13" i="1"/>
  <c r="BQ13" i="1"/>
  <c r="BP13" i="1"/>
  <c r="BK13" i="1"/>
  <c r="BJ13" i="1"/>
  <c r="CC12" i="1"/>
  <c r="CB12" i="1"/>
  <c r="BW12" i="1"/>
  <c r="BV12" i="1"/>
  <c r="BQ12" i="1"/>
  <c r="BP12" i="1"/>
  <c r="BK12" i="1"/>
  <c r="BJ12" i="1"/>
  <c r="CC11" i="1"/>
  <c r="CB11" i="1"/>
  <c r="BW11" i="1"/>
  <c r="BV11" i="1"/>
  <c r="BQ11" i="1"/>
  <c r="BP11" i="1"/>
  <c r="BK11" i="1"/>
  <c r="BJ11" i="1"/>
  <c r="CC10" i="1"/>
  <c r="CB10" i="1"/>
  <c r="BW10" i="1"/>
  <c r="BV10" i="1"/>
  <c r="BQ10" i="1"/>
  <c r="BP10" i="1"/>
  <c r="BK10" i="1"/>
  <c r="BJ10" i="1"/>
  <c r="CC9" i="1"/>
  <c r="CB9" i="1"/>
  <c r="BW9" i="1"/>
  <c r="BV9" i="1"/>
  <c r="BQ9" i="1"/>
  <c r="BP9" i="1"/>
  <c r="BK9" i="1"/>
  <c r="BJ9" i="1"/>
  <c r="CC8" i="1"/>
  <c r="CB8" i="1"/>
  <c r="BW8" i="1"/>
  <c r="BV8" i="1"/>
  <c r="BQ8" i="1"/>
  <c r="BP8" i="1"/>
  <c r="BK8" i="1"/>
  <c r="BJ8" i="1"/>
  <c r="CC7" i="1"/>
  <c r="CB7" i="1"/>
  <c r="BW7" i="1"/>
  <c r="BV7" i="1"/>
  <c r="BQ7" i="1"/>
  <c r="BP7" i="1"/>
  <c r="BK7" i="1"/>
  <c r="BJ7" i="1"/>
  <c r="CC6" i="1"/>
  <c r="CB6" i="1"/>
  <c r="BW6" i="1"/>
  <c r="BV6" i="1"/>
  <c r="BQ6" i="1"/>
  <c r="BP6" i="1"/>
  <c r="BK6" i="1"/>
  <c r="BJ6" i="1"/>
  <c r="CC5" i="1"/>
  <c r="CB5" i="1"/>
  <c r="BW5" i="1"/>
  <c r="BV5" i="1"/>
  <c r="BQ5" i="1"/>
  <c r="BP5" i="1"/>
  <c r="BK5" i="1"/>
  <c r="BJ5" i="1"/>
  <c r="BE5" i="1"/>
  <c r="BE263" i="1" s="1"/>
  <c r="BD5" i="1"/>
  <c r="BD263" i="1" s="1"/>
  <c r="AY5" i="1"/>
  <c r="AY263" i="1" s="1"/>
  <c r="AX5" i="1"/>
  <c r="AX263" i="1" s="1"/>
  <c r="AS5" i="1"/>
  <c r="AS263" i="1" s="1"/>
  <c r="AR5" i="1"/>
  <c r="AR263" i="1" s="1"/>
  <c r="BV34" i="1"/>
  <c r="BW34" i="1" s="1"/>
  <c r="BP34" i="1"/>
  <c r="BQ34" i="1" s="1"/>
  <c r="AI263" i="1" l="1"/>
  <c r="CE257" i="1"/>
  <c r="BY257" i="1"/>
  <c r="BS257" i="1"/>
  <c r="BM257" i="1"/>
  <c r="BG257" i="1"/>
  <c r="AT257" i="1"/>
  <c r="AO257" i="1"/>
  <c r="CE256" i="1"/>
  <c r="BY256" i="1"/>
  <c r="BS256" i="1"/>
  <c r="BM256" i="1"/>
  <c r="BG256" i="1"/>
  <c r="AT256" i="1"/>
  <c r="AO256" i="1"/>
  <c r="CE255" i="1"/>
  <c r="BY255" i="1"/>
  <c r="BS255" i="1"/>
  <c r="BM255" i="1"/>
  <c r="BG255" i="1"/>
  <c r="AT255" i="1"/>
  <c r="AO255" i="1"/>
  <c r="CE254" i="1"/>
  <c r="BY254" i="1"/>
  <c r="BS254" i="1"/>
  <c r="BM254" i="1"/>
  <c r="BG254" i="1"/>
  <c r="AT254" i="1"/>
  <c r="AO254" i="1"/>
  <c r="CE253" i="1"/>
  <c r="BY253" i="1"/>
  <c r="BS253" i="1"/>
  <c r="BM253" i="1"/>
  <c r="BG253" i="1"/>
  <c r="AT253" i="1"/>
  <c r="AO253" i="1"/>
  <c r="CE252" i="1"/>
  <c r="BY252" i="1"/>
  <c r="BS252" i="1"/>
  <c r="BM252" i="1"/>
  <c r="BG252" i="1"/>
  <c r="AT252" i="1"/>
  <c r="AO252" i="1"/>
  <c r="CE251" i="1"/>
  <c r="BY251" i="1"/>
  <c r="BS251" i="1"/>
  <c r="BM251" i="1"/>
  <c r="BG251" i="1"/>
  <c r="AT251" i="1"/>
  <c r="AO251" i="1"/>
  <c r="CE250" i="1"/>
  <c r="BY250" i="1"/>
  <c r="BS250" i="1"/>
  <c r="BM250" i="1"/>
  <c r="BG250" i="1"/>
  <c r="AT250" i="1"/>
  <c r="AO250" i="1"/>
  <c r="CE249" i="1"/>
  <c r="BY249" i="1"/>
  <c r="BS249" i="1"/>
  <c r="BM249" i="1"/>
  <c r="BG249" i="1"/>
  <c r="AT249" i="1"/>
  <c r="AO249" i="1"/>
  <c r="CE248" i="1"/>
  <c r="BY248" i="1"/>
  <c r="BS248" i="1"/>
  <c r="BM248" i="1"/>
  <c r="BG248" i="1"/>
  <c r="AT248" i="1"/>
  <c r="AO248" i="1"/>
  <c r="CE247" i="1"/>
  <c r="BY247" i="1"/>
  <c r="BS247" i="1"/>
  <c r="BM247" i="1"/>
  <c r="BG247" i="1"/>
  <c r="AT247" i="1"/>
  <c r="AO247" i="1"/>
  <c r="CE246" i="1"/>
  <c r="BY246" i="1"/>
  <c r="BS246" i="1"/>
  <c r="BM246" i="1"/>
  <c r="BG246" i="1"/>
  <c r="AT246" i="1"/>
  <c r="AO246" i="1"/>
  <c r="CE245" i="1"/>
  <c r="BY245" i="1"/>
  <c r="BS245" i="1"/>
  <c r="BM245" i="1"/>
  <c r="BG245" i="1"/>
  <c r="AT245" i="1"/>
  <c r="AO245" i="1"/>
  <c r="CE244" i="1"/>
  <c r="BY244" i="1"/>
  <c r="BS244" i="1"/>
  <c r="BM244" i="1"/>
  <c r="BG244" i="1"/>
  <c r="AT244" i="1"/>
  <c r="AO244" i="1"/>
  <c r="CE243" i="1"/>
  <c r="BY243" i="1"/>
  <c r="BS243" i="1"/>
  <c r="BM243" i="1"/>
  <c r="BG243" i="1"/>
  <c r="AT243" i="1"/>
  <c r="AO243" i="1"/>
  <c r="CE242" i="1"/>
  <c r="BY242" i="1"/>
  <c r="BS242" i="1"/>
  <c r="BM242" i="1"/>
  <c r="BG242" i="1"/>
  <c r="AT242" i="1"/>
  <c r="AO242" i="1"/>
  <c r="CE241" i="1"/>
  <c r="BY241" i="1"/>
  <c r="BS241" i="1"/>
  <c r="BM241" i="1"/>
  <c r="BG241" i="1"/>
  <c r="AT241" i="1"/>
  <c r="AO241" i="1"/>
  <c r="CE240" i="1"/>
  <c r="BY240" i="1"/>
  <c r="BS240" i="1"/>
  <c r="BM240" i="1"/>
  <c r="BG240" i="1"/>
  <c r="AT240" i="1"/>
  <c r="AO240" i="1"/>
  <c r="CE239" i="1"/>
  <c r="BY239" i="1"/>
  <c r="BS239" i="1"/>
  <c r="BM239" i="1"/>
  <c r="BG239" i="1"/>
  <c r="AT239" i="1"/>
  <c r="AO239" i="1"/>
  <c r="CE238" i="1"/>
  <c r="BY238" i="1"/>
  <c r="BS238" i="1"/>
  <c r="BM238" i="1"/>
  <c r="BG238" i="1"/>
  <c r="AT238" i="1"/>
  <c r="AO238" i="1"/>
  <c r="CE237" i="1"/>
  <c r="BY237" i="1"/>
  <c r="BS237" i="1"/>
  <c r="BM237" i="1"/>
  <c r="BG237" i="1"/>
  <c r="AT237" i="1"/>
  <c r="AO237" i="1"/>
  <c r="CE236" i="1"/>
  <c r="BY236" i="1"/>
  <c r="BS236" i="1"/>
  <c r="BM236" i="1"/>
  <c r="BG236" i="1"/>
  <c r="AT236" i="1"/>
  <c r="AO236" i="1"/>
  <c r="CE235" i="1"/>
  <c r="BY235" i="1"/>
  <c r="BS235" i="1"/>
  <c r="BM235" i="1"/>
  <c r="BG235" i="1"/>
  <c r="AT235" i="1"/>
  <c r="AO235" i="1"/>
  <c r="CE234" i="1"/>
  <c r="BY234" i="1"/>
  <c r="BS234" i="1"/>
  <c r="BM234" i="1"/>
  <c r="BG234" i="1"/>
  <c r="AT234" i="1"/>
  <c r="AO234" i="1"/>
  <c r="CE233" i="1"/>
  <c r="BY233" i="1"/>
  <c r="BS233" i="1"/>
  <c r="BM233" i="1"/>
  <c r="BG233" i="1"/>
  <c r="AT233" i="1"/>
  <c r="AO233" i="1"/>
  <c r="CE232" i="1"/>
  <c r="BY232" i="1"/>
  <c r="BS232" i="1"/>
  <c r="BM232" i="1"/>
  <c r="BG232" i="1"/>
  <c r="AT232" i="1"/>
  <c r="AO232" i="1"/>
  <c r="CE231" i="1"/>
  <c r="BY231" i="1"/>
  <c r="BS231" i="1"/>
  <c r="BM231" i="1"/>
  <c r="BG231" i="1"/>
  <c r="AT231" i="1"/>
  <c r="AO231" i="1"/>
  <c r="CE230" i="1"/>
  <c r="BY230" i="1"/>
  <c r="BS230" i="1"/>
  <c r="BM230" i="1"/>
  <c r="BG230" i="1"/>
  <c r="AT230" i="1"/>
  <c r="AO230" i="1"/>
  <c r="CE229" i="1"/>
  <c r="BY229" i="1"/>
  <c r="BS229" i="1"/>
  <c r="BM229" i="1"/>
  <c r="BG229" i="1"/>
  <c r="AT229" i="1"/>
  <c r="AO229" i="1"/>
  <c r="CE228" i="1"/>
  <c r="BY228" i="1"/>
  <c r="BS228" i="1"/>
  <c r="BM228" i="1"/>
  <c r="BG228" i="1"/>
  <c r="AT228" i="1"/>
  <c r="AO228" i="1"/>
  <c r="CE227" i="1"/>
  <c r="BY227" i="1"/>
  <c r="BS227" i="1"/>
  <c r="BM227" i="1"/>
  <c r="BG227" i="1"/>
  <c r="AT227" i="1"/>
  <c r="AO227" i="1"/>
  <c r="CE226" i="1"/>
  <c r="BY226" i="1"/>
  <c r="BS226" i="1"/>
  <c r="BM226" i="1"/>
  <c r="BG226" i="1"/>
  <c r="AT226" i="1"/>
  <c r="AO226" i="1"/>
  <c r="CE225" i="1"/>
  <c r="BY225" i="1"/>
  <c r="BS225" i="1"/>
  <c r="BM225" i="1"/>
  <c r="BG225" i="1"/>
  <c r="AT225" i="1"/>
  <c r="AO225" i="1"/>
  <c r="CE224" i="1"/>
  <c r="BY224" i="1"/>
  <c r="BS224" i="1"/>
  <c r="BM224" i="1"/>
  <c r="BG224" i="1"/>
  <c r="AT224" i="1"/>
  <c r="AO224" i="1"/>
  <c r="CE223" i="1"/>
  <c r="BY223" i="1"/>
  <c r="BS223" i="1"/>
  <c r="BM223" i="1"/>
  <c r="BG223" i="1"/>
  <c r="AT223" i="1"/>
  <c r="AO223" i="1"/>
  <c r="CE222" i="1"/>
  <c r="BY222" i="1"/>
  <c r="BS222" i="1"/>
  <c r="BM222" i="1"/>
  <c r="BG222" i="1"/>
  <c r="AT222" i="1"/>
  <c r="AO222" i="1"/>
  <c r="CE221" i="1"/>
  <c r="BY221" i="1"/>
  <c r="BS221" i="1"/>
  <c r="BM221" i="1"/>
  <c r="BG221" i="1"/>
  <c r="AT221" i="1"/>
  <c r="AO221" i="1"/>
  <c r="U263" i="1"/>
  <c r="T263" i="1"/>
  <c r="W263" i="1"/>
  <c r="AO5" i="1"/>
  <c r="T214" i="3"/>
  <c r="U214" i="3"/>
  <c r="W214" i="3"/>
  <c r="AI214" i="3"/>
  <c r="AT214" i="3"/>
  <c r="AO214" i="3"/>
  <c r="CE215" i="3"/>
  <c r="AN214" i="3"/>
  <c r="AA31" i="1"/>
  <c r="Z111" i="1"/>
  <c r="Z170" i="1"/>
  <c r="BG159" i="1"/>
  <c r="CE159" i="1"/>
  <c r="BY88" i="1"/>
  <c r="Z21" i="1"/>
  <c r="BG88" i="1"/>
  <c r="BS88" i="1"/>
  <c r="BK88" i="1"/>
  <c r="BY60" i="1"/>
  <c r="BS204" i="1"/>
  <c r="BG204" i="1"/>
  <c r="AZ95" i="1"/>
  <c r="BA95" i="1" s="1"/>
  <c r="AU95" i="1"/>
  <c r="BQ150" i="1"/>
  <c r="BV150" i="1" s="1"/>
  <c r="AA14" i="1"/>
  <c r="AA45" i="1"/>
  <c r="BJ45" i="1" s="1"/>
  <c r="BK45" i="1" s="1"/>
  <c r="CE204" i="1"/>
  <c r="BM204" i="1"/>
  <c r="AU143" i="1"/>
  <c r="Z183" i="1"/>
  <c r="AT178" i="1"/>
  <c r="AO178" i="1"/>
  <c r="AZ139" i="1"/>
  <c r="BA139" i="1" s="1"/>
  <c r="AU139" i="1"/>
  <c r="BG60" i="1"/>
  <c r="AA37" i="1"/>
  <c r="AA194" i="1"/>
  <c r="BW60" i="1"/>
  <c r="AT207" i="1"/>
  <c r="AO207" i="1"/>
  <c r="AO206" i="1"/>
  <c r="AT206" i="1"/>
  <c r="AZ103" i="1"/>
  <c r="BA103" i="1" s="1"/>
  <c r="AU103" i="1"/>
  <c r="AU216" i="1"/>
  <c r="AZ216" i="1"/>
  <c r="BA216" i="1" s="1"/>
  <c r="AU138" i="1"/>
  <c r="AZ138" i="1"/>
  <c r="BA138" i="1" s="1"/>
  <c r="AU180" i="1"/>
  <c r="AZ180" i="1"/>
  <c r="BA180" i="1" s="1"/>
  <c r="AA53" i="1"/>
  <c r="BJ53" i="1" s="1"/>
  <c r="BK53" i="1" s="1"/>
  <c r="AA61" i="1"/>
  <c r="BJ61" i="1" s="1"/>
  <c r="BK61" i="1" s="1"/>
  <c r="AA69" i="1"/>
  <c r="BJ69" i="1" s="1"/>
  <c r="BK69" i="1" s="1"/>
  <c r="AA202" i="1"/>
  <c r="AA210" i="1"/>
  <c r="AA218" i="1"/>
  <c r="BS153" i="1"/>
  <c r="BM51" i="1"/>
  <c r="AZ191" i="1"/>
  <c r="BA191" i="1" s="1"/>
  <c r="AU191" i="1"/>
  <c r="AU87" i="1"/>
  <c r="AZ87" i="1"/>
  <c r="BA87" i="1" s="1"/>
  <c r="AO7" i="1"/>
  <c r="AT7" i="1"/>
  <c r="AU80" i="1"/>
  <c r="AZ80" i="1"/>
  <c r="BA80" i="1" s="1"/>
  <c r="AZ26" i="1"/>
  <c r="BA26" i="1" s="1"/>
  <c r="AU26" i="1"/>
  <c r="AU36" i="1"/>
  <c r="AZ36" i="1"/>
  <c r="BA36" i="1" s="1"/>
  <c r="AO198" i="1"/>
  <c r="AT198" i="1"/>
  <c r="AZ115" i="1"/>
  <c r="BA115" i="1" s="1"/>
  <c r="AU115" i="1"/>
  <c r="AZ181" i="1"/>
  <c r="BA181" i="1" s="1"/>
  <c r="AU181" i="1"/>
  <c r="AZ31" i="1"/>
  <c r="BA31" i="1" s="1"/>
  <c r="AU31" i="1"/>
  <c r="AU135" i="1"/>
  <c r="AZ135" i="1"/>
  <c r="BA135" i="1" s="1"/>
  <c r="AU56" i="1"/>
  <c r="AZ56" i="1"/>
  <c r="BA56" i="1" s="1"/>
  <c r="AU128" i="1"/>
  <c r="AZ128" i="1"/>
  <c r="BA128" i="1" s="1"/>
  <c r="AU210" i="1"/>
  <c r="AZ210" i="1"/>
  <c r="BA210" i="1" s="1"/>
  <c r="AZ212" i="1"/>
  <c r="BA212" i="1" s="1"/>
  <c r="AU212" i="1"/>
  <c r="AZ160" i="1"/>
  <c r="BA160" i="1" s="1"/>
  <c r="AU160" i="1"/>
  <c r="AZ37" i="1"/>
  <c r="BA37" i="1" s="1"/>
  <c r="AU37" i="1"/>
  <c r="Z15" i="1"/>
  <c r="AA39" i="1"/>
  <c r="BJ39" i="1" s="1"/>
  <c r="BK39" i="1" s="1"/>
  <c r="AA47" i="1"/>
  <c r="BJ47" i="1" s="1"/>
  <c r="BK47" i="1" s="1"/>
  <c r="AA77" i="1"/>
  <c r="AA85" i="1"/>
  <c r="BG153" i="1"/>
  <c r="BY51" i="1"/>
  <c r="CE51" i="1"/>
  <c r="AU6" i="1"/>
  <c r="AZ6" i="1"/>
  <c r="BA6" i="1" s="1"/>
  <c r="AU174" i="1"/>
  <c r="AZ174" i="1"/>
  <c r="BA174" i="1" s="1"/>
  <c r="AZ176" i="1"/>
  <c r="BA176" i="1" s="1"/>
  <c r="AU176" i="1"/>
  <c r="AU113" i="1"/>
  <c r="AZ113" i="1"/>
  <c r="BA113" i="1" s="1"/>
  <c r="AO182" i="1"/>
  <c r="AT182" i="1"/>
  <c r="AZ170" i="1"/>
  <c r="BA170" i="1" s="1"/>
  <c r="AU170" i="1"/>
  <c r="AO20" i="1"/>
  <c r="AT20" i="1"/>
  <c r="CE20" i="1"/>
  <c r="AO98" i="1"/>
  <c r="AT98" i="1"/>
  <c r="AU165" i="1"/>
  <c r="AZ165" i="1"/>
  <c r="BA165" i="1" s="1"/>
  <c r="AU41" i="1"/>
  <c r="AZ41" i="1"/>
  <c r="BA41" i="1" s="1"/>
  <c r="AZ10" i="1"/>
  <c r="BA10" i="1" s="1"/>
  <c r="AU10" i="1"/>
  <c r="AZ59" i="1"/>
  <c r="BA59" i="1" s="1"/>
  <c r="AU59" i="1"/>
  <c r="AZ123" i="1"/>
  <c r="BA123" i="1" s="1"/>
  <c r="AU123" i="1"/>
  <c r="AT171" i="1"/>
  <c r="AO171" i="1"/>
  <c r="AU32" i="1"/>
  <c r="AZ32" i="1"/>
  <c r="BA32" i="1" s="1"/>
  <c r="AT52" i="1"/>
  <c r="AO52" i="1"/>
  <c r="AZ188" i="1"/>
  <c r="BA188" i="1" s="1"/>
  <c r="AU188" i="1"/>
  <c r="AZ47" i="1"/>
  <c r="BA47" i="1" s="1"/>
  <c r="AU47" i="1"/>
  <c r="AU192" i="1"/>
  <c r="AZ192" i="1"/>
  <c r="BA192" i="1" s="1"/>
  <c r="AU90" i="1"/>
  <c r="AZ90" i="1"/>
  <c r="AZ218" i="1"/>
  <c r="BA218" i="1" s="1"/>
  <c r="AU218" i="1"/>
  <c r="AU54" i="1"/>
  <c r="AZ54" i="1"/>
  <c r="BA54" i="1" s="1"/>
  <c r="AZ91" i="1"/>
  <c r="BA91" i="1" s="1"/>
  <c r="AU91" i="1"/>
  <c r="AZ211" i="1"/>
  <c r="BA211" i="1" s="1"/>
  <c r="AU211" i="1"/>
  <c r="AU84" i="1"/>
  <c r="AZ84" i="1"/>
  <c r="BA84" i="1" s="1"/>
  <c r="AZ85" i="1"/>
  <c r="BA85" i="1" s="1"/>
  <c r="AU85" i="1"/>
  <c r="AO152" i="1"/>
  <c r="AT152" i="1"/>
  <c r="AU108" i="1"/>
  <c r="AZ108" i="1"/>
  <c r="BA108" i="1" s="1"/>
  <c r="AU74" i="1"/>
  <c r="AZ74" i="1"/>
  <c r="BA74" i="1" s="1"/>
  <c r="BK112" i="1"/>
  <c r="BP112" i="1" s="1"/>
  <c r="AA55" i="1"/>
  <c r="BJ55" i="1" s="1"/>
  <c r="BK55" i="1" s="1"/>
  <c r="AA63" i="1"/>
  <c r="BJ63" i="1" s="1"/>
  <c r="BK63" i="1" s="1"/>
  <c r="AA98" i="1"/>
  <c r="AA106" i="1"/>
  <c r="BY153" i="1"/>
  <c r="BQ87" i="1"/>
  <c r="BK116" i="1"/>
  <c r="BP116" i="1" s="1"/>
  <c r="BS184" i="1"/>
  <c r="AO159" i="1"/>
  <c r="AT159" i="1"/>
  <c r="BM159" i="1"/>
  <c r="AZ25" i="1"/>
  <c r="BA25" i="1" s="1"/>
  <c r="AU25" i="1"/>
  <c r="AT15" i="1"/>
  <c r="AO15" i="1"/>
  <c r="AT88" i="1"/>
  <c r="BQ88" i="1" s="1"/>
  <c r="AO88" i="1"/>
  <c r="AO29" i="1"/>
  <c r="AT29" i="1"/>
  <c r="CE29" i="1"/>
  <c r="AU124" i="1"/>
  <c r="AZ124" i="1"/>
  <c r="BA124" i="1" s="1"/>
  <c r="AU117" i="1"/>
  <c r="AZ117" i="1"/>
  <c r="BA117" i="1" s="1"/>
  <c r="AZ119" i="1"/>
  <c r="BA119" i="1" s="1"/>
  <c r="AU119" i="1"/>
  <c r="AZ167" i="1"/>
  <c r="BA167" i="1" s="1"/>
  <c r="AU167" i="1"/>
  <c r="AU72" i="1"/>
  <c r="AZ72" i="1"/>
  <c r="BA72" i="1" s="1"/>
  <c r="AZ200" i="1"/>
  <c r="BA200" i="1" s="1"/>
  <c r="AU200" i="1"/>
  <c r="AU18" i="1"/>
  <c r="AZ18" i="1"/>
  <c r="BA18" i="1" s="1"/>
  <c r="AZ99" i="1"/>
  <c r="BA99" i="1" s="1"/>
  <c r="AU99" i="1"/>
  <c r="AZ101" i="1"/>
  <c r="BA101" i="1" s="1"/>
  <c r="AU101" i="1"/>
  <c r="AU189" i="1"/>
  <c r="AZ189" i="1"/>
  <c r="BA189" i="1" s="1"/>
  <c r="AU38" i="1"/>
  <c r="AZ38" i="1"/>
  <c r="BA38" i="1" s="1"/>
  <c r="AT184" i="1"/>
  <c r="AO184" i="1"/>
  <c r="AU185" i="1"/>
  <c r="AZ185" i="1"/>
  <c r="BA185" i="1" s="1"/>
  <c r="AZ173" i="1"/>
  <c r="BA173" i="1" s="1"/>
  <c r="AU173" i="1"/>
  <c r="BW83" i="1"/>
  <c r="CB83" i="1" s="1"/>
  <c r="CC83" i="1" s="1"/>
  <c r="AA71" i="1"/>
  <c r="BJ71" i="1" s="1"/>
  <c r="BK71" i="1" s="1"/>
  <c r="AA79" i="1"/>
  <c r="AA92" i="1"/>
  <c r="AA114" i="1"/>
  <c r="AA122" i="1"/>
  <c r="CE5" i="1"/>
  <c r="BG112" i="1"/>
  <c r="BG184" i="1"/>
  <c r="AT28" i="1"/>
  <c r="AO28" i="1"/>
  <c r="AZ133" i="1"/>
  <c r="BA133" i="1" s="1"/>
  <c r="AU133" i="1"/>
  <c r="AZ65" i="1"/>
  <c r="BA65" i="1" s="1"/>
  <c r="AU65" i="1"/>
  <c r="AO33" i="1"/>
  <c r="AT33" i="1"/>
  <c r="AU11" i="1"/>
  <c r="AZ11" i="1"/>
  <c r="BA11" i="1" s="1"/>
  <c r="AZ199" i="1"/>
  <c r="BA199" i="1" s="1"/>
  <c r="AU199" i="1"/>
  <c r="AZ34" i="1"/>
  <c r="BA34" i="1" s="1"/>
  <c r="AU34" i="1"/>
  <c r="AU106" i="1"/>
  <c r="AZ106" i="1"/>
  <c r="BA106" i="1" s="1"/>
  <c r="AT202" i="1"/>
  <c r="AO202" i="1"/>
  <c r="BS202" i="1"/>
  <c r="AU213" i="1"/>
  <c r="AZ213" i="1"/>
  <c r="BA213" i="1" s="1"/>
  <c r="AU78" i="1"/>
  <c r="AZ78" i="1"/>
  <c r="BA78" i="1" s="1"/>
  <c r="AO13" i="1"/>
  <c r="AT13" i="1"/>
  <c r="AZ35" i="1"/>
  <c r="BA35" i="1" s="1"/>
  <c r="AU35" i="1"/>
  <c r="BM75" i="1"/>
  <c r="AT75" i="1"/>
  <c r="BS75" i="1"/>
  <c r="AO75" i="1"/>
  <c r="AZ131" i="1"/>
  <c r="BA131" i="1" s="1"/>
  <c r="AU131" i="1"/>
  <c r="AT60" i="1"/>
  <c r="AO60" i="1"/>
  <c r="BS60" i="1"/>
  <c r="AT204" i="1"/>
  <c r="AO204" i="1"/>
  <c r="AU77" i="1"/>
  <c r="AZ77" i="1"/>
  <c r="BA77" i="1" s="1"/>
  <c r="AU162" i="1"/>
  <c r="AZ162" i="1"/>
  <c r="BA162" i="1" s="1"/>
  <c r="AZ136" i="1"/>
  <c r="BA136" i="1" s="1"/>
  <c r="AU136" i="1"/>
  <c r="AZ81" i="1"/>
  <c r="BA81" i="1" s="1"/>
  <c r="AU81" i="1"/>
  <c r="AZ169" i="1"/>
  <c r="BA169" i="1" s="1"/>
  <c r="AU169" i="1"/>
  <c r="AZ193" i="1"/>
  <c r="BA193" i="1" s="1"/>
  <c r="AU193" i="1"/>
  <c r="AZ50" i="1"/>
  <c r="BA50" i="1" s="1"/>
  <c r="AU50" i="1"/>
  <c r="AZ154" i="1"/>
  <c r="BA154" i="1" s="1"/>
  <c r="AU154" i="1"/>
  <c r="AU126" i="1"/>
  <c r="AZ126" i="1"/>
  <c r="BA126" i="1" s="1"/>
  <c r="AZ187" i="1"/>
  <c r="BA187" i="1" s="1"/>
  <c r="AU187" i="1"/>
  <c r="AU100" i="1"/>
  <c r="AZ100" i="1"/>
  <c r="BA100" i="1" s="1"/>
  <c r="AZ220" i="1"/>
  <c r="BA220" i="1" s="1"/>
  <c r="AU220" i="1"/>
  <c r="AZ197" i="1"/>
  <c r="BA197" i="1" s="1"/>
  <c r="AU197" i="1"/>
  <c r="AT153" i="1"/>
  <c r="AO153" i="1"/>
  <c r="AZ44" i="1"/>
  <c r="BA44" i="1" s="1"/>
  <c r="AU44" i="1"/>
  <c r="AZ161" i="1"/>
  <c r="BA161" i="1" s="1"/>
  <c r="AU161" i="1"/>
  <c r="AA130" i="1"/>
  <c r="AA138" i="1"/>
  <c r="AA146" i="1"/>
  <c r="BW87" i="1"/>
  <c r="BM184" i="1"/>
  <c r="BW91" i="1"/>
  <c r="AT48" i="1"/>
  <c r="AO48" i="1"/>
  <c r="BS48" i="1"/>
  <c r="AU39" i="1"/>
  <c r="AZ39" i="1"/>
  <c r="BA39" i="1" s="1"/>
  <c r="AZ215" i="1"/>
  <c r="BA215" i="1" s="1"/>
  <c r="AU215" i="1"/>
  <c r="AO24" i="1"/>
  <c r="AT24" i="1"/>
  <c r="AU61" i="1"/>
  <c r="AZ61" i="1"/>
  <c r="BA61" i="1" s="1"/>
  <c r="AT142" i="1"/>
  <c r="AO142" i="1"/>
  <c r="BS142" i="1"/>
  <c r="AT46" i="1"/>
  <c r="AO46" i="1"/>
  <c r="AT102" i="1"/>
  <c r="AO102" i="1"/>
  <c r="AT64" i="1"/>
  <c r="AO64" i="1"/>
  <c r="BS64" i="1"/>
  <c r="BG64" i="1"/>
  <c r="CE64" i="1"/>
  <c r="BM64" i="1"/>
  <c r="AZ82" i="1"/>
  <c r="BA82" i="1" s="1"/>
  <c r="AU82" i="1"/>
  <c r="AU89" i="1"/>
  <c r="AZ89" i="1"/>
  <c r="AU132" i="1"/>
  <c r="AZ132" i="1"/>
  <c r="BA132" i="1" s="1"/>
  <c r="AZ175" i="1"/>
  <c r="BA175" i="1" s="1"/>
  <c r="AU175" i="1"/>
  <c r="AU144" i="1"/>
  <c r="AZ144" i="1"/>
  <c r="BA144" i="1" s="1"/>
  <c r="AU201" i="1"/>
  <c r="AZ201" i="1"/>
  <c r="BA201" i="1" s="1"/>
  <c r="AU27" i="1"/>
  <c r="AZ27" i="1"/>
  <c r="BA27" i="1" s="1"/>
  <c r="AZ155" i="1"/>
  <c r="BA155" i="1" s="1"/>
  <c r="AU155" i="1"/>
  <c r="AZ140" i="1"/>
  <c r="BA140" i="1" s="1"/>
  <c r="AU140" i="1"/>
  <c r="AU150" i="1"/>
  <c r="AZ150" i="1"/>
  <c r="BA150" i="1" s="1"/>
  <c r="AZ105" i="1"/>
  <c r="BA105" i="1" s="1"/>
  <c r="AU105" i="1"/>
  <c r="AT112" i="1"/>
  <c r="AO112" i="1"/>
  <c r="AZ79" i="1"/>
  <c r="BA79" i="1" s="1"/>
  <c r="AU79" i="1"/>
  <c r="AZ53" i="1"/>
  <c r="BA53" i="1" s="1"/>
  <c r="AU53" i="1"/>
  <c r="AU151" i="1"/>
  <c r="AZ151" i="1"/>
  <c r="BA151" i="1" s="1"/>
  <c r="AA12" i="1"/>
  <c r="AA154" i="1"/>
  <c r="AA162" i="1"/>
  <c r="BY112" i="1"/>
  <c r="BY184" i="1"/>
  <c r="BM153" i="1"/>
  <c r="AU137" i="1"/>
  <c r="AZ137" i="1"/>
  <c r="BA137" i="1" s="1"/>
  <c r="AZ45" i="1"/>
  <c r="BA45" i="1" s="1"/>
  <c r="AU45" i="1"/>
  <c r="AO63" i="1"/>
  <c r="AT63" i="1"/>
  <c r="AU96" i="1"/>
  <c r="AZ96" i="1"/>
  <c r="BA96" i="1" s="1"/>
  <c r="AU149" i="1"/>
  <c r="AZ149" i="1"/>
  <c r="BA149" i="1" s="1"/>
  <c r="AO129" i="1"/>
  <c r="AT129" i="1"/>
  <c r="AU141" i="1"/>
  <c r="AZ141" i="1"/>
  <c r="BA141" i="1" s="1"/>
  <c r="AU62" i="1"/>
  <c r="AZ62" i="1"/>
  <c r="BA62" i="1" s="1"/>
  <c r="AU9" i="1"/>
  <c r="AZ9" i="1"/>
  <c r="BA9" i="1" s="1"/>
  <c r="AU42" i="1"/>
  <c r="AZ42" i="1"/>
  <c r="BA42" i="1" s="1"/>
  <c r="AU14" i="1"/>
  <c r="AZ14" i="1"/>
  <c r="BA14" i="1" s="1"/>
  <c r="AU134" i="1"/>
  <c r="AZ134" i="1"/>
  <c r="BA134" i="1" s="1"/>
  <c r="AO86" i="1"/>
  <c r="AT86" i="1"/>
  <c r="AU43" i="1"/>
  <c r="AZ43" i="1"/>
  <c r="BA43" i="1" s="1"/>
  <c r="AZ107" i="1"/>
  <c r="BA107" i="1" s="1"/>
  <c r="AU107" i="1"/>
  <c r="AU147" i="1"/>
  <c r="AZ147" i="1"/>
  <c r="BA147" i="1" s="1"/>
  <c r="AU104" i="1"/>
  <c r="AZ104" i="1"/>
  <c r="BA104" i="1" s="1"/>
  <c r="AT148" i="1"/>
  <c r="AO148" i="1"/>
  <c r="BY148" i="1"/>
  <c r="CE148" i="1"/>
  <c r="AU125" i="1"/>
  <c r="AZ125" i="1"/>
  <c r="BA125" i="1" s="1"/>
  <c r="AZ55" i="1"/>
  <c r="BA55" i="1" s="1"/>
  <c r="AU55" i="1"/>
  <c r="AZ127" i="1"/>
  <c r="BA127" i="1" s="1"/>
  <c r="AU127" i="1"/>
  <c r="AU122" i="1"/>
  <c r="AZ122" i="1"/>
  <c r="BA122" i="1" s="1"/>
  <c r="AU30" i="1"/>
  <c r="AZ30" i="1"/>
  <c r="BA30" i="1" s="1"/>
  <c r="AZ12" i="1"/>
  <c r="BA12" i="1" s="1"/>
  <c r="AU12" i="1"/>
  <c r="AZ205" i="1"/>
  <c r="BA205" i="1" s="1"/>
  <c r="AU205" i="1"/>
  <c r="AU190" i="1"/>
  <c r="AZ190" i="1"/>
  <c r="BA190" i="1" s="1"/>
  <c r="AO51" i="1"/>
  <c r="AT51" i="1"/>
  <c r="BG51" i="1"/>
  <c r="AO116" i="1"/>
  <c r="AT116" i="1"/>
  <c r="BK206" i="1"/>
  <c r="BP206" i="1" s="1"/>
  <c r="BS112" i="1"/>
  <c r="CE112" i="1"/>
  <c r="AZ16" i="1"/>
  <c r="BA16" i="1" s="1"/>
  <c r="AU16" i="1"/>
  <c r="AZ71" i="1"/>
  <c r="BA71" i="1" s="1"/>
  <c r="AU71" i="1"/>
  <c r="AT40" i="1"/>
  <c r="BY40" i="1"/>
  <c r="BG40" i="1"/>
  <c r="BM40" i="1"/>
  <c r="AO40" i="1"/>
  <c r="AT118" i="1"/>
  <c r="AO118" i="1"/>
  <c r="CE118" i="1"/>
  <c r="BM118" i="1"/>
  <c r="AU17" i="1"/>
  <c r="AZ17" i="1"/>
  <c r="BA17" i="1" s="1"/>
  <c r="AU114" i="1"/>
  <c r="AZ114" i="1"/>
  <c r="BA114" i="1" s="1"/>
  <c r="AO110" i="1"/>
  <c r="AT110" i="1"/>
  <c r="BQ110" i="1" s="1"/>
  <c r="BV110" i="1" s="1"/>
  <c r="AO92" i="1"/>
  <c r="AT92" i="1"/>
  <c r="AO219" i="1"/>
  <c r="AT219" i="1"/>
  <c r="AZ70" i="1"/>
  <c r="BA70" i="1" s="1"/>
  <c r="AU70" i="1"/>
  <c r="AZ183" i="1"/>
  <c r="BA183" i="1" s="1"/>
  <c r="AU183" i="1"/>
  <c r="AU120" i="1"/>
  <c r="AZ120" i="1"/>
  <c r="BA120" i="1" s="1"/>
  <c r="AZ208" i="1"/>
  <c r="BA208" i="1" s="1"/>
  <c r="AU208" i="1"/>
  <c r="AU49" i="1"/>
  <c r="AZ49" i="1"/>
  <c r="BA49" i="1" s="1"/>
  <c r="AU121" i="1"/>
  <c r="AZ121" i="1"/>
  <c r="BA121" i="1" s="1"/>
  <c r="AZ209" i="1"/>
  <c r="BA209" i="1" s="1"/>
  <c r="AU209" i="1"/>
  <c r="AU66" i="1"/>
  <c r="AZ66" i="1"/>
  <c r="BA66" i="1" s="1"/>
  <c r="AZ22" i="1"/>
  <c r="BA22" i="1" s="1"/>
  <c r="AU22" i="1"/>
  <c r="AU166" i="1"/>
  <c r="AZ166" i="1"/>
  <c r="BA166" i="1" s="1"/>
  <c r="AZ179" i="1"/>
  <c r="BA179" i="1" s="1"/>
  <c r="AU179" i="1"/>
  <c r="AZ203" i="1"/>
  <c r="BA203" i="1" s="1"/>
  <c r="AU203" i="1"/>
  <c r="AU109" i="1"/>
  <c r="AZ109" i="1"/>
  <c r="BA109" i="1" s="1"/>
  <c r="AU214" i="1"/>
  <c r="AZ214" i="1"/>
  <c r="BA214" i="1" s="1"/>
  <c r="BQ140" i="1"/>
  <c r="BV140" i="1" s="1"/>
  <c r="BQ89" i="1"/>
  <c r="BQ114" i="1"/>
  <c r="BV114" i="1" s="1"/>
  <c r="BQ102" i="1"/>
  <c r="BV102" i="1" s="1"/>
  <c r="BJ200" i="1"/>
  <c r="BK200" i="1" s="1"/>
  <c r="BP200" i="1" s="1"/>
  <c r="BQ200" i="1" s="1"/>
  <c r="BV200" i="1" s="1"/>
  <c r="BY160" i="1"/>
  <c r="BQ128" i="1"/>
  <c r="BV128" i="1" s="1"/>
  <c r="BW128" i="1" s="1"/>
  <c r="CB128" i="1" s="1"/>
  <c r="CC128" i="1" s="1"/>
  <c r="BS93" i="1"/>
  <c r="BY165" i="1"/>
  <c r="CE198" i="1"/>
  <c r="CC52" i="1"/>
  <c r="BG160" i="1"/>
  <c r="CE97" i="1"/>
  <c r="BS138" i="1"/>
  <c r="BG144" i="1"/>
  <c r="BG52" i="1"/>
  <c r="BY93" i="1"/>
  <c r="BG100" i="1"/>
  <c r="BS53" i="1"/>
  <c r="BM52" i="1"/>
  <c r="BQ148" i="1"/>
  <c r="BV148" i="1" s="1"/>
  <c r="BY82" i="1"/>
  <c r="CE93" i="1"/>
  <c r="CE52" i="1"/>
  <c r="BS97" i="1"/>
  <c r="BS160" i="1"/>
  <c r="BQ100" i="1"/>
  <c r="BV100" i="1" s="1"/>
  <c r="BW100" i="1" s="1"/>
  <c r="CB100" i="1" s="1"/>
  <c r="CC100" i="1" s="1"/>
  <c r="BQ122" i="1"/>
  <c r="BV122" i="1" s="1"/>
  <c r="BW122" i="1" s="1"/>
  <c r="CB122" i="1" s="1"/>
  <c r="CC122" i="1" s="1"/>
  <c r="BW43" i="1"/>
  <c r="CC53" i="1"/>
  <c r="BY43" i="1"/>
  <c r="BG97" i="1"/>
  <c r="BM114" i="1"/>
  <c r="CE144" i="1"/>
  <c r="BG132" i="1"/>
  <c r="CE21" i="1"/>
  <c r="BY53" i="1"/>
  <c r="BY215" i="1"/>
  <c r="BQ212" i="1"/>
  <c r="BV212" i="1" s="1"/>
  <c r="BS66" i="1"/>
  <c r="BM66" i="1"/>
  <c r="CE66" i="1"/>
  <c r="BG66" i="1"/>
  <c r="BG110" i="1"/>
  <c r="CE110" i="1"/>
  <c r="BS110" i="1"/>
  <c r="BM110" i="1"/>
  <c r="BY220" i="1"/>
  <c r="BG220" i="1"/>
  <c r="BM90" i="1"/>
  <c r="BY186" i="1"/>
  <c r="BG186" i="1"/>
  <c r="BG82" i="1"/>
  <c r="CE191" i="1"/>
  <c r="BG103" i="1"/>
  <c r="BS215" i="1"/>
  <c r="BG203" i="1"/>
  <c r="BY71" i="1"/>
  <c r="BS43" i="1"/>
  <c r="CE81" i="1"/>
  <c r="BY212" i="1"/>
  <c r="CE82" i="1"/>
  <c r="BM53" i="1"/>
  <c r="BS220" i="1"/>
  <c r="CC66" i="1"/>
  <c r="BM201" i="1"/>
  <c r="BY124" i="1"/>
  <c r="BS209" i="1"/>
  <c r="BS81" i="1"/>
  <c r="CC34" i="1"/>
  <c r="BM34" i="1"/>
  <c r="BY34" i="1"/>
  <c r="BG34" i="1"/>
  <c r="BS34" i="1"/>
  <c r="CE34" i="1"/>
  <c r="CC36" i="1"/>
  <c r="CE36" i="1"/>
  <c r="BY36" i="1"/>
  <c r="BS36" i="1"/>
  <c r="BG36" i="1"/>
  <c r="BM36" i="1"/>
  <c r="BY108" i="1"/>
  <c r="BG108" i="1"/>
  <c r="BS108" i="1"/>
  <c r="BY188" i="1"/>
  <c r="CE8" i="1"/>
  <c r="BJ182" i="1"/>
  <c r="BK182" i="1" s="1"/>
  <c r="BP182" i="1" s="1"/>
  <c r="BQ182" i="1" s="1"/>
  <c r="BV182" i="1" s="1"/>
  <c r="BJ188" i="1"/>
  <c r="BK188" i="1" s="1"/>
  <c r="BP188" i="1" s="1"/>
  <c r="BQ188" i="1" s="1"/>
  <c r="BV188" i="1" s="1"/>
  <c r="BW188" i="1" s="1"/>
  <c r="CB188" i="1" s="1"/>
  <c r="CC188" i="1" s="1"/>
  <c r="BQ194" i="1"/>
  <c r="BV194" i="1" s="1"/>
  <c r="BW194" i="1" s="1"/>
  <c r="CB194" i="1" s="1"/>
  <c r="CC194" i="1" s="1"/>
  <c r="BG145" i="1"/>
  <c r="BM191" i="1"/>
  <c r="BS77" i="1"/>
  <c r="BY209" i="1"/>
  <c r="CC43" i="1"/>
  <c r="BG70" i="1"/>
  <c r="BY67" i="1"/>
  <c r="CE160" i="1"/>
  <c r="CE188" i="1"/>
  <c r="BY70" i="1"/>
  <c r="BG188" i="1"/>
  <c r="BY144" i="1"/>
  <c r="BS144" i="1"/>
  <c r="CE53" i="1"/>
  <c r="BM165" i="1"/>
  <c r="BG126" i="1"/>
  <c r="CE126" i="1"/>
  <c r="BS126" i="1"/>
  <c r="BY126" i="1"/>
  <c r="BM126" i="1"/>
  <c r="BY198" i="1"/>
  <c r="BM198" i="1"/>
  <c r="BG198" i="1"/>
  <c r="BS198" i="1"/>
  <c r="BM93" i="1"/>
  <c r="BY114" i="1"/>
  <c r="BS114" i="1"/>
  <c r="BG114" i="1"/>
  <c r="BS132" i="1"/>
  <c r="BM132" i="1"/>
  <c r="BM145" i="1"/>
  <c r="BG77" i="1"/>
  <c r="CE77" i="1"/>
  <c r="CE197" i="1"/>
  <c r="CE209" i="1"/>
  <c r="BQ91" i="1"/>
  <c r="BY145" i="1"/>
  <c r="BS70" i="1"/>
  <c r="BS188" i="1"/>
  <c r="BG106" i="1"/>
  <c r="BS103" i="1"/>
  <c r="CE84" i="1"/>
  <c r="BS84" i="1"/>
  <c r="CE12" i="1"/>
  <c r="BW36" i="1"/>
  <c r="BM197" i="1"/>
  <c r="BM81" i="1"/>
  <c r="BW70" i="1"/>
  <c r="CE70" i="1"/>
  <c r="BM67" i="1"/>
  <c r="BG67" i="1"/>
  <c r="CE67" i="1"/>
  <c r="BY139" i="1"/>
  <c r="BS139" i="1"/>
  <c r="BY37" i="1"/>
  <c r="BG37" i="1"/>
  <c r="CE37" i="1"/>
  <c r="CE138" i="1"/>
  <c r="BM138" i="1"/>
  <c r="BG138" i="1"/>
  <c r="CC72" i="1"/>
  <c r="BG72" i="1"/>
  <c r="BY72" i="1"/>
  <c r="CE72" i="1"/>
  <c r="BM72" i="1"/>
  <c r="BM130" i="1"/>
  <c r="BY130" i="1"/>
  <c r="BS130" i="1"/>
  <c r="BG130" i="1"/>
  <c r="CE124" i="1"/>
  <c r="CE30" i="1"/>
  <c r="BM212" i="1"/>
  <c r="BG212" i="1"/>
  <c r="BS212" i="1"/>
  <c r="BJ81" i="1"/>
  <c r="BK81" i="1" s="1"/>
  <c r="BP81" i="1" s="1"/>
  <c r="BQ81" i="1" s="1"/>
  <c r="BV81" i="1" s="1"/>
  <c r="BQ176" i="1"/>
  <c r="BV176" i="1" s="1"/>
  <c r="BW176" i="1" s="1"/>
  <c r="CB176" i="1" s="1"/>
  <c r="CC176" i="1" s="1"/>
  <c r="BS124" i="1"/>
  <c r="BM124" i="1"/>
  <c r="BQ142" i="1"/>
  <c r="BV142" i="1" s="1"/>
  <c r="BS82" i="1"/>
  <c r="CE99" i="1"/>
  <c r="CE139" i="1"/>
  <c r="CE103" i="1"/>
  <c r="BY77" i="1"/>
  <c r="BY197" i="1"/>
  <c r="BS197" i="1"/>
  <c r="BG209" i="1"/>
  <c r="BM108" i="1"/>
  <c r="BG43" i="1"/>
  <c r="BG81" i="1"/>
  <c r="CE212" i="1"/>
  <c r="BQ106" i="1"/>
  <c r="BV106" i="1" s="1"/>
  <c r="BW106" i="1" s="1"/>
  <c r="CB106" i="1" s="1"/>
  <c r="CC106" i="1" s="1"/>
  <c r="BM82" i="1"/>
  <c r="CC70" i="1"/>
  <c r="BM84" i="1"/>
  <c r="BM160" i="1"/>
  <c r="BQ154" i="1"/>
  <c r="BV154" i="1" s="1"/>
  <c r="BS154" i="1"/>
  <c r="BY154" i="1"/>
  <c r="CE154" i="1"/>
  <c r="BM154" i="1"/>
  <c r="BG154" i="1"/>
  <c r="BS100" i="1"/>
  <c r="CE100" i="1"/>
  <c r="CE32" i="1"/>
  <c r="BS151" i="1"/>
  <c r="BG151" i="1"/>
  <c r="BS133" i="1"/>
  <c r="BY133" i="1"/>
  <c r="BY152" i="1"/>
  <c r="BM152" i="1"/>
  <c r="BS152" i="1"/>
  <c r="BG152" i="1"/>
  <c r="CE152" i="1"/>
  <c r="BJ152" i="1"/>
  <c r="BK152" i="1" s="1"/>
  <c r="BP152" i="1" s="1"/>
  <c r="BG191" i="1"/>
  <c r="CC65" i="1"/>
  <c r="BQ206" i="1"/>
  <c r="BV206" i="1" s="1"/>
  <c r="BY206" i="1"/>
  <c r="CE206" i="1"/>
  <c r="BS206" i="1"/>
  <c r="BM206" i="1"/>
  <c r="BG206" i="1"/>
  <c r="BG65" i="1"/>
  <c r="BM65" i="1"/>
  <c r="CE65" i="1"/>
  <c r="BY65" i="1"/>
  <c r="BS65" i="1"/>
  <c r="BQ218" i="1"/>
  <c r="BV218" i="1" s="1"/>
  <c r="BW218" i="1" s="1"/>
  <c r="CB218" i="1" s="1"/>
  <c r="CC218" i="1" s="1"/>
  <c r="BS218" i="1"/>
  <c r="BM218" i="1"/>
  <c r="BG218" i="1"/>
  <c r="CE218" i="1"/>
  <c r="BY218" i="1"/>
  <c r="BS116" i="1"/>
  <c r="BY116" i="1"/>
  <c r="CE116" i="1"/>
  <c r="BM116" i="1"/>
  <c r="BG116" i="1"/>
  <c r="BM80" i="1"/>
  <c r="BY80" i="1"/>
  <c r="CE80" i="1"/>
  <c r="BG80" i="1"/>
  <c r="BS80" i="1"/>
  <c r="BM86" i="1"/>
  <c r="CE86" i="1"/>
  <c r="BY86" i="1"/>
  <c r="BG86" i="1"/>
  <c r="BS86" i="1"/>
  <c r="CE98" i="1"/>
  <c r="BY98" i="1"/>
  <c r="BM98" i="1"/>
  <c r="BG98" i="1"/>
  <c r="BS98" i="1"/>
  <c r="BS170" i="1"/>
  <c r="BY170" i="1"/>
  <c r="BG170" i="1"/>
  <c r="BM170" i="1"/>
  <c r="CE170" i="1"/>
  <c r="CE7" i="1"/>
  <c r="BG47" i="1"/>
  <c r="BS47" i="1"/>
  <c r="CE47" i="1"/>
  <c r="BM47" i="1"/>
  <c r="BY47" i="1"/>
  <c r="CE26" i="1"/>
  <c r="BQ170" i="1"/>
  <c r="BV170" i="1" s="1"/>
  <c r="BY182" i="1"/>
  <c r="CE182" i="1"/>
  <c r="BG182" i="1"/>
  <c r="BM182" i="1"/>
  <c r="BS182" i="1"/>
  <c r="CE74" i="1"/>
  <c r="BG74" i="1"/>
  <c r="BY74" i="1"/>
  <c r="BS74" i="1"/>
  <c r="BS92" i="1"/>
  <c r="CE92" i="1"/>
  <c r="BY92" i="1"/>
  <c r="BM92" i="1"/>
  <c r="BG92" i="1"/>
  <c r="BG71" i="1"/>
  <c r="CE71" i="1"/>
  <c r="BM71" i="1"/>
  <c r="BS71" i="1"/>
  <c r="BW71" i="1"/>
  <c r="BM161" i="1"/>
  <c r="BJ92" i="1"/>
  <c r="BK92" i="1" s="1"/>
  <c r="BP92" i="1" s="1"/>
  <c r="BJ98" i="1"/>
  <c r="BK98" i="1" s="1"/>
  <c r="BP98" i="1" s="1"/>
  <c r="BS191" i="1"/>
  <c r="BS161" i="1"/>
  <c r="CC47" i="1"/>
  <c r="CE16" i="1"/>
  <c r="CC56" i="1"/>
  <c r="CE56" i="1"/>
  <c r="BY56" i="1"/>
  <c r="BG56" i="1"/>
  <c r="BM56" i="1"/>
  <c r="BS56" i="1"/>
  <c r="BY200" i="1"/>
  <c r="BM200" i="1"/>
  <c r="BG200" i="1"/>
  <c r="CE200" i="1"/>
  <c r="BS200" i="1"/>
  <c r="CC35" i="1"/>
  <c r="CE35" i="1"/>
  <c r="BY35" i="1"/>
  <c r="BG35" i="1"/>
  <c r="BS35" i="1"/>
  <c r="BM35" i="1"/>
  <c r="CC44" i="1"/>
  <c r="CE44" i="1"/>
  <c r="BY44" i="1"/>
  <c r="BM44" i="1"/>
  <c r="BG44" i="1"/>
  <c r="BS44" i="1"/>
  <c r="CC62" i="1"/>
  <c r="BG62" i="1"/>
  <c r="BS62" i="1"/>
  <c r="BY62" i="1"/>
  <c r="CE62" i="1"/>
  <c r="BM62" i="1"/>
  <c r="BW47" i="1"/>
  <c r="AA24" i="1"/>
  <c r="Z24" i="1"/>
  <c r="AA30" i="1"/>
  <c r="Z30" i="1"/>
  <c r="AA36" i="1"/>
  <c r="BJ36" i="1" s="1"/>
  <c r="BK36" i="1" s="1"/>
  <c r="Z36" i="1"/>
  <c r="AA42" i="1"/>
  <c r="BJ42" i="1" s="1"/>
  <c r="BK42" i="1" s="1"/>
  <c r="Z42" i="1"/>
  <c r="Z56" i="1"/>
  <c r="AA56" i="1"/>
  <c r="BJ56" i="1" s="1"/>
  <c r="BK56" i="1" s="1"/>
  <c r="AA60" i="1"/>
  <c r="BJ60" i="1" s="1"/>
  <c r="BK60" i="1" s="1"/>
  <c r="Z60" i="1"/>
  <c r="AA66" i="1"/>
  <c r="BJ66" i="1" s="1"/>
  <c r="BK66" i="1" s="1"/>
  <c r="Z66" i="1"/>
  <c r="BJ217" i="1"/>
  <c r="BK217" i="1" s="1"/>
  <c r="BP217" i="1" s="1"/>
  <c r="BQ217" i="1" s="1"/>
  <c r="BV217" i="1" s="1"/>
  <c r="BW217" i="1" s="1"/>
  <c r="CB217" i="1" s="1"/>
  <c r="CC217" i="1" s="1"/>
  <c r="AA22" i="1"/>
  <c r="AA40" i="1"/>
  <c r="BJ40" i="1" s="1"/>
  <c r="BK40" i="1" s="1"/>
  <c r="AA207" i="1"/>
  <c r="BJ162" i="1"/>
  <c r="BK162" i="1" s="1"/>
  <c r="BP162" i="1" s="1"/>
  <c r="BQ162" i="1" s="1"/>
  <c r="BV162" i="1" s="1"/>
  <c r="BW162" i="1" s="1"/>
  <c r="CB162" i="1" s="1"/>
  <c r="CC162" i="1" s="1"/>
  <c r="Z58" i="1"/>
  <c r="Z117" i="1"/>
  <c r="Z153" i="1"/>
  <c r="Z171" i="1"/>
  <c r="BJ84" i="1"/>
  <c r="BK84" i="1" s="1"/>
  <c r="BP84" i="1" s="1"/>
  <c r="BQ84" i="1" s="1"/>
  <c r="BV84" i="1" s="1"/>
  <c r="BW84" i="1" s="1"/>
  <c r="CB84" i="1" s="1"/>
  <c r="CC84" i="1" s="1"/>
  <c r="BJ95" i="1"/>
  <c r="BK95" i="1" s="1"/>
  <c r="BP95" i="1" s="1"/>
  <c r="BQ95" i="1" s="1"/>
  <c r="BV95" i="1" s="1"/>
  <c r="BW95" i="1" s="1"/>
  <c r="CB95" i="1" s="1"/>
  <c r="CC95" i="1" s="1"/>
  <c r="BJ108" i="1"/>
  <c r="BK108" i="1" s="1"/>
  <c r="BP108" i="1" s="1"/>
  <c r="BQ108" i="1" s="1"/>
  <c r="BV108" i="1" s="1"/>
  <c r="BJ157" i="1"/>
  <c r="BK157" i="1" s="1"/>
  <c r="BP157" i="1" s="1"/>
  <c r="BQ157" i="1" s="1"/>
  <c r="BV157" i="1" s="1"/>
  <c r="BW157" i="1" s="1"/>
  <c r="CB157" i="1" s="1"/>
  <c r="CC157" i="1" s="1"/>
  <c r="AA34" i="1"/>
  <c r="BJ34" i="1" s="1"/>
  <c r="AA52" i="1"/>
  <c r="BJ52" i="1" s="1"/>
  <c r="BK52" i="1" s="1"/>
  <c r="AA70" i="1"/>
  <c r="BJ70" i="1" s="1"/>
  <c r="BK70" i="1" s="1"/>
  <c r="Z13" i="1"/>
  <c r="AA13" i="1"/>
  <c r="AA54" i="1"/>
  <c r="BJ54" i="1" s="1"/>
  <c r="BK54" i="1" s="1"/>
  <c r="Z54" i="1"/>
  <c r="AA72" i="1"/>
  <c r="BJ72" i="1" s="1"/>
  <c r="BK72" i="1" s="1"/>
  <c r="Z72" i="1"/>
  <c r="Z74" i="1"/>
  <c r="AA74" i="1"/>
  <c r="AA78" i="1"/>
  <c r="Z78" i="1"/>
  <c r="AA80" i="1"/>
  <c r="Z80" i="1"/>
  <c r="AA84" i="1"/>
  <c r="Z84" i="1"/>
  <c r="Z86" i="1"/>
  <c r="AA86" i="1"/>
  <c r="AA95" i="1"/>
  <c r="Z95" i="1"/>
  <c r="AA101" i="1"/>
  <c r="Z101" i="1"/>
  <c r="AA103" i="1"/>
  <c r="Z103" i="1"/>
  <c r="Z109" i="1"/>
  <c r="AA109" i="1"/>
  <c r="Z115" i="1"/>
  <c r="AA115" i="1"/>
  <c r="AA119" i="1"/>
  <c r="Z119" i="1"/>
  <c r="Z121" i="1"/>
  <c r="AA121" i="1"/>
  <c r="AA125" i="1"/>
  <c r="Z125" i="1"/>
  <c r="Z127" i="1"/>
  <c r="AA127" i="1"/>
  <c r="AA131" i="1"/>
  <c r="Z131" i="1"/>
  <c r="Z133" i="1"/>
  <c r="AA133" i="1"/>
  <c r="AA137" i="1"/>
  <c r="Z137" i="1"/>
  <c r="AA139" i="1"/>
  <c r="Z139" i="1"/>
  <c r="AA143" i="1"/>
  <c r="Z143" i="1"/>
  <c r="Z145" i="1"/>
  <c r="AA145" i="1"/>
  <c r="AA149" i="1"/>
  <c r="Z149" i="1"/>
  <c r="Z151" i="1"/>
  <c r="AA151" i="1"/>
  <c r="AA155" i="1"/>
  <c r="Z155" i="1"/>
  <c r="Z157" i="1"/>
  <c r="AA157" i="1"/>
  <c r="AA161" i="1"/>
  <c r="Z161" i="1"/>
  <c r="Z163" i="1"/>
  <c r="AA163" i="1"/>
  <c r="AA167" i="1"/>
  <c r="Z167" i="1"/>
  <c r="Z169" i="1"/>
  <c r="AA169" i="1"/>
  <c r="AA173" i="1"/>
  <c r="Z173" i="1"/>
  <c r="Z175" i="1"/>
  <c r="AA175" i="1"/>
  <c r="AA179" i="1"/>
  <c r="Z179" i="1"/>
  <c r="Z181" i="1"/>
  <c r="AA181" i="1"/>
  <c r="AA185" i="1"/>
  <c r="Z185" i="1"/>
  <c r="Z187" i="1"/>
  <c r="AA187" i="1"/>
  <c r="AA191" i="1"/>
  <c r="Z191" i="1"/>
  <c r="Z193" i="1"/>
  <c r="AA193" i="1"/>
  <c r="AA197" i="1"/>
  <c r="Z197" i="1"/>
  <c r="Z199" i="1"/>
  <c r="AA199" i="1"/>
  <c r="AA203" i="1"/>
  <c r="Z203" i="1"/>
  <c r="Z205" i="1"/>
  <c r="AA205" i="1"/>
  <c r="BJ205" i="1" s="1"/>
  <c r="BK205" i="1" s="1"/>
  <c r="BP205" i="1" s="1"/>
  <c r="BQ205" i="1" s="1"/>
  <c r="BV205" i="1" s="1"/>
  <c r="BW205" i="1" s="1"/>
  <c r="CB205" i="1" s="1"/>
  <c r="CC205" i="1" s="1"/>
  <c r="AA209" i="1"/>
  <c r="Z209" i="1"/>
  <c r="Z211" i="1"/>
  <c r="AA211" i="1"/>
  <c r="AA215" i="1"/>
  <c r="Z215" i="1"/>
  <c r="Z217" i="1"/>
  <c r="AA217" i="1"/>
  <c r="AA5" i="1"/>
  <c r="Z5" i="1"/>
  <c r="Z20" i="1"/>
  <c r="AA20" i="1"/>
  <c r="Z32" i="1"/>
  <c r="AA32" i="1"/>
  <c r="AA48" i="1"/>
  <c r="BJ48" i="1" s="1"/>
  <c r="BK48" i="1" s="1"/>
  <c r="Z48" i="1"/>
  <c r="Z97" i="1"/>
  <c r="AA97" i="1"/>
  <c r="AA189" i="1"/>
  <c r="AA11" i="1"/>
  <c r="Z11" i="1"/>
  <c r="AA26" i="1"/>
  <c r="Z26" i="1"/>
  <c r="Z38" i="1"/>
  <c r="AA38" i="1"/>
  <c r="AA107" i="1"/>
  <c r="Z107" i="1"/>
  <c r="BJ199" i="1"/>
  <c r="BK199" i="1" s="1"/>
  <c r="BP199" i="1" s="1"/>
  <c r="BQ199" i="1" s="1"/>
  <c r="BV199" i="1" s="1"/>
  <c r="BW199" i="1" s="1"/>
  <c r="CB199" i="1" s="1"/>
  <c r="CC199" i="1" s="1"/>
  <c r="BJ93" i="1"/>
  <c r="BK93" i="1" s="1"/>
  <c r="BP93" i="1" s="1"/>
  <c r="BQ93" i="1" s="1"/>
  <c r="BV93" i="1" s="1"/>
  <c r="BW93" i="1" s="1"/>
  <c r="CB93" i="1" s="1"/>
  <c r="CC93" i="1" s="1"/>
  <c r="BJ147" i="1"/>
  <c r="BK147" i="1" s="1"/>
  <c r="BP147" i="1" s="1"/>
  <c r="BQ147" i="1" s="1"/>
  <c r="BV147" i="1" s="1"/>
  <c r="BW147" i="1" s="1"/>
  <c r="CB147" i="1" s="1"/>
  <c r="CC147" i="1" s="1"/>
  <c r="BJ163" i="1"/>
  <c r="BK163" i="1" s="1"/>
  <c r="BP163" i="1" s="1"/>
  <c r="BQ163" i="1" s="1"/>
  <c r="BV163" i="1" s="1"/>
  <c r="BW163" i="1" s="1"/>
  <c r="CB163" i="1" s="1"/>
  <c r="CC163" i="1" s="1"/>
  <c r="Z7" i="1"/>
  <c r="AA7" i="1"/>
  <c r="AA17" i="1"/>
  <c r="Z17" i="1"/>
  <c r="Z44" i="1"/>
  <c r="AA44" i="1"/>
  <c r="BJ44" i="1" s="1"/>
  <c r="BK44" i="1" s="1"/>
  <c r="AA50" i="1"/>
  <c r="BJ50" i="1" s="1"/>
  <c r="BK50" i="1" s="1"/>
  <c r="Z50" i="1"/>
  <c r="Z62" i="1"/>
  <c r="AA62" i="1"/>
  <c r="BJ62" i="1" s="1"/>
  <c r="BK62" i="1" s="1"/>
  <c r="Z68" i="1"/>
  <c r="AA68" i="1"/>
  <c r="BJ68" i="1" s="1"/>
  <c r="BK68" i="1" s="1"/>
  <c r="AA113" i="1"/>
  <c r="Z113" i="1"/>
  <c r="BJ141" i="1"/>
  <c r="BK141" i="1" s="1"/>
  <c r="BP141" i="1" s="1"/>
  <c r="BQ141" i="1" s="1"/>
  <c r="BV141" i="1" s="1"/>
  <c r="BJ161" i="1"/>
  <c r="BK161" i="1" s="1"/>
  <c r="BP161" i="1" s="1"/>
  <c r="BQ161" i="1" s="1"/>
  <c r="BV161" i="1" s="1"/>
  <c r="BW161" i="1" s="1"/>
  <c r="CB161" i="1" s="1"/>
  <c r="CC161" i="1" s="1"/>
  <c r="BJ175" i="1"/>
  <c r="BK175" i="1" s="1"/>
  <c r="BP175" i="1" s="1"/>
  <c r="BQ175" i="1" s="1"/>
  <c r="BV175" i="1" s="1"/>
  <c r="BW175" i="1" s="1"/>
  <c r="CB175" i="1" s="1"/>
  <c r="CC175" i="1" s="1"/>
  <c r="BJ181" i="1"/>
  <c r="BK181" i="1" s="1"/>
  <c r="BP181" i="1" s="1"/>
  <c r="BQ181" i="1" s="1"/>
  <c r="BV181" i="1" s="1"/>
  <c r="BW181" i="1" s="1"/>
  <c r="CB181" i="1" s="1"/>
  <c r="CC181" i="1" s="1"/>
  <c r="BJ211" i="1"/>
  <c r="BK211" i="1" s="1"/>
  <c r="BP211" i="1" s="1"/>
  <c r="BQ211" i="1" s="1"/>
  <c r="BV211" i="1" s="1"/>
  <c r="BW211" i="1" s="1"/>
  <c r="CB211" i="1" s="1"/>
  <c r="CC211" i="1" s="1"/>
  <c r="AA58" i="1"/>
  <c r="BJ58" i="1" s="1"/>
  <c r="BK58" i="1" s="1"/>
  <c r="AA76" i="1"/>
  <c r="AA99" i="1"/>
  <c r="AA135" i="1"/>
  <c r="BJ135" i="1"/>
  <c r="BK135" i="1" s="1"/>
  <c r="BP135" i="1" s="1"/>
  <c r="BQ135" i="1" s="1"/>
  <c r="BV135" i="1" s="1"/>
  <c r="Z40" i="1"/>
  <c r="BJ129" i="1"/>
  <c r="BK129" i="1" s="1"/>
  <c r="BP129" i="1" s="1"/>
  <c r="BQ129" i="1" s="1"/>
  <c r="BV129" i="1" s="1"/>
  <c r="BJ183" i="1"/>
  <c r="BK183" i="1" s="1"/>
  <c r="BP183" i="1" s="1"/>
  <c r="BQ183" i="1" s="1"/>
  <c r="BV183" i="1" s="1"/>
  <c r="BW183" i="1" s="1"/>
  <c r="CB183" i="1" s="1"/>
  <c r="CC183" i="1" s="1"/>
  <c r="BJ201" i="1"/>
  <c r="BK201" i="1" s="1"/>
  <c r="BP201" i="1" s="1"/>
  <c r="AA9" i="1"/>
  <c r="AA28" i="1"/>
  <c r="AA46" i="1"/>
  <c r="BJ46" i="1" s="1"/>
  <c r="BK46" i="1" s="1"/>
  <c r="AA64" i="1"/>
  <c r="BJ64" i="1" s="1"/>
  <c r="BK64" i="1" s="1"/>
  <c r="AA82" i="1"/>
  <c r="AA105" i="1"/>
  <c r="AA123" i="1"/>
  <c r="AA141" i="1"/>
  <c r="AA159" i="1"/>
  <c r="AA177" i="1"/>
  <c r="AA195" i="1"/>
  <c r="AA213" i="1"/>
  <c r="Z46" i="1"/>
  <c r="Z64" i="1"/>
  <c r="BJ171" i="1"/>
  <c r="BK171" i="1" s="1"/>
  <c r="BP171" i="1" s="1"/>
  <c r="BJ190" i="1"/>
  <c r="BK190" i="1" s="1"/>
  <c r="BP190" i="1" s="1"/>
  <c r="BQ190" i="1" s="1"/>
  <c r="BV190" i="1" s="1"/>
  <c r="BW190" i="1" s="1"/>
  <c r="CB190" i="1" s="1"/>
  <c r="CC190" i="1" s="1"/>
  <c r="BJ202" i="1"/>
  <c r="BK202" i="1" s="1"/>
  <c r="BP202" i="1" s="1"/>
  <c r="BQ202" i="1" s="1"/>
  <c r="BV202" i="1" s="1"/>
  <c r="BJ220" i="1"/>
  <c r="BK220" i="1" s="1"/>
  <c r="BP220" i="1" s="1"/>
  <c r="BQ220" i="1" s="1"/>
  <c r="BV220" i="1" s="1"/>
  <c r="BW220" i="1" s="1"/>
  <c r="CB220" i="1" s="1"/>
  <c r="CC220" i="1" s="1"/>
  <c r="BJ111" i="1"/>
  <c r="BK111" i="1" s="1"/>
  <c r="BP111" i="1" s="1"/>
  <c r="BQ111" i="1" s="1"/>
  <c r="BV111" i="1" s="1"/>
  <c r="BW111" i="1" s="1"/>
  <c r="CB111" i="1" s="1"/>
  <c r="CC111" i="1" s="1"/>
  <c r="BJ118" i="1"/>
  <c r="BK118" i="1" s="1"/>
  <c r="BP118" i="1" s="1"/>
  <c r="BQ118" i="1" s="1"/>
  <c r="BV118" i="1" s="1"/>
  <c r="BJ126" i="1"/>
  <c r="BK126" i="1" s="1"/>
  <c r="BP126" i="1" s="1"/>
  <c r="BQ126" i="1" s="1"/>
  <c r="BV126" i="1" s="1"/>
  <c r="BW126" i="1" s="1"/>
  <c r="CB126" i="1" s="1"/>
  <c r="CC126" i="1" s="1"/>
  <c r="BQ146" i="1"/>
  <c r="BV146" i="1" s="1"/>
  <c r="BW146" i="1" s="1"/>
  <c r="CB146" i="1" s="1"/>
  <c r="CC146" i="1" s="1"/>
  <c r="BJ153" i="1"/>
  <c r="BK153" i="1" s="1"/>
  <c r="BP153" i="1" s="1"/>
  <c r="BQ153" i="1" s="1"/>
  <c r="BV153" i="1" s="1"/>
  <c r="BJ160" i="1"/>
  <c r="BK160" i="1" s="1"/>
  <c r="BP160" i="1" s="1"/>
  <c r="BQ160" i="1" s="1"/>
  <c r="BV160" i="1" s="1"/>
  <c r="BW160" i="1" s="1"/>
  <c r="CB160" i="1" s="1"/>
  <c r="CC160" i="1" s="1"/>
  <c r="BJ166" i="1"/>
  <c r="BK166" i="1" s="1"/>
  <c r="BP166" i="1" s="1"/>
  <c r="BQ166" i="1" s="1"/>
  <c r="BV166" i="1" s="1"/>
  <c r="BW166" i="1" s="1"/>
  <c r="CB166" i="1" s="1"/>
  <c r="CC166" i="1" s="1"/>
  <c r="BJ174" i="1"/>
  <c r="BK174" i="1" s="1"/>
  <c r="BP174" i="1" s="1"/>
  <c r="BQ174" i="1" s="1"/>
  <c r="BV174" i="1" s="1"/>
  <c r="BJ180" i="1"/>
  <c r="BK180" i="1" s="1"/>
  <c r="BP180" i="1" s="1"/>
  <c r="BQ180" i="1" s="1"/>
  <c r="BV180" i="1" s="1"/>
  <c r="BW180" i="1" s="1"/>
  <c r="CB180" i="1" s="1"/>
  <c r="CC180" i="1" s="1"/>
  <c r="BJ186" i="1"/>
  <c r="BK186" i="1" s="1"/>
  <c r="BP186" i="1" s="1"/>
  <c r="BQ186" i="1" s="1"/>
  <c r="BV186" i="1" s="1"/>
  <c r="BW186" i="1" s="1"/>
  <c r="CB186" i="1" s="1"/>
  <c r="CC186" i="1" s="1"/>
  <c r="BJ192" i="1"/>
  <c r="BK192" i="1" s="1"/>
  <c r="BP192" i="1" s="1"/>
  <c r="BQ192" i="1" s="1"/>
  <c r="BV192" i="1" s="1"/>
  <c r="BW192" i="1" s="1"/>
  <c r="CB192" i="1" s="1"/>
  <c r="CC192" i="1" s="1"/>
  <c r="BJ198" i="1"/>
  <c r="BK198" i="1" s="1"/>
  <c r="BP198" i="1" s="1"/>
  <c r="BJ204" i="1"/>
  <c r="BK204" i="1" s="1"/>
  <c r="BP204" i="1" s="1"/>
  <c r="BQ204" i="1" s="1"/>
  <c r="BV204" i="1" s="1"/>
  <c r="BJ210" i="1"/>
  <c r="BK210" i="1" s="1"/>
  <c r="BP210" i="1" s="1"/>
  <c r="BQ210" i="1" s="1"/>
  <c r="BV210" i="1" s="1"/>
  <c r="BW210" i="1" s="1"/>
  <c r="CB210" i="1" s="1"/>
  <c r="CC210" i="1" s="1"/>
  <c r="BJ216" i="1"/>
  <c r="BK216" i="1" s="1"/>
  <c r="BP216" i="1" s="1"/>
  <c r="BQ216" i="1" s="1"/>
  <c r="BV216" i="1" s="1"/>
  <c r="BJ178" i="1"/>
  <c r="BK178" i="1" s="1"/>
  <c r="BP178" i="1" s="1"/>
  <c r="BG161" i="1"/>
  <c r="BY161" i="1"/>
  <c r="BJ207" i="1"/>
  <c r="BK207" i="1" s="1"/>
  <c r="BP207" i="1" s="1"/>
  <c r="BQ207" i="1" s="1"/>
  <c r="BV207" i="1" s="1"/>
  <c r="BJ219" i="1"/>
  <c r="BK219" i="1" s="1"/>
  <c r="BP219" i="1" s="1"/>
  <c r="BQ219" i="1" s="1"/>
  <c r="BV219" i="1" s="1"/>
  <c r="BJ79" i="1"/>
  <c r="BK79" i="1" s="1"/>
  <c r="BP79" i="1" s="1"/>
  <c r="BQ79" i="1" s="1"/>
  <c r="BV79" i="1" s="1"/>
  <c r="BW79" i="1" s="1"/>
  <c r="CB79" i="1" s="1"/>
  <c r="CC79" i="1" s="1"/>
  <c r="BJ85" i="1"/>
  <c r="BK85" i="1" s="1"/>
  <c r="BP85" i="1" s="1"/>
  <c r="BQ85" i="1" s="1"/>
  <c r="BV85" i="1" s="1"/>
  <c r="BJ96" i="1"/>
  <c r="BK96" i="1" s="1"/>
  <c r="BP96" i="1" s="1"/>
  <c r="BQ96" i="1" s="1"/>
  <c r="BV96" i="1" s="1"/>
  <c r="BW96" i="1" s="1"/>
  <c r="CB96" i="1" s="1"/>
  <c r="CC96" i="1" s="1"/>
  <c r="BJ109" i="1"/>
  <c r="BK109" i="1" s="1"/>
  <c r="BP109" i="1" s="1"/>
  <c r="BQ109" i="1" s="1"/>
  <c r="BV109" i="1" s="1"/>
  <c r="BW109" i="1" s="1"/>
  <c r="CB109" i="1" s="1"/>
  <c r="CC109" i="1" s="1"/>
  <c r="BJ130" i="1"/>
  <c r="BK130" i="1" s="1"/>
  <c r="BP130" i="1" s="1"/>
  <c r="BJ138" i="1"/>
  <c r="BK138" i="1" s="1"/>
  <c r="BP138" i="1" s="1"/>
  <c r="BQ138" i="1" s="1"/>
  <c r="BV138" i="1" s="1"/>
  <c r="BJ144" i="1"/>
  <c r="BK144" i="1" s="1"/>
  <c r="BP144" i="1" s="1"/>
  <c r="BQ144" i="1" s="1"/>
  <c r="BV144" i="1" s="1"/>
  <c r="BW144" i="1" s="1"/>
  <c r="CB144" i="1" s="1"/>
  <c r="CC144" i="1" s="1"/>
  <c r="BQ158" i="1"/>
  <c r="BV158" i="1" s="1"/>
  <c r="BW158" i="1" s="1"/>
  <c r="CB158" i="1" s="1"/>
  <c r="CC158" i="1" s="1"/>
  <c r="BQ164" i="1"/>
  <c r="BV164" i="1" s="1"/>
  <c r="BW164" i="1" s="1"/>
  <c r="CB164" i="1" s="1"/>
  <c r="CC164" i="1" s="1"/>
  <c r="BJ184" i="1"/>
  <c r="BK184" i="1" s="1"/>
  <c r="BP184" i="1" s="1"/>
  <c r="BQ184" i="1" s="1"/>
  <c r="BV184" i="1" s="1"/>
  <c r="BJ196" i="1"/>
  <c r="BK196" i="1" s="1"/>
  <c r="BP196" i="1" s="1"/>
  <c r="BQ196" i="1" s="1"/>
  <c r="BV196" i="1" s="1"/>
  <c r="BW196" i="1" s="1"/>
  <c r="CB196" i="1" s="1"/>
  <c r="CC196" i="1" s="1"/>
  <c r="BJ208" i="1"/>
  <c r="BK208" i="1" s="1"/>
  <c r="BP208" i="1" s="1"/>
  <c r="BQ208" i="1" s="1"/>
  <c r="BV208" i="1" s="1"/>
  <c r="BJ214" i="1"/>
  <c r="BK214" i="1" s="1"/>
  <c r="BP214" i="1" s="1"/>
  <c r="BQ214" i="1" s="1"/>
  <c r="BV214" i="1" s="1"/>
  <c r="BW214" i="1" s="1"/>
  <c r="CB214" i="1" s="1"/>
  <c r="CC214" i="1" s="1"/>
  <c r="BJ80" i="1"/>
  <c r="BK80" i="1" s="1"/>
  <c r="BP80" i="1" s="1"/>
  <c r="BQ80" i="1" s="1"/>
  <c r="BV80" i="1" s="1"/>
  <c r="BW80" i="1" s="1"/>
  <c r="CB80" i="1" s="1"/>
  <c r="CC80" i="1" s="1"/>
  <c r="BJ86" i="1"/>
  <c r="BK86" i="1" s="1"/>
  <c r="BP86" i="1" s="1"/>
  <c r="BQ86" i="1" s="1"/>
  <c r="BV86" i="1" s="1"/>
  <c r="BJ97" i="1"/>
  <c r="BK97" i="1" s="1"/>
  <c r="BP97" i="1" s="1"/>
  <c r="BQ97" i="1" s="1"/>
  <c r="BV97" i="1" s="1"/>
  <c r="BW97" i="1" s="1"/>
  <c r="CB97" i="1" s="1"/>
  <c r="CC97" i="1" s="1"/>
  <c r="BQ104" i="1"/>
  <c r="BV104" i="1" s="1"/>
  <c r="BW104" i="1" s="1"/>
  <c r="CB104" i="1" s="1"/>
  <c r="CC104" i="1" s="1"/>
  <c r="BJ117" i="1"/>
  <c r="BK117" i="1" s="1"/>
  <c r="BP117" i="1" s="1"/>
  <c r="BQ117" i="1" s="1"/>
  <c r="BV117" i="1" s="1"/>
  <c r="BJ124" i="1"/>
  <c r="BK124" i="1" s="1"/>
  <c r="BP124" i="1" s="1"/>
  <c r="BJ132" i="1"/>
  <c r="BK132" i="1" s="1"/>
  <c r="BP132" i="1" s="1"/>
  <c r="BQ132" i="1" s="1"/>
  <c r="BV132" i="1" s="1"/>
  <c r="BJ139" i="1"/>
  <c r="BK139" i="1" s="1"/>
  <c r="BP139" i="1" s="1"/>
  <c r="BQ139" i="1" s="1"/>
  <c r="BV139" i="1" s="1"/>
  <c r="BW139" i="1" s="1"/>
  <c r="CB139" i="1" s="1"/>
  <c r="CC139" i="1" s="1"/>
  <c r="BJ145" i="1"/>
  <c r="BK145" i="1" s="1"/>
  <c r="BP145" i="1" s="1"/>
  <c r="BJ159" i="1"/>
  <c r="BK159" i="1" s="1"/>
  <c r="BP159" i="1" s="1"/>
  <c r="BQ159" i="1" s="1"/>
  <c r="BV159" i="1" s="1"/>
  <c r="BJ165" i="1"/>
  <c r="BK165" i="1" s="1"/>
  <c r="BP165" i="1" s="1"/>
  <c r="BQ165" i="1" s="1"/>
  <c r="BV165" i="1" s="1"/>
  <c r="BW165" i="1" s="1"/>
  <c r="CB165" i="1" s="1"/>
  <c r="CC165" i="1" s="1"/>
  <c r="BJ172" i="1"/>
  <c r="BK172" i="1" s="1"/>
  <c r="BP172" i="1" s="1"/>
  <c r="BQ172" i="1" s="1"/>
  <c r="BV172" i="1" s="1"/>
  <c r="BW172" i="1" s="1"/>
  <c r="CB172" i="1" s="1"/>
  <c r="CC172" i="1" s="1"/>
  <c r="BJ179" i="1"/>
  <c r="BK179" i="1" s="1"/>
  <c r="BP179" i="1" s="1"/>
  <c r="BQ179" i="1" s="1"/>
  <c r="BV179" i="1" s="1"/>
  <c r="BW179" i="1" s="1"/>
  <c r="CB179" i="1" s="1"/>
  <c r="CC179" i="1" s="1"/>
  <c r="BJ185" i="1"/>
  <c r="BK185" i="1" s="1"/>
  <c r="BP185" i="1" s="1"/>
  <c r="BQ185" i="1" s="1"/>
  <c r="BV185" i="1" s="1"/>
  <c r="BW185" i="1" s="1"/>
  <c r="CB185" i="1" s="1"/>
  <c r="CC185" i="1" s="1"/>
  <c r="BJ203" i="1"/>
  <c r="BK203" i="1" s="1"/>
  <c r="BP203" i="1" s="1"/>
  <c r="BQ203" i="1" s="1"/>
  <c r="BV203" i="1" s="1"/>
  <c r="BJ215" i="1"/>
  <c r="BK215" i="1" s="1"/>
  <c r="BP215" i="1" s="1"/>
  <c r="BQ215" i="1" s="1"/>
  <c r="BV215" i="1" s="1"/>
  <c r="AT5" i="1"/>
  <c r="AT263" i="1" s="1"/>
  <c r="BY101" i="1"/>
  <c r="BS101" i="1"/>
  <c r="BM101" i="1"/>
  <c r="BG101" i="1"/>
  <c r="CE101" i="1"/>
  <c r="BY173" i="1"/>
  <c r="BS173" i="1"/>
  <c r="BM173" i="1"/>
  <c r="BG173" i="1"/>
  <c r="CE173" i="1"/>
  <c r="BY107" i="1"/>
  <c r="BS107" i="1"/>
  <c r="BM107" i="1"/>
  <c r="BG107" i="1"/>
  <c r="CE107" i="1"/>
  <c r="BY143" i="1"/>
  <c r="BS143" i="1"/>
  <c r="BM143" i="1"/>
  <c r="BG143" i="1"/>
  <c r="CE143" i="1"/>
  <c r="BY179" i="1"/>
  <c r="BS179" i="1"/>
  <c r="BM179" i="1"/>
  <c r="CE179" i="1"/>
  <c r="BG179" i="1"/>
  <c r="BY149" i="1"/>
  <c r="BS149" i="1"/>
  <c r="BM149" i="1"/>
  <c r="CE149" i="1"/>
  <c r="BG149" i="1"/>
  <c r="BY119" i="1"/>
  <c r="BS119" i="1"/>
  <c r="BM119" i="1"/>
  <c r="CE119" i="1"/>
  <c r="BG119" i="1"/>
  <c r="BY155" i="1"/>
  <c r="BS155" i="1"/>
  <c r="BM155" i="1"/>
  <c r="CE155" i="1"/>
  <c r="BG155" i="1"/>
  <c r="BY167" i="1"/>
  <c r="BS167" i="1"/>
  <c r="BM167" i="1"/>
  <c r="CE167" i="1"/>
  <c r="BG167" i="1"/>
  <c r="BY113" i="1"/>
  <c r="BS113" i="1"/>
  <c r="BM113" i="1"/>
  <c r="BG113" i="1"/>
  <c r="CE113" i="1"/>
  <c r="BY125" i="1"/>
  <c r="BS125" i="1"/>
  <c r="BM125" i="1"/>
  <c r="CE125" i="1"/>
  <c r="BG125" i="1"/>
  <c r="BY95" i="1"/>
  <c r="BS95" i="1"/>
  <c r="BM95" i="1"/>
  <c r="CE95" i="1"/>
  <c r="BG95" i="1"/>
  <c r="BY89" i="1"/>
  <c r="BM89" i="1"/>
  <c r="BK89" i="1"/>
  <c r="BS89" i="1"/>
  <c r="CE89" i="1"/>
  <c r="BG89" i="1"/>
  <c r="BY131" i="1"/>
  <c r="BS131" i="1"/>
  <c r="BM131" i="1"/>
  <c r="CE131" i="1"/>
  <c r="BG131" i="1"/>
  <c r="BY137" i="1"/>
  <c r="BS137" i="1"/>
  <c r="BM137" i="1"/>
  <c r="CE137" i="1"/>
  <c r="BG137" i="1"/>
  <c r="BJ125" i="1"/>
  <c r="BK125" i="1" s="1"/>
  <c r="BP125" i="1" s="1"/>
  <c r="BQ125" i="1" s="1"/>
  <c r="BV125" i="1" s="1"/>
  <c r="BW125" i="1" s="1"/>
  <c r="CB125" i="1" s="1"/>
  <c r="CC125" i="1" s="1"/>
  <c r="BJ131" i="1"/>
  <c r="BK131" i="1" s="1"/>
  <c r="BP131" i="1" s="1"/>
  <c r="BQ131" i="1" s="1"/>
  <c r="BV131" i="1" s="1"/>
  <c r="BW131" i="1" s="1"/>
  <c r="CB131" i="1" s="1"/>
  <c r="CC131" i="1" s="1"/>
  <c r="BJ149" i="1"/>
  <c r="BK149" i="1" s="1"/>
  <c r="BP149" i="1" s="1"/>
  <c r="BQ149" i="1" s="1"/>
  <c r="BV149" i="1" s="1"/>
  <c r="BW149" i="1" s="1"/>
  <c r="CB149" i="1" s="1"/>
  <c r="CC149" i="1" s="1"/>
  <c r="BJ167" i="1"/>
  <c r="BK167" i="1" s="1"/>
  <c r="BP167" i="1" s="1"/>
  <c r="BQ167" i="1" s="1"/>
  <c r="BV167" i="1" s="1"/>
  <c r="BW167" i="1" s="1"/>
  <c r="CB167" i="1" s="1"/>
  <c r="CC167" i="1" s="1"/>
  <c r="BJ77" i="1"/>
  <c r="BK77" i="1" s="1"/>
  <c r="BP77" i="1" s="1"/>
  <c r="BQ77" i="1" s="1"/>
  <c r="BV77" i="1" s="1"/>
  <c r="BW77" i="1" s="1"/>
  <c r="CB77" i="1" s="1"/>
  <c r="CC77" i="1" s="1"/>
  <c r="BJ38" i="1"/>
  <c r="BK38" i="1" s="1"/>
  <c r="AO263" i="1" l="1"/>
  <c r="AZ221" i="1"/>
  <c r="BF221" i="1" s="1"/>
  <c r="AU221" i="1"/>
  <c r="BQ221" i="1"/>
  <c r="AZ222" i="1"/>
  <c r="BF222" i="1" s="1"/>
  <c r="AU222" i="1"/>
  <c r="BQ222" i="1"/>
  <c r="AZ223" i="1"/>
  <c r="BF223" i="1" s="1"/>
  <c r="AU223" i="1"/>
  <c r="BQ223" i="1"/>
  <c r="AZ224" i="1"/>
  <c r="BF224" i="1" s="1"/>
  <c r="AU224" i="1"/>
  <c r="BQ224" i="1"/>
  <c r="AZ225" i="1"/>
  <c r="BF225" i="1" s="1"/>
  <c r="AU225" i="1"/>
  <c r="BQ225" i="1"/>
  <c r="AZ226" i="1"/>
  <c r="BF226" i="1" s="1"/>
  <c r="AU226" i="1"/>
  <c r="BQ226" i="1"/>
  <c r="AZ227" i="1"/>
  <c r="BF227" i="1" s="1"/>
  <c r="AU227" i="1"/>
  <c r="BQ227" i="1"/>
  <c r="AZ228" i="1"/>
  <c r="BF228" i="1" s="1"/>
  <c r="AU228" i="1"/>
  <c r="BQ228" i="1"/>
  <c r="AZ229" i="1"/>
  <c r="BF229" i="1" s="1"/>
  <c r="AU229" i="1"/>
  <c r="BQ229" i="1"/>
  <c r="AZ230" i="1"/>
  <c r="BF230" i="1" s="1"/>
  <c r="AU230" i="1"/>
  <c r="BQ230" i="1"/>
  <c r="AZ231" i="1"/>
  <c r="BF231" i="1" s="1"/>
  <c r="AU231" i="1"/>
  <c r="BQ231" i="1"/>
  <c r="AZ232" i="1"/>
  <c r="BF232" i="1" s="1"/>
  <c r="AU232" i="1"/>
  <c r="BQ232" i="1"/>
  <c r="AZ233" i="1"/>
  <c r="BF233" i="1" s="1"/>
  <c r="AU233" i="1"/>
  <c r="BQ233" i="1"/>
  <c r="AZ234" i="1"/>
  <c r="BF234" i="1" s="1"/>
  <c r="AU234" i="1"/>
  <c r="BQ234" i="1"/>
  <c r="AZ235" i="1"/>
  <c r="BF235" i="1" s="1"/>
  <c r="AU235" i="1"/>
  <c r="BQ235" i="1"/>
  <c r="AZ236" i="1"/>
  <c r="AU236" i="1"/>
  <c r="BQ236" i="1"/>
  <c r="AZ237" i="1"/>
  <c r="AU237" i="1"/>
  <c r="BQ237" i="1"/>
  <c r="AZ238" i="1"/>
  <c r="AU238" i="1"/>
  <c r="BQ238" i="1"/>
  <c r="AZ239" i="1"/>
  <c r="AU239" i="1"/>
  <c r="BQ239" i="1"/>
  <c r="AZ240" i="1"/>
  <c r="AU240" i="1"/>
  <c r="BQ240" i="1"/>
  <c r="AZ241" i="1"/>
  <c r="BF241" i="1" s="1"/>
  <c r="CC241" i="1" s="1"/>
  <c r="AU241" i="1"/>
  <c r="BQ241" i="1"/>
  <c r="AZ242" i="1"/>
  <c r="BF242" i="1" s="1"/>
  <c r="AU242" i="1"/>
  <c r="BQ242" i="1"/>
  <c r="AZ243" i="1"/>
  <c r="BF243" i="1" s="1"/>
  <c r="AU243" i="1"/>
  <c r="BQ243" i="1"/>
  <c r="AZ244" i="1"/>
  <c r="BF244" i="1" s="1"/>
  <c r="AU244" i="1"/>
  <c r="BQ244" i="1"/>
  <c r="AZ245" i="1"/>
  <c r="BF245" i="1" s="1"/>
  <c r="AU245" i="1"/>
  <c r="BQ245" i="1"/>
  <c r="AZ246" i="1"/>
  <c r="BF246" i="1" s="1"/>
  <c r="AU246" i="1"/>
  <c r="BQ246" i="1"/>
  <c r="AZ247" i="1"/>
  <c r="BF247" i="1" s="1"/>
  <c r="AU247" i="1"/>
  <c r="BQ247" i="1"/>
  <c r="AZ248" i="1"/>
  <c r="BF248" i="1" s="1"/>
  <c r="AU248" i="1"/>
  <c r="BQ248" i="1"/>
  <c r="AZ249" i="1"/>
  <c r="BF249" i="1" s="1"/>
  <c r="AU249" i="1"/>
  <c r="BQ249" i="1"/>
  <c r="AZ250" i="1"/>
  <c r="BF250" i="1" s="1"/>
  <c r="AU250" i="1"/>
  <c r="BQ250" i="1"/>
  <c r="AZ251" i="1"/>
  <c r="BF251" i="1" s="1"/>
  <c r="AU251" i="1"/>
  <c r="BQ251" i="1"/>
  <c r="AZ252" i="1"/>
  <c r="BF252" i="1" s="1"/>
  <c r="AU252" i="1"/>
  <c r="BQ252" i="1"/>
  <c r="AZ253" i="1"/>
  <c r="BF253" i="1" s="1"/>
  <c r="AU253" i="1"/>
  <c r="BQ253" i="1"/>
  <c r="AZ254" i="1"/>
  <c r="BF254" i="1" s="1"/>
  <c r="AU254" i="1"/>
  <c r="BQ254" i="1"/>
  <c r="AZ255" i="1"/>
  <c r="BF255" i="1" s="1"/>
  <c r="AU255" i="1"/>
  <c r="BQ255" i="1"/>
  <c r="AZ256" i="1"/>
  <c r="BF256" i="1" s="1"/>
  <c r="AU256" i="1"/>
  <c r="BQ256" i="1"/>
  <c r="AZ257" i="1"/>
  <c r="AU257" i="1"/>
  <c r="BQ257" i="1"/>
  <c r="Z263" i="1"/>
  <c r="AA263" i="1"/>
  <c r="BK34" i="1"/>
  <c r="CE264" i="1"/>
  <c r="BQ116" i="1"/>
  <c r="BV116" i="1" s="1"/>
  <c r="BQ112" i="1"/>
  <c r="BV112" i="1" s="1"/>
  <c r="BW150" i="1"/>
  <c r="CB150" i="1" s="1"/>
  <c r="CC150" i="1" s="1"/>
  <c r="BQ214" i="3"/>
  <c r="BK214" i="3"/>
  <c r="BJ214" i="3"/>
  <c r="CC214" i="3"/>
  <c r="AU214" i="3"/>
  <c r="AA214" i="3"/>
  <c r="Z214" i="3"/>
  <c r="BQ171" i="1"/>
  <c r="BV171" i="1" s="1"/>
  <c r="BW138" i="1"/>
  <c r="CB138" i="1" s="1"/>
  <c r="CC138" i="1" s="1"/>
  <c r="BW170" i="1"/>
  <c r="CB170" i="1" s="1"/>
  <c r="CC170" i="1" s="1"/>
  <c r="AU207" i="1"/>
  <c r="AZ207" i="1"/>
  <c r="BA207" i="1" s="1"/>
  <c r="BW140" i="1"/>
  <c r="CB140" i="1" s="1"/>
  <c r="CC140" i="1" s="1"/>
  <c r="BW203" i="1"/>
  <c r="CB203" i="1" s="1"/>
  <c r="CC203" i="1" s="1"/>
  <c r="BW208" i="1"/>
  <c r="CB208" i="1" s="1"/>
  <c r="CC208" i="1" s="1"/>
  <c r="BW207" i="1"/>
  <c r="CB207" i="1" s="1"/>
  <c r="CC207" i="1" s="1"/>
  <c r="BW135" i="1"/>
  <c r="CB135" i="1" s="1"/>
  <c r="CC135" i="1" s="1"/>
  <c r="BW212" i="1"/>
  <c r="CB212" i="1" s="1"/>
  <c r="CC212" i="1" s="1"/>
  <c r="BQ178" i="1"/>
  <c r="BV178" i="1" s="1"/>
  <c r="BW174" i="1"/>
  <c r="CB174" i="1" s="1"/>
  <c r="CC174" i="1" s="1"/>
  <c r="BW141" i="1"/>
  <c r="CB141" i="1" s="1"/>
  <c r="CC141" i="1" s="1"/>
  <c r="AZ178" i="1"/>
  <c r="BA178" i="1" s="1"/>
  <c r="AU178" i="1"/>
  <c r="BW117" i="1"/>
  <c r="CB117" i="1" s="1"/>
  <c r="CC117" i="1" s="1"/>
  <c r="BW85" i="1"/>
  <c r="CB85" i="1" s="1"/>
  <c r="CC85" i="1" s="1"/>
  <c r="BW200" i="1"/>
  <c r="CB200" i="1" s="1"/>
  <c r="CC200" i="1" s="1"/>
  <c r="AZ118" i="1"/>
  <c r="BA118" i="1" s="1"/>
  <c r="AU118" i="1"/>
  <c r="AZ112" i="1"/>
  <c r="BA112" i="1" s="1"/>
  <c r="AU112" i="1"/>
  <c r="AU204" i="1"/>
  <c r="AZ204" i="1"/>
  <c r="BA204" i="1" s="1"/>
  <c r="AZ75" i="1"/>
  <c r="BA75" i="1" s="1"/>
  <c r="AU75" i="1"/>
  <c r="AU198" i="1"/>
  <c r="AZ198" i="1"/>
  <c r="BA198" i="1" s="1"/>
  <c r="AU7" i="1"/>
  <c r="AZ7" i="1"/>
  <c r="BA7" i="1" s="1"/>
  <c r="BW216" i="1"/>
  <c r="CB216" i="1" s="1"/>
  <c r="CC216" i="1" s="1"/>
  <c r="BW108" i="1"/>
  <c r="CB108" i="1" s="1"/>
  <c r="CC108" i="1" s="1"/>
  <c r="AZ51" i="1"/>
  <c r="BA51" i="1" s="1"/>
  <c r="AU51" i="1"/>
  <c r="CC51" i="1"/>
  <c r="AZ46" i="1"/>
  <c r="BA46" i="1" s="1"/>
  <c r="AU46" i="1"/>
  <c r="CC46" i="1"/>
  <c r="AU15" i="1"/>
  <c r="AZ15" i="1"/>
  <c r="BA15" i="1" s="1"/>
  <c r="AZ182" i="1"/>
  <c r="BA182" i="1" s="1"/>
  <c r="AU182" i="1"/>
  <c r="BA90" i="1"/>
  <c r="BW90" i="1"/>
  <c r="BW81" i="1"/>
  <c r="AZ219" i="1"/>
  <c r="BA219" i="1" s="1"/>
  <c r="AU219" i="1"/>
  <c r="AU63" i="1"/>
  <c r="AZ63" i="1"/>
  <c r="BA63" i="1" s="1"/>
  <c r="CC63" i="1"/>
  <c r="BW134" i="1"/>
  <c r="CB134" i="1" s="1"/>
  <c r="CC134" i="1" s="1"/>
  <c r="AU60" i="1"/>
  <c r="AZ60" i="1"/>
  <c r="BA60" i="1" s="1"/>
  <c r="CC60" i="1"/>
  <c r="AU52" i="1"/>
  <c r="AZ52" i="1"/>
  <c r="BA52" i="1" s="1"/>
  <c r="AU98" i="1"/>
  <c r="AZ98" i="1"/>
  <c r="BA98" i="1" s="1"/>
  <c r="BW114" i="1"/>
  <c r="CB114" i="1" s="1"/>
  <c r="CC114" i="1" s="1"/>
  <c r="BA89" i="1"/>
  <c r="BW89" i="1"/>
  <c r="AU142" i="1"/>
  <c r="AZ142" i="1"/>
  <c r="BA142" i="1" s="1"/>
  <c r="AU153" i="1"/>
  <c r="AZ153" i="1"/>
  <c r="BA153" i="1" s="1"/>
  <c r="AZ13" i="1"/>
  <c r="BA13" i="1" s="1"/>
  <c r="AU13" i="1"/>
  <c r="AZ202" i="1"/>
  <c r="BA202" i="1" s="1"/>
  <c r="AU202" i="1"/>
  <c r="AU28" i="1"/>
  <c r="AZ28" i="1"/>
  <c r="BA28" i="1" s="1"/>
  <c r="AZ184" i="1"/>
  <c r="AU184" i="1"/>
  <c r="AU29" i="1"/>
  <c r="AZ29" i="1"/>
  <c r="BA29" i="1" s="1"/>
  <c r="AZ152" i="1"/>
  <c r="BA152" i="1" s="1"/>
  <c r="AU152" i="1"/>
  <c r="BW215" i="1"/>
  <c r="CB215" i="1" s="1"/>
  <c r="CC215" i="1" s="1"/>
  <c r="BW154" i="1"/>
  <c r="CB154" i="1" s="1"/>
  <c r="CC154" i="1" s="1"/>
  <c r="AZ92" i="1"/>
  <c r="BA92" i="1" s="1"/>
  <c r="AU92" i="1"/>
  <c r="AZ40" i="1"/>
  <c r="BA40" i="1" s="1"/>
  <c r="AU40" i="1"/>
  <c r="CC40" i="1"/>
  <c r="AZ129" i="1"/>
  <c r="BA129" i="1" s="1"/>
  <c r="AU129" i="1"/>
  <c r="AZ64" i="1"/>
  <c r="BA64" i="1" s="1"/>
  <c r="AU64" i="1"/>
  <c r="CC64" i="1"/>
  <c r="AZ33" i="1"/>
  <c r="BA33" i="1" s="1"/>
  <c r="AU33" i="1"/>
  <c r="AU159" i="1"/>
  <c r="AZ159" i="1"/>
  <c r="AZ20" i="1"/>
  <c r="BA20" i="1" s="1"/>
  <c r="AU20" i="1"/>
  <c r="BW132" i="1"/>
  <c r="CB132" i="1" s="1"/>
  <c r="CC132" i="1" s="1"/>
  <c r="BW118" i="1"/>
  <c r="CB118" i="1" s="1"/>
  <c r="CC118" i="1" s="1"/>
  <c r="AZ116" i="1"/>
  <c r="AU116" i="1"/>
  <c r="AU148" i="1"/>
  <c r="AZ148" i="1"/>
  <c r="BA148" i="1" s="1"/>
  <c r="BW120" i="1"/>
  <c r="CB120" i="1" s="1"/>
  <c r="CC120" i="1" s="1"/>
  <c r="BW136" i="1"/>
  <c r="CB136" i="1" s="1"/>
  <c r="CC136" i="1" s="1"/>
  <c r="AZ206" i="1"/>
  <c r="BA206" i="1" s="1"/>
  <c r="AU206" i="1"/>
  <c r="BW112" i="1"/>
  <c r="CB112" i="1" s="1"/>
  <c r="CC112" i="1" s="1"/>
  <c r="BW206" i="1"/>
  <c r="CB206" i="1" s="1"/>
  <c r="CC206" i="1" s="1"/>
  <c r="BW142" i="1"/>
  <c r="CB142" i="1" s="1"/>
  <c r="CC142" i="1" s="1"/>
  <c r="AZ110" i="1"/>
  <c r="BA110" i="1" s="1"/>
  <c r="AU110" i="1"/>
  <c r="AU86" i="1"/>
  <c r="AZ86" i="1"/>
  <c r="AU102" i="1"/>
  <c r="AZ102" i="1"/>
  <c r="BA102" i="1" s="1"/>
  <c r="AU24" i="1"/>
  <c r="AZ24" i="1"/>
  <c r="BA24" i="1" s="1"/>
  <c r="AU48" i="1"/>
  <c r="AZ48" i="1"/>
  <c r="BA48" i="1" s="1"/>
  <c r="CC48" i="1"/>
  <c r="AZ88" i="1"/>
  <c r="AU88" i="1"/>
  <c r="AZ171" i="1"/>
  <c r="BA171" i="1" s="1"/>
  <c r="AU171" i="1"/>
  <c r="BQ124" i="1"/>
  <c r="BV124" i="1" s="1"/>
  <c r="BW124" i="1" s="1"/>
  <c r="CB124" i="1" s="1"/>
  <c r="CC124" i="1" s="1"/>
  <c r="BQ201" i="1"/>
  <c r="BV201" i="1" s="1"/>
  <c r="BW201" i="1" s="1"/>
  <c r="CB201" i="1" s="1"/>
  <c r="CC201" i="1" s="1"/>
  <c r="BQ198" i="1"/>
  <c r="BV198" i="1" s="1"/>
  <c r="BW198" i="1" s="1"/>
  <c r="CB198" i="1" s="1"/>
  <c r="CC198" i="1" s="1"/>
  <c r="CB81" i="1"/>
  <c r="CC81" i="1" s="1"/>
  <c r="BQ145" i="1"/>
  <c r="BV145" i="1" s="1"/>
  <c r="BW145" i="1" s="1"/>
  <c r="CB145" i="1" s="1"/>
  <c r="CC145" i="1" s="1"/>
  <c r="BQ130" i="1"/>
  <c r="BV130" i="1" s="1"/>
  <c r="BW130" i="1" s="1"/>
  <c r="CB130" i="1" s="1"/>
  <c r="CC130" i="1" s="1"/>
  <c r="BQ152" i="1"/>
  <c r="BV152" i="1" s="1"/>
  <c r="BQ98" i="1"/>
  <c r="BV98" i="1" s="1"/>
  <c r="BW98" i="1" s="1"/>
  <c r="CB98" i="1" s="1"/>
  <c r="CC98" i="1" s="1"/>
  <c r="BQ92" i="1"/>
  <c r="BV92" i="1" s="1"/>
  <c r="BJ99" i="1"/>
  <c r="BK99" i="1" s="1"/>
  <c r="BP99" i="1" s="1"/>
  <c r="BQ99" i="1" s="1"/>
  <c r="BV99" i="1" s="1"/>
  <c r="BW99" i="1" s="1"/>
  <c r="CB99" i="1" s="1"/>
  <c r="CC99" i="1" s="1"/>
  <c r="BJ78" i="1"/>
  <c r="BK78" i="1" s="1"/>
  <c r="BP78" i="1" s="1"/>
  <c r="BQ78" i="1" s="1"/>
  <c r="BV78" i="1" s="1"/>
  <c r="BW78" i="1" s="1"/>
  <c r="CB78" i="1" s="1"/>
  <c r="CC78" i="1" s="1"/>
  <c r="BJ169" i="1"/>
  <c r="BK169" i="1" s="1"/>
  <c r="BP169" i="1" s="1"/>
  <c r="BQ169" i="1" s="1"/>
  <c r="BV169" i="1" s="1"/>
  <c r="BW169" i="1" s="1"/>
  <c r="CB169" i="1" s="1"/>
  <c r="CC169" i="1" s="1"/>
  <c r="BJ155" i="1"/>
  <c r="BK155" i="1" s="1"/>
  <c r="BP155" i="1" s="1"/>
  <c r="BQ155" i="1" s="1"/>
  <c r="BV155" i="1" s="1"/>
  <c r="BW155" i="1" s="1"/>
  <c r="CB155" i="1" s="1"/>
  <c r="CC155" i="1" s="1"/>
  <c r="BJ113" i="1"/>
  <c r="BK113" i="1" s="1"/>
  <c r="BP113" i="1" s="1"/>
  <c r="BQ113" i="1" s="1"/>
  <c r="BV113" i="1" s="1"/>
  <c r="BW113" i="1" s="1"/>
  <c r="CB113" i="1" s="1"/>
  <c r="CC113" i="1" s="1"/>
  <c r="BJ105" i="1"/>
  <c r="BK105" i="1" s="1"/>
  <c r="BP105" i="1" s="1"/>
  <c r="BQ105" i="1" s="1"/>
  <c r="BV105" i="1" s="1"/>
  <c r="BW105" i="1" s="1"/>
  <c r="CB105" i="1" s="1"/>
  <c r="CC105" i="1" s="1"/>
  <c r="BJ189" i="1"/>
  <c r="BK189" i="1" s="1"/>
  <c r="BP189" i="1" s="1"/>
  <c r="BQ189" i="1" s="1"/>
  <c r="BV189" i="1" s="1"/>
  <c r="BW189" i="1" s="1"/>
  <c r="CB189" i="1" s="1"/>
  <c r="CC189" i="1" s="1"/>
  <c r="BJ137" i="1"/>
  <c r="BK137" i="1" s="1"/>
  <c r="BP137" i="1" s="1"/>
  <c r="BQ137" i="1" s="1"/>
  <c r="BV137" i="1" s="1"/>
  <c r="BW137" i="1" s="1"/>
  <c r="CB137" i="1" s="1"/>
  <c r="CC137" i="1" s="1"/>
  <c r="BJ191" i="1"/>
  <c r="BK191" i="1" s="1"/>
  <c r="BP191" i="1" s="1"/>
  <c r="BQ191" i="1" s="1"/>
  <c r="BV191" i="1" s="1"/>
  <c r="BW191" i="1" s="1"/>
  <c r="CB191" i="1" s="1"/>
  <c r="CC191" i="1" s="1"/>
  <c r="BJ133" i="1"/>
  <c r="BK133" i="1" s="1"/>
  <c r="BP133" i="1" s="1"/>
  <c r="BQ133" i="1" s="1"/>
  <c r="BV133" i="1" s="1"/>
  <c r="BW133" i="1" s="1"/>
  <c r="CB133" i="1" s="1"/>
  <c r="CC133" i="1" s="1"/>
  <c r="BJ177" i="1"/>
  <c r="BK177" i="1" s="1"/>
  <c r="BP177" i="1" s="1"/>
  <c r="BQ177" i="1" s="1"/>
  <c r="BV177" i="1" s="1"/>
  <c r="BW177" i="1" s="1"/>
  <c r="CB177" i="1" s="1"/>
  <c r="CC177" i="1" s="1"/>
  <c r="BJ143" i="1"/>
  <c r="BK143" i="1" s="1"/>
  <c r="BP143" i="1" s="1"/>
  <c r="BQ143" i="1" s="1"/>
  <c r="BV143" i="1" s="1"/>
  <c r="BW143" i="1" s="1"/>
  <c r="CB143" i="1" s="1"/>
  <c r="CC143" i="1" s="1"/>
  <c r="BJ187" i="1"/>
  <c r="BK187" i="1" s="1"/>
  <c r="BP187" i="1" s="1"/>
  <c r="BQ187" i="1" s="1"/>
  <c r="BV187" i="1" s="1"/>
  <c r="BW187" i="1" s="1"/>
  <c r="CB187" i="1" s="1"/>
  <c r="CC187" i="1" s="1"/>
  <c r="BJ173" i="1"/>
  <c r="BK173" i="1" s="1"/>
  <c r="BP173" i="1" s="1"/>
  <c r="BQ173" i="1" s="1"/>
  <c r="BV173" i="1" s="1"/>
  <c r="BW173" i="1" s="1"/>
  <c r="CB173" i="1" s="1"/>
  <c r="CC173" i="1" s="1"/>
  <c r="BJ119" i="1"/>
  <c r="BK119" i="1" s="1"/>
  <c r="BP119" i="1" s="1"/>
  <c r="BQ119" i="1" s="1"/>
  <c r="BV119" i="1" s="1"/>
  <c r="BW119" i="1" s="1"/>
  <c r="CB119" i="1" s="1"/>
  <c r="CC119" i="1" s="1"/>
  <c r="BJ209" i="1"/>
  <c r="BK209" i="1" s="1"/>
  <c r="BP209" i="1" s="1"/>
  <c r="BQ209" i="1" s="1"/>
  <c r="BV209" i="1" s="1"/>
  <c r="BW209" i="1" s="1"/>
  <c r="CB209" i="1" s="1"/>
  <c r="CC209" i="1" s="1"/>
  <c r="BJ123" i="1"/>
  <c r="BK123" i="1" s="1"/>
  <c r="BP123" i="1" s="1"/>
  <c r="BQ123" i="1" s="1"/>
  <c r="BV123" i="1" s="1"/>
  <c r="BW123" i="1" s="1"/>
  <c r="CB123" i="1" s="1"/>
  <c r="CC123" i="1" s="1"/>
  <c r="BJ195" i="1"/>
  <c r="BK195" i="1" s="1"/>
  <c r="BP195" i="1" s="1"/>
  <c r="BQ195" i="1" s="1"/>
  <c r="BV195" i="1" s="1"/>
  <c r="BW195" i="1" s="1"/>
  <c r="CB195" i="1" s="1"/>
  <c r="CC195" i="1" s="1"/>
  <c r="BJ82" i="1"/>
  <c r="BK82" i="1" s="1"/>
  <c r="BP82" i="1" s="1"/>
  <c r="BQ82" i="1" s="1"/>
  <c r="BV82" i="1" s="1"/>
  <c r="BW82" i="1" s="1"/>
  <c r="CB82" i="1" s="1"/>
  <c r="CC82" i="1" s="1"/>
  <c r="BJ76" i="1"/>
  <c r="BK76" i="1" s="1"/>
  <c r="BP76" i="1" s="1"/>
  <c r="BQ76" i="1" s="1"/>
  <c r="BV76" i="1" s="1"/>
  <c r="BW76" i="1" s="1"/>
  <c r="CB76" i="1" s="1"/>
  <c r="CC76" i="1" s="1"/>
  <c r="BJ101" i="1"/>
  <c r="BK101" i="1" s="1"/>
  <c r="BP101" i="1" s="1"/>
  <c r="BQ101" i="1" s="1"/>
  <c r="BV101" i="1" s="1"/>
  <c r="BW101" i="1" s="1"/>
  <c r="CB101" i="1" s="1"/>
  <c r="CC101" i="1" s="1"/>
  <c r="BJ197" i="1"/>
  <c r="BK197" i="1" s="1"/>
  <c r="BP197" i="1" s="1"/>
  <c r="BQ197" i="1" s="1"/>
  <c r="BV197" i="1" s="1"/>
  <c r="BW197" i="1" s="1"/>
  <c r="CB197" i="1" s="1"/>
  <c r="CC197" i="1" s="1"/>
  <c r="BJ151" i="1"/>
  <c r="BK151" i="1" s="1"/>
  <c r="BP151" i="1" s="1"/>
  <c r="BQ151" i="1" s="1"/>
  <c r="BV151" i="1" s="1"/>
  <c r="BW151" i="1" s="1"/>
  <c r="CB151" i="1" s="1"/>
  <c r="CC151" i="1" s="1"/>
  <c r="BJ103" i="1"/>
  <c r="BK103" i="1" s="1"/>
  <c r="BP103" i="1" s="1"/>
  <c r="BQ103" i="1" s="1"/>
  <c r="BV103" i="1" s="1"/>
  <c r="BW103" i="1" s="1"/>
  <c r="CB103" i="1" s="1"/>
  <c r="CC103" i="1" s="1"/>
  <c r="BJ213" i="1"/>
  <c r="BK213" i="1" s="1"/>
  <c r="BP213" i="1" s="1"/>
  <c r="BQ213" i="1" s="1"/>
  <c r="BV213" i="1" s="1"/>
  <c r="BW213" i="1" s="1"/>
  <c r="CB213" i="1" s="1"/>
  <c r="CC213" i="1" s="1"/>
  <c r="BJ121" i="1"/>
  <c r="BK121" i="1" s="1"/>
  <c r="BP121" i="1" s="1"/>
  <c r="BQ121" i="1" s="1"/>
  <c r="BV121" i="1" s="1"/>
  <c r="BW121" i="1" s="1"/>
  <c r="CB121" i="1" s="1"/>
  <c r="CC121" i="1" s="1"/>
  <c r="BJ193" i="1"/>
  <c r="BK193" i="1" s="1"/>
  <c r="BP193" i="1" s="1"/>
  <c r="BQ193" i="1" s="1"/>
  <c r="BV193" i="1" s="1"/>
  <c r="BW193" i="1" s="1"/>
  <c r="CB193" i="1" s="1"/>
  <c r="CC193" i="1" s="1"/>
  <c r="BJ127" i="1"/>
  <c r="BK127" i="1" s="1"/>
  <c r="BP127" i="1" s="1"/>
  <c r="BQ127" i="1" s="1"/>
  <c r="BV127" i="1" s="1"/>
  <c r="BW127" i="1" s="1"/>
  <c r="CB127" i="1" s="1"/>
  <c r="CC127" i="1" s="1"/>
  <c r="BJ115" i="1"/>
  <c r="BK115" i="1" s="1"/>
  <c r="BP115" i="1" s="1"/>
  <c r="BQ115" i="1" s="1"/>
  <c r="BV115" i="1" s="1"/>
  <c r="BW115" i="1" s="1"/>
  <c r="CB115" i="1" s="1"/>
  <c r="CC115" i="1" s="1"/>
  <c r="BJ107" i="1"/>
  <c r="BK107" i="1" s="1"/>
  <c r="BP107" i="1" s="1"/>
  <c r="BQ107" i="1" s="1"/>
  <c r="BV107" i="1" s="1"/>
  <c r="BW107" i="1" s="1"/>
  <c r="CB107" i="1" s="1"/>
  <c r="CC107" i="1" s="1"/>
  <c r="BJ75" i="1"/>
  <c r="BK75" i="1" s="1"/>
  <c r="BP75" i="1" s="1"/>
  <c r="BQ75" i="1" s="1"/>
  <c r="BV75" i="1" s="1"/>
  <c r="BL256" i="1" l="1"/>
  <c r="BR256" i="1" s="1"/>
  <c r="BX256" i="1" s="1"/>
  <c r="CD256" i="1" s="1"/>
  <c r="CC256" i="1"/>
  <c r="BL255" i="1"/>
  <c r="BR255" i="1" s="1"/>
  <c r="BX255" i="1" s="1"/>
  <c r="CD255" i="1" s="1"/>
  <c r="CC255" i="1"/>
  <c r="BL254" i="1"/>
  <c r="BR254" i="1" s="1"/>
  <c r="BX254" i="1" s="1"/>
  <c r="CD254" i="1" s="1"/>
  <c r="CC254" i="1"/>
  <c r="BL253" i="1"/>
  <c r="BR253" i="1" s="1"/>
  <c r="BX253" i="1" s="1"/>
  <c r="CD253" i="1" s="1"/>
  <c r="CC253" i="1"/>
  <c r="BL252" i="1"/>
  <c r="BR252" i="1" s="1"/>
  <c r="BX252" i="1" s="1"/>
  <c r="CD252" i="1" s="1"/>
  <c r="CC252" i="1"/>
  <c r="BL251" i="1"/>
  <c r="BR251" i="1" s="1"/>
  <c r="BX251" i="1" s="1"/>
  <c r="CD251" i="1" s="1"/>
  <c r="CC251" i="1"/>
  <c r="BL250" i="1"/>
  <c r="BR250" i="1" s="1"/>
  <c r="BX250" i="1" s="1"/>
  <c r="CD250" i="1" s="1"/>
  <c r="CC250" i="1"/>
  <c r="BL249" i="1"/>
  <c r="BR249" i="1" s="1"/>
  <c r="BX249" i="1" s="1"/>
  <c r="CD249" i="1" s="1"/>
  <c r="CC249" i="1"/>
  <c r="BL248" i="1"/>
  <c r="BR248" i="1" s="1"/>
  <c r="BX248" i="1" s="1"/>
  <c r="CD248" i="1" s="1"/>
  <c r="CC248" i="1"/>
  <c r="BL247" i="1"/>
  <c r="BR247" i="1" s="1"/>
  <c r="BX247" i="1" s="1"/>
  <c r="CD247" i="1" s="1"/>
  <c r="CC247" i="1"/>
  <c r="BL246" i="1"/>
  <c r="BR246" i="1" s="1"/>
  <c r="BX246" i="1" s="1"/>
  <c r="CD246" i="1" s="1"/>
  <c r="CC246" i="1"/>
  <c r="BL245" i="1"/>
  <c r="BR245" i="1" s="1"/>
  <c r="BX245" i="1" s="1"/>
  <c r="CD245" i="1" s="1"/>
  <c r="CC245" i="1"/>
  <c r="BL244" i="1"/>
  <c r="BR244" i="1" s="1"/>
  <c r="BX244" i="1" s="1"/>
  <c r="CD244" i="1" s="1"/>
  <c r="CC244" i="1"/>
  <c r="BL243" i="1"/>
  <c r="BR243" i="1" s="1"/>
  <c r="BX243" i="1" s="1"/>
  <c r="CD243" i="1" s="1"/>
  <c r="CC243" i="1"/>
  <c r="BL242" i="1"/>
  <c r="BR242" i="1" s="1"/>
  <c r="BX242" i="1" s="1"/>
  <c r="CC242" i="1"/>
  <c r="BL235" i="1"/>
  <c r="BR235" i="1" s="1"/>
  <c r="BX235" i="1" s="1"/>
  <c r="CD235" i="1" s="1"/>
  <c r="CC235" i="1"/>
  <c r="BL234" i="1"/>
  <c r="BR234" i="1" s="1"/>
  <c r="BX234" i="1" s="1"/>
  <c r="CD234" i="1" s="1"/>
  <c r="CC234" i="1"/>
  <c r="BL233" i="1"/>
  <c r="BR233" i="1" s="1"/>
  <c r="BX233" i="1" s="1"/>
  <c r="CD233" i="1" s="1"/>
  <c r="CC233" i="1"/>
  <c r="BL232" i="1"/>
  <c r="BR232" i="1" s="1"/>
  <c r="BX232" i="1" s="1"/>
  <c r="CD232" i="1" s="1"/>
  <c r="CC232" i="1"/>
  <c r="BL231" i="1"/>
  <c r="BR231" i="1" s="1"/>
  <c r="BX231" i="1" s="1"/>
  <c r="CD231" i="1" s="1"/>
  <c r="CC231" i="1"/>
  <c r="BL230" i="1"/>
  <c r="BR230" i="1" s="1"/>
  <c r="BX230" i="1" s="1"/>
  <c r="CD230" i="1" s="1"/>
  <c r="CC230" i="1"/>
  <c r="BL229" i="1"/>
  <c r="BR229" i="1" s="1"/>
  <c r="BX229" i="1" s="1"/>
  <c r="CD229" i="1" s="1"/>
  <c r="CC229" i="1"/>
  <c r="BL228" i="1"/>
  <c r="BR228" i="1" s="1"/>
  <c r="BX228" i="1" s="1"/>
  <c r="CD228" i="1" s="1"/>
  <c r="CC228" i="1"/>
  <c r="BL227" i="1"/>
  <c r="BR227" i="1" s="1"/>
  <c r="BX227" i="1" s="1"/>
  <c r="CD227" i="1" s="1"/>
  <c r="CC227" i="1"/>
  <c r="BL226" i="1"/>
  <c r="BR226" i="1" s="1"/>
  <c r="BX226" i="1" s="1"/>
  <c r="CD226" i="1" s="1"/>
  <c r="CC226" i="1"/>
  <c r="BL225" i="1"/>
  <c r="BR225" i="1" s="1"/>
  <c r="BX225" i="1" s="1"/>
  <c r="CD225" i="1" s="1"/>
  <c r="CC225" i="1"/>
  <c r="BL224" i="1"/>
  <c r="BR224" i="1" s="1"/>
  <c r="BX224" i="1" s="1"/>
  <c r="CD224" i="1" s="1"/>
  <c r="CC224" i="1"/>
  <c r="BL223" i="1"/>
  <c r="BR223" i="1" s="1"/>
  <c r="BX223" i="1" s="1"/>
  <c r="CD223" i="1" s="1"/>
  <c r="CC223" i="1"/>
  <c r="BL222" i="1"/>
  <c r="BR222" i="1" s="1"/>
  <c r="BX222" i="1" s="1"/>
  <c r="CD222" i="1" s="1"/>
  <c r="CC222" i="1"/>
  <c r="BL221" i="1"/>
  <c r="BR221" i="1" s="1"/>
  <c r="BX221" i="1" s="1"/>
  <c r="CD221" i="1" s="1"/>
  <c r="CC221" i="1"/>
  <c r="BA257" i="1"/>
  <c r="BW257" i="1"/>
  <c r="BA256" i="1"/>
  <c r="BW256" i="1"/>
  <c r="BA255" i="1"/>
  <c r="BW255" i="1"/>
  <c r="BA254" i="1"/>
  <c r="BW254" i="1"/>
  <c r="BA253" i="1"/>
  <c r="BW253" i="1"/>
  <c r="BA252" i="1"/>
  <c r="BW252" i="1"/>
  <c r="BA251" i="1"/>
  <c r="BW251" i="1"/>
  <c r="BA250" i="1"/>
  <c r="BW250" i="1"/>
  <c r="BA249" i="1"/>
  <c r="BW249" i="1"/>
  <c r="BA248" i="1"/>
  <c r="BW248" i="1"/>
  <c r="BA247" i="1"/>
  <c r="BW247" i="1"/>
  <c r="BA246" i="1"/>
  <c r="BW246" i="1"/>
  <c r="BA245" i="1"/>
  <c r="BW245" i="1"/>
  <c r="BA244" i="1"/>
  <c r="BW244" i="1"/>
  <c r="BA243" i="1"/>
  <c r="BW243" i="1"/>
  <c r="BA242" i="1"/>
  <c r="BW242" i="1"/>
  <c r="BA241" i="1"/>
  <c r="BW241" i="1"/>
  <c r="BA240" i="1"/>
  <c r="BW240" i="1"/>
  <c r="BA239" i="1"/>
  <c r="BW239" i="1"/>
  <c r="BA238" i="1"/>
  <c r="BW238" i="1"/>
  <c r="BA237" i="1"/>
  <c r="BW237" i="1"/>
  <c r="BA236" i="1"/>
  <c r="BW236" i="1"/>
  <c r="BA235" i="1"/>
  <c r="BW235" i="1"/>
  <c r="BA234" i="1"/>
  <c r="BW234" i="1"/>
  <c r="BA233" i="1"/>
  <c r="BW233" i="1"/>
  <c r="BA232" i="1"/>
  <c r="BW232" i="1"/>
  <c r="BA231" i="1"/>
  <c r="BW231" i="1"/>
  <c r="BA230" i="1"/>
  <c r="BW230" i="1"/>
  <c r="BA229" i="1"/>
  <c r="BW229" i="1"/>
  <c r="BA228" i="1"/>
  <c r="BW228" i="1"/>
  <c r="BA227" i="1"/>
  <c r="BW227" i="1"/>
  <c r="BA226" i="1"/>
  <c r="BW226" i="1"/>
  <c r="BA225" i="1"/>
  <c r="BW225" i="1"/>
  <c r="BA224" i="1"/>
  <c r="BW224" i="1"/>
  <c r="BA223" i="1"/>
  <c r="BW223" i="1"/>
  <c r="BA222" i="1"/>
  <c r="BW222" i="1"/>
  <c r="BA221" i="1"/>
  <c r="BW221" i="1"/>
  <c r="BA86" i="1"/>
  <c r="BW86" i="1"/>
  <c r="CB86" i="1" s="1"/>
  <c r="CC86" i="1" s="1"/>
  <c r="BA116" i="1"/>
  <c r="BW116" i="1"/>
  <c r="CB116" i="1" s="1"/>
  <c r="CC116" i="1" s="1"/>
  <c r="BA159" i="1"/>
  <c r="BW159" i="1"/>
  <c r="CB159" i="1" s="1"/>
  <c r="CC159" i="1" s="1"/>
  <c r="BA184" i="1"/>
  <c r="BW184" i="1"/>
  <c r="CB184" i="1" s="1"/>
  <c r="CC184" i="1" s="1"/>
  <c r="BW214" i="3"/>
  <c r="BA214" i="3"/>
  <c r="BW178" i="1"/>
  <c r="CB178" i="1" s="1"/>
  <c r="CC178" i="1" s="1"/>
  <c r="BW75" i="1"/>
  <c r="CB75" i="1" s="1"/>
  <c r="CC75" i="1" s="1"/>
  <c r="BW148" i="1"/>
  <c r="CB148" i="1" s="1"/>
  <c r="CC148" i="1" s="1"/>
  <c r="BW152" i="1"/>
  <c r="CB152" i="1" s="1"/>
  <c r="CC152" i="1" s="1"/>
  <c r="BA88" i="1"/>
  <c r="BW88" i="1"/>
  <c r="BW102" i="1"/>
  <c r="CB102" i="1" s="1"/>
  <c r="CC102" i="1" s="1"/>
  <c r="BW171" i="1"/>
  <c r="CB171" i="1" s="1"/>
  <c r="CC171" i="1" s="1"/>
  <c r="BW129" i="1"/>
  <c r="CB129" i="1" s="1"/>
  <c r="CC129" i="1" s="1"/>
  <c r="BW153" i="1"/>
  <c r="CB153" i="1" s="1"/>
  <c r="CC153" i="1" s="1"/>
  <c r="BW182" i="1"/>
  <c r="CB182" i="1" s="1"/>
  <c r="CC182" i="1" s="1"/>
  <c r="BW92" i="1"/>
  <c r="CB92" i="1" s="1"/>
  <c r="CC92" i="1" s="1"/>
  <c r="BW219" i="1"/>
  <c r="CB219" i="1" s="1"/>
  <c r="CC219" i="1" s="1"/>
  <c r="BW204" i="1"/>
  <c r="CB204" i="1" s="1"/>
  <c r="CC204" i="1" s="1"/>
  <c r="BW202" i="1"/>
  <c r="CB202" i="1" s="1"/>
  <c r="CC202" i="1" s="1"/>
  <c r="BW110" i="1"/>
  <c r="CB110" i="1" s="1"/>
  <c r="CC110" i="1" s="1"/>
  <c r="BJ37" i="1"/>
  <c r="BG214" i="3" l="1"/>
  <c r="BK37" i="1"/>
  <c r="BM214" i="3" l="1"/>
  <c r="BV37" i="1"/>
  <c r="BF16" i="1"/>
  <c r="BF15" i="1"/>
  <c r="BF14" i="1"/>
  <c r="BY214" i="3" l="1"/>
  <c r="BS214" i="3"/>
  <c r="BW37" i="1"/>
  <c r="BL16" i="1"/>
  <c r="BG16" i="1"/>
  <c r="BL15" i="1"/>
  <c r="BG15" i="1"/>
  <c r="BG14" i="1"/>
  <c r="BL14" i="1"/>
  <c r="BF10" i="1"/>
  <c r="AZ5" i="1"/>
  <c r="AZ263" i="1" s="1"/>
  <c r="AU5" i="1"/>
  <c r="AU263" i="1" s="1"/>
  <c r="BJ74" i="1" l="1"/>
  <c r="BJ263" i="1" s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8" i="1"/>
  <c r="BF17" i="1"/>
  <c r="BR16" i="1"/>
  <c r="BM16" i="1"/>
  <c r="BR15" i="1"/>
  <c r="BM15" i="1"/>
  <c r="BR14" i="1"/>
  <c r="BM14" i="1"/>
  <c r="BF13" i="1"/>
  <c r="BF12" i="1"/>
  <c r="BF11" i="1"/>
  <c r="BG10" i="1"/>
  <c r="BL10" i="1"/>
  <c r="BF9" i="1"/>
  <c r="BF8" i="1"/>
  <c r="BF7" i="1"/>
  <c r="BF6" i="1"/>
  <c r="BF5" i="1"/>
  <c r="BF263" i="1" s="1"/>
  <c r="BA5" i="1"/>
  <c r="BA263" i="1" s="1"/>
  <c r="BK74" i="1" l="1"/>
  <c r="BK263" i="1" s="1"/>
  <c r="BL33" i="1"/>
  <c r="BG33" i="1"/>
  <c r="BL32" i="1"/>
  <c r="BG32" i="1"/>
  <c r="BG31" i="1"/>
  <c r="BL31" i="1"/>
  <c r="BL30" i="1"/>
  <c r="BG30" i="1"/>
  <c r="BG29" i="1"/>
  <c r="BL29" i="1"/>
  <c r="BG28" i="1"/>
  <c r="BL28" i="1"/>
  <c r="BG27" i="1"/>
  <c r="BL27" i="1"/>
  <c r="BG26" i="1"/>
  <c r="BL26" i="1"/>
  <c r="BG25" i="1"/>
  <c r="BL25" i="1"/>
  <c r="BG24" i="1"/>
  <c r="BL24" i="1"/>
  <c r="BG23" i="1"/>
  <c r="BL23" i="1"/>
  <c r="BG22" i="1"/>
  <c r="BL22" i="1"/>
  <c r="BG21" i="1"/>
  <c r="BL21" i="1"/>
  <c r="BG20" i="1"/>
  <c r="BL20" i="1"/>
  <c r="BG18" i="1"/>
  <c r="BL18" i="1"/>
  <c r="BL17" i="1"/>
  <c r="BG17" i="1"/>
  <c r="BS16" i="1"/>
  <c r="BX16" i="1"/>
  <c r="BS15" i="1"/>
  <c r="BX15" i="1"/>
  <c r="BS14" i="1"/>
  <c r="BX14" i="1"/>
  <c r="BL13" i="1"/>
  <c r="BG13" i="1"/>
  <c r="BL12" i="1"/>
  <c r="BG12" i="1"/>
  <c r="BG11" i="1"/>
  <c r="BL11" i="1"/>
  <c r="BM10" i="1"/>
  <c r="BR10" i="1"/>
  <c r="BG9" i="1"/>
  <c r="BL9" i="1"/>
  <c r="BG8" i="1"/>
  <c r="BL8" i="1"/>
  <c r="BG7" i="1"/>
  <c r="BL7" i="1"/>
  <c r="BG6" i="1"/>
  <c r="BL6" i="1"/>
  <c r="BL5" i="1"/>
  <c r="BL263" i="1" s="1"/>
  <c r="BG5" i="1"/>
  <c r="BG263" i="1" s="1"/>
  <c r="BP74" i="1" l="1"/>
  <c r="BQ74" i="1" s="1"/>
  <c r="BV74" i="1" s="1"/>
  <c r="BV263" i="1" s="1"/>
  <c r="BR33" i="1"/>
  <c r="BM33" i="1"/>
  <c r="BM32" i="1"/>
  <c r="BR32" i="1"/>
  <c r="BM31" i="1"/>
  <c r="BR31" i="1"/>
  <c r="BM30" i="1"/>
  <c r="BR30" i="1"/>
  <c r="BM29" i="1"/>
  <c r="BR29" i="1"/>
  <c r="BM28" i="1"/>
  <c r="BR28" i="1"/>
  <c r="BM27" i="1"/>
  <c r="BR27" i="1"/>
  <c r="BM26" i="1"/>
  <c r="BR26" i="1"/>
  <c r="BM25" i="1"/>
  <c r="BR25" i="1"/>
  <c r="BM24" i="1"/>
  <c r="BR24" i="1"/>
  <c r="BM23" i="1"/>
  <c r="BR23" i="1"/>
  <c r="BR22" i="1"/>
  <c r="BM22" i="1"/>
  <c r="BR21" i="1"/>
  <c r="BM21" i="1"/>
  <c r="BM20" i="1"/>
  <c r="BR20" i="1"/>
  <c r="BM18" i="1"/>
  <c r="BR18" i="1"/>
  <c r="BM17" i="1"/>
  <c r="BR17" i="1"/>
  <c r="BY16" i="1"/>
  <c r="BY15" i="1"/>
  <c r="BY14" i="1"/>
  <c r="BR13" i="1"/>
  <c r="BM13" i="1"/>
  <c r="BR12" i="1"/>
  <c r="BM12" i="1"/>
  <c r="BR11" i="1"/>
  <c r="BM11" i="1"/>
  <c r="BS10" i="1"/>
  <c r="BX10" i="1"/>
  <c r="BM9" i="1"/>
  <c r="BR9" i="1"/>
  <c r="BM8" i="1"/>
  <c r="BR8" i="1"/>
  <c r="BM7" i="1"/>
  <c r="BR7" i="1"/>
  <c r="BR6" i="1"/>
  <c r="BM6" i="1"/>
  <c r="BR5" i="1"/>
  <c r="BR263" i="1" s="1"/>
  <c r="BM5" i="1"/>
  <c r="BM263" i="1" s="1"/>
  <c r="BW74" i="1" l="1"/>
  <c r="BW263" i="1" s="1"/>
  <c r="BS33" i="1"/>
  <c r="BX33" i="1"/>
  <c r="BS32" i="1"/>
  <c r="BX32" i="1"/>
  <c r="BX31" i="1"/>
  <c r="BS31" i="1"/>
  <c r="BX30" i="1"/>
  <c r="BS30" i="1"/>
  <c r="BS29" i="1"/>
  <c r="BX29" i="1"/>
  <c r="BS28" i="1"/>
  <c r="BX28" i="1"/>
  <c r="BS27" i="1"/>
  <c r="BX27" i="1"/>
  <c r="BS26" i="1"/>
  <c r="BX26" i="1"/>
  <c r="BS25" i="1"/>
  <c r="BX25" i="1"/>
  <c r="BS24" i="1"/>
  <c r="BX24" i="1"/>
  <c r="BS23" i="1"/>
  <c r="BX23" i="1"/>
  <c r="BX22" i="1"/>
  <c r="BS22" i="1"/>
  <c r="BS21" i="1"/>
  <c r="BX21" i="1"/>
  <c r="BX20" i="1"/>
  <c r="BS20" i="1"/>
  <c r="BX18" i="1"/>
  <c r="BS18" i="1"/>
  <c r="BX17" i="1"/>
  <c r="BS17" i="1"/>
  <c r="BX13" i="1"/>
  <c r="BS13" i="1"/>
  <c r="BX12" i="1"/>
  <c r="BS12" i="1"/>
  <c r="BX11" i="1"/>
  <c r="BS11" i="1"/>
  <c r="BY10" i="1"/>
  <c r="BS9" i="1"/>
  <c r="BX9" i="1"/>
  <c r="BS8" i="1"/>
  <c r="BX8" i="1"/>
  <c r="BS7" i="1"/>
  <c r="BX7" i="1"/>
  <c r="BS6" i="1"/>
  <c r="BX6" i="1"/>
  <c r="BS5" i="1"/>
  <c r="BS263" i="1" s="1"/>
  <c r="BX5" i="1"/>
  <c r="BX263" i="1" s="1"/>
  <c r="CB74" i="1" l="1"/>
  <c r="CB263" i="1" s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8" i="1"/>
  <c r="BY17" i="1"/>
  <c r="BY13" i="1"/>
  <c r="BY12" i="1"/>
  <c r="BY11" i="1"/>
  <c r="BY9" i="1"/>
  <c r="BY8" i="1"/>
  <c r="BY7" i="1"/>
  <c r="BY6" i="1"/>
  <c r="BY5" i="1"/>
  <c r="BY263" i="1" s="1"/>
  <c r="BP37" i="1"/>
  <c r="BP263" i="1" s="1"/>
  <c r="BQ37" i="1"/>
  <c r="BQ263" i="1" s="1"/>
  <c r="CC74" i="1" l="1"/>
  <c r="CC263" i="1" s="1"/>
  <c r="AL214" i="3"/>
  <c r="AL167" i="1"/>
  <c r="AL74" i="1"/>
  <c r="AL253" i="1"/>
  <c r="AL206" i="1"/>
  <c r="AL26" i="1"/>
  <c r="AL174" i="1"/>
  <c r="AL202" i="1"/>
  <c r="AL66" i="1"/>
  <c r="AL9" i="1"/>
  <c r="AL219" i="1"/>
  <c r="AL55" i="1"/>
  <c r="AL63" i="1"/>
  <c r="AL222" i="1"/>
  <c r="AL75" i="1"/>
  <c r="AL37" i="1"/>
  <c r="AL229" i="1"/>
  <c r="AL135" i="1"/>
  <c r="AL245" i="1"/>
  <c r="AL211" i="1"/>
  <c r="AL138" i="1"/>
  <c r="AL146" i="1"/>
  <c r="AL108" i="1"/>
  <c r="AL205" i="1"/>
  <c r="AL218" i="1"/>
  <c r="AL73" i="1"/>
  <c r="AL64" i="1"/>
  <c r="AL110" i="1"/>
  <c r="AL114" i="1"/>
  <c r="AL94" i="1"/>
  <c r="AL23" i="1"/>
  <c r="AL5" i="1"/>
  <c r="AL263" i="1"/>
  <c r="AL189" i="1"/>
  <c r="AL159" i="1"/>
  <c r="AL212" i="1"/>
  <c r="AL207" i="1"/>
  <c r="AL127" i="1"/>
  <c r="AL70" i="1"/>
  <c r="AL246" i="1"/>
  <c r="AL152" i="1"/>
  <c r="AL192" i="1"/>
  <c r="AL84" i="1"/>
  <c r="AL182" i="1"/>
  <c r="AL208" i="1"/>
  <c r="AL214" i="1"/>
  <c r="AL57" i="1"/>
  <c r="AL141" i="1"/>
  <c r="AL51" i="1"/>
  <c r="AL143" i="1"/>
  <c r="AL250" i="1"/>
  <c r="AL194" i="1"/>
  <c r="AL65" i="1"/>
  <c r="AL117" i="1"/>
  <c r="AL235" i="1"/>
  <c r="AL81" i="1"/>
  <c r="AL85" i="1"/>
  <c r="AL40" i="1"/>
  <c r="AL252" i="1"/>
  <c r="AL217" i="1"/>
  <c r="AL83" i="1"/>
  <c r="AL125" i="1"/>
  <c r="AL132" i="1"/>
  <c r="AL197" i="1"/>
  <c r="AL60" i="1"/>
  <c r="AL52" i="1"/>
  <c r="AL147" i="1"/>
  <c r="AL48" i="1"/>
  <c r="AL78" i="1"/>
  <c r="AL155" i="1"/>
  <c r="AL80" i="1"/>
  <c r="AL223" i="1"/>
  <c r="AL193" i="1"/>
  <c r="AL27" i="1"/>
  <c r="AL122" i="1"/>
  <c r="AL67" i="1"/>
  <c r="AL240" i="1"/>
  <c r="AL119" i="1"/>
  <c r="AL213" i="1"/>
  <c r="AL12" i="1"/>
  <c r="AL54" i="1"/>
  <c r="AL123" i="1"/>
  <c r="AL220" i="1"/>
  <c r="AL178" i="1"/>
  <c r="AL230" i="1"/>
  <c r="AL25" i="1"/>
  <c r="AL45" i="1"/>
  <c r="AL157" i="1"/>
  <c r="AL237" i="1"/>
  <c r="AL154" i="1"/>
  <c r="AL221" i="1"/>
  <c r="AL142" i="1"/>
  <c r="AL50" i="1"/>
  <c r="AL126" i="1"/>
  <c r="AL31" i="1"/>
  <c r="AL82" i="1"/>
  <c r="AL247" i="1"/>
  <c r="AL104" i="1"/>
  <c r="AL145" i="1"/>
  <c r="AL228" i="1"/>
  <c r="AL203" i="1"/>
  <c r="AL10" i="1"/>
  <c r="AL69" i="1"/>
  <c r="AL179" i="1"/>
  <c r="AL88" i="1"/>
  <c r="AL175" i="1"/>
  <c r="AL13" i="1"/>
  <c r="AL255" i="1"/>
  <c r="AL163" i="1"/>
  <c r="AL24" i="1"/>
  <c r="AL14" i="1"/>
  <c r="AL200" i="1"/>
  <c r="AL191" i="1"/>
  <c r="AL103" i="1"/>
  <c r="AL20" i="1"/>
  <c r="AL68" i="1"/>
  <c r="AL38" i="1"/>
  <c r="AL72" i="1"/>
  <c r="AL76" i="1"/>
  <c r="AL120" i="1"/>
  <c r="AL248" i="1"/>
  <c r="AL149" i="1"/>
  <c r="AL243" i="1"/>
  <c r="AL107" i="1"/>
  <c r="AL166" i="1"/>
  <c r="AL231" i="1"/>
  <c r="AL238" i="1"/>
  <c r="AL233" i="1"/>
  <c r="AL239" i="1"/>
  <c r="AL17" i="1"/>
  <c r="AL121" i="1"/>
  <c r="AL140" i="1"/>
  <c r="AL254" i="1"/>
  <c r="AL215" i="1"/>
  <c r="AL89" i="1"/>
  <c r="AL136" i="1"/>
  <c r="AL169" i="1"/>
  <c r="AL148" i="1"/>
  <c r="AL204" i="1"/>
  <c r="AL77" i="1"/>
  <c r="AL190" i="1"/>
  <c r="AL150" i="1"/>
  <c r="AL180" i="1"/>
  <c r="AL171" i="1"/>
  <c r="AL161" i="1"/>
  <c r="AL113" i="1"/>
  <c r="AL184" i="1"/>
  <c r="AL99" i="1"/>
  <c r="AL160" i="1"/>
  <c r="AL176" i="1"/>
  <c r="AL35" i="1"/>
  <c r="AL15" i="1"/>
  <c r="AL144" i="1"/>
  <c r="AL134" i="1"/>
  <c r="AL116" i="1"/>
  <c r="AL241" i="1"/>
  <c r="AL128" i="1"/>
  <c r="AL53" i="1"/>
  <c r="AL225" i="1"/>
  <c r="AL177" i="1"/>
  <c r="AL109" i="1"/>
  <c r="AL91" i="1"/>
  <c r="AL101" i="1"/>
  <c r="AL28" i="1"/>
  <c r="AL251" i="1"/>
  <c r="AL33" i="1"/>
  <c r="AL29" i="1"/>
  <c r="AL131" i="1"/>
  <c r="AL100" i="1"/>
  <c r="AL98" i="1"/>
  <c r="AL181" i="1"/>
  <c r="AL162" i="1"/>
  <c r="AL46" i="1"/>
  <c r="AL93" i="1"/>
  <c r="AL115" i="1"/>
  <c r="AL86" i="1"/>
  <c r="AL42" i="1"/>
  <c r="AL8" i="1"/>
  <c r="AL257" i="1"/>
  <c r="AL111" i="1"/>
  <c r="AL61" i="1"/>
  <c r="AL39" i="1"/>
  <c r="AL198" i="1"/>
  <c r="AL156" i="1"/>
  <c r="AL249" i="1"/>
  <c r="AL71" i="1"/>
  <c r="AL43" i="1"/>
  <c r="AL183" i="1"/>
  <c r="AL18" i="1"/>
  <c r="AL139" i="1"/>
  <c r="AL62" i="1"/>
  <c r="AL242" i="1"/>
  <c r="AL59" i="1"/>
  <c r="AL164" i="1"/>
  <c r="AL16" i="1"/>
  <c r="AL133" i="1"/>
  <c r="AL186" i="1"/>
  <c r="AL97" i="1"/>
  <c r="AL41" i="1"/>
  <c r="AL236" i="1"/>
  <c r="AL30" i="1"/>
  <c r="AL87" i="1"/>
  <c r="AL95" i="1"/>
  <c r="AL256" i="1"/>
  <c r="AL158" i="1"/>
  <c r="AL124" i="1"/>
  <c r="AL56" i="1"/>
  <c r="AL153" i="1"/>
  <c r="AL34" i="1"/>
  <c r="AL112" i="1"/>
  <c r="AL49" i="1"/>
  <c r="AL130" i="1"/>
  <c r="AL188" i="1"/>
  <c r="AL199" i="1"/>
  <c r="AL227" i="1"/>
  <c r="AL21" i="1"/>
  <c r="AL129" i="1"/>
  <c r="AL47" i="1"/>
  <c r="AL226" i="1"/>
  <c r="AL170" i="1"/>
  <c r="AL90" i="1"/>
  <c r="AL244" i="1"/>
  <c r="AL201" i="1"/>
  <c r="AL224" i="1"/>
  <c r="AL173" i="1"/>
  <c r="AL172" i="1"/>
  <c r="AL195" i="1"/>
  <c r="AL165" i="1"/>
  <c r="AL232" i="1"/>
  <c r="AL185" i="1"/>
  <c r="AL106" i="1"/>
  <c r="AL118" i="1"/>
  <c r="AL105" i="1"/>
  <c r="AL210" i="1"/>
  <c r="AL209" i="1"/>
  <c r="AL32" i="1"/>
  <c r="AL196" i="1"/>
  <c r="AL58" i="1"/>
  <c r="AL234" i="1"/>
  <c r="AL79" i="1"/>
  <c r="AL11" i="1"/>
  <c r="AL6" i="1"/>
  <c r="AL102" i="1"/>
  <c r="AL92" i="1"/>
  <c r="AL44" i="1"/>
  <c r="AL137" i="1"/>
  <c r="AL96" i="1"/>
  <c r="AL187" i="1"/>
  <c r="AL151" i="1"/>
  <c r="AL216" i="1"/>
  <c r="AL22" i="1"/>
  <c r="AL7" i="1"/>
  <c r="AL36" i="1"/>
  <c r="AL168" i="1"/>
</calcChain>
</file>

<file path=xl/sharedStrings.xml><?xml version="1.0" encoding="utf-8"?>
<sst xmlns="http://schemas.openxmlformats.org/spreadsheetml/2006/main" count="1474" uniqueCount="826">
  <si>
    <t>PERINCIAN LAPORAN KEDUDUKAN SEMASA STOK ASM BAGI TAHUN 2026</t>
  </si>
  <si>
    <t>LAMPIRAN 4</t>
  </si>
  <si>
    <t>No.</t>
  </si>
  <si>
    <t>No.Kod</t>
  </si>
  <si>
    <t>Perihal Stok</t>
  </si>
  <si>
    <t xml:space="preserve">Paras Minimum
</t>
  </si>
  <si>
    <t>Paras Menokoh</t>
  </si>
  <si>
    <t>Paras Maximum</t>
  </si>
  <si>
    <t>Baki pada 1/1/2026</t>
  </si>
  <si>
    <t>Harga seunit</t>
  </si>
  <si>
    <t>JAN</t>
  </si>
  <si>
    <t>FEB</t>
  </si>
  <si>
    <t>MAC</t>
  </si>
  <si>
    <t>APR</t>
  </si>
  <si>
    <t>MEI</t>
  </si>
  <si>
    <t>JUN</t>
  </si>
  <si>
    <t>JUL</t>
  </si>
  <si>
    <t>OGOS</t>
  </si>
  <si>
    <t>SEPT</t>
  </si>
  <si>
    <t>OKT</t>
  </si>
  <si>
    <t>NOV</t>
  </si>
  <si>
    <t>DIS</t>
  </si>
  <si>
    <t>baki akhir tahun 2026</t>
  </si>
  <si>
    <t>Tahun</t>
  </si>
  <si>
    <t>Baki</t>
  </si>
  <si>
    <t>Nilai Sedia Ada</t>
  </si>
  <si>
    <t>Keluar</t>
  </si>
  <si>
    <t>Masuk</t>
  </si>
  <si>
    <t>Nilai Masuk</t>
  </si>
  <si>
    <t xml:space="preserve">Nilai Pengeluaran </t>
  </si>
  <si>
    <t xml:space="preserve">Nilai Sedia Ada </t>
  </si>
  <si>
    <t>nilai sedia ada (a)</t>
  </si>
  <si>
    <t>nilai pengeluaran (b)</t>
  </si>
  <si>
    <t>1</t>
  </si>
  <si>
    <t>P01</t>
  </si>
  <si>
    <t>A STUDY ON THE CURRENT STATUS AND NEEDS ASSESSMENT OF WATER RESOURCES RESEARCH IN MALAYSIA V2</t>
  </si>
  <si>
    <t>2014</t>
  </si>
  <si>
    <t>119</t>
  </si>
  <si>
    <t>2</t>
  </si>
  <si>
    <t>P02</t>
  </si>
  <si>
    <t>ADDRESSING THE GLOBAL HEALTH CHALLENGE OF OBESITY IN MALAYSIA</t>
  </si>
  <si>
    <t>2017</t>
  </si>
  <si>
    <t>248</t>
  </si>
  <si>
    <t>3</t>
  </si>
  <si>
    <t>P03</t>
  </si>
  <si>
    <t>ADVISORY ON ENERGY USAGE AND ENERGY EFFICIENCY IN TRANSPORTATION (FULL REPORT)</t>
  </si>
  <si>
    <t>2015</t>
  </si>
  <si>
    <t>65</t>
  </si>
  <si>
    <t>4</t>
  </si>
  <si>
    <t>P04</t>
  </si>
  <si>
    <t>AGRICULTURE WATER SERVICES FOR AGRIBUSINESS</t>
  </si>
  <si>
    <t>5</t>
  </si>
  <si>
    <t>P05</t>
  </si>
  <si>
    <t>ANNUAL REPORT 2017</t>
  </si>
  <si>
    <t>2018</t>
  </si>
  <si>
    <t>6</t>
  </si>
  <si>
    <t>P06</t>
  </si>
  <si>
    <t>ANNUAL REPORT 2018</t>
  </si>
  <si>
    <t>2019</t>
  </si>
  <si>
    <t>32</t>
  </si>
  <si>
    <t>7</t>
  </si>
  <si>
    <t>P07</t>
  </si>
  <si>
    <t>ANNUAL REPORT 2019</t>
  </si>
  <si>
    <t>2020</t>
  </si>
  <si>
    <t>48</t>
  </si>
  <si>
    <t>8</t>
  </si>
  <si>
    <t>P08</t>
  </si>
  <si>
    <t>ANNUAL REPORT 2020</t>
  </si>
  <si>
    <t>2021</t>
  </si>
  <si>
    <t>418</t>
  </si>
  <si>
    <t>9</t>
  </si>
  <si>
    <t>P09</t>
  </si>
  <si>
    <t>ANNUAL REPORT 2021</t>
  </si>
  <si>
    <t>2022</t>
  </si>
  <si>
    <t>113</t>
  </si>
  <si>
    <t>10</t>
  </si>
  <si>
    <t>P10</t>
  </si>
  <si>
    <t>ANNUAL REPORT 2022</t>
  </si>
  <si>
    <t>2023</t>
  </si>
  <si>
    <t>142</t>
  </si>
  <si>
    <t>11</t>
  </si>
  <si>
    <t>P11</t>
  </si>
  <si>
    <t>ANNUAL REPORT 2023</t>
  </si>
  <si>
    <t>2024</t>
  </si>
  <si>
    <t>28</t>
  </si>
  <si>
    <t>12</t>
  </si>
  <si>
    <t>P12</t>
  </si>
  <si>
    <t>ANNUAL REPORT 2024</t>
  </si>
  <si>
    <t>2025</t>
  </si>
  <si>
    <t>27</t>
  </si>
  <si>
    <t>13</t>
  </si>
  <si>
    <t>P13</t>
  </si>
  <si>
    <t>AR2024 PENDRIVE</t>
  </si>
  <si>
    <t>14</t>
  </si>
  <si>
    <t>P14</t>
  </si>
  <si>
    <t>ASEAN AHEAD (EXECUTIVE SUMMARY)</t>
  </si>
  <si>
    <t>623</t>
  </si>
  <si>
    <t>P15</t>
  </si>
  <si>
    <t>ASEAN AHEAD FULL REPORT</t>
  </si>
  <si>
    <t>15</t>
  </si>
  <si>
    <t>P16</t>
  </si>
  <si>
    <t>ASM 10TH ANNIVERSARY BOOK</t>
  </si>
  <si>
    <t>2005</t>
  </si>
  <si>
    <t>16</t>
  </si>
  <si>
    <t>P17</t>
  </si>
  <si>
    <t>ASM 25TH ANNIVERSARY BOOK</t>
  </si>
  <si>
    <t>435</t>
  </si>
  <si>
    <t>17</t>
  </si>
  <si>
    <t>P18</t>
  </si>
  <si>
    <t>ASM CLIMATE CHANGE SERIES: CLIMATE CHANGE AND DISASTER RISK REDUCTION (GREEN)</t>
  </si>
  <si>
    <t>2012</t>
  </si>
  <si>
    <t>35</t>
  </si>
  <si>
    <t>18</t>
  </si>
  <si>
    <t>P19</t>
  </si>
  <si>
    <t>ASM CLIMATE CHANGE SERIES: CLIMATE CHANGE AND SUSTAINABLE FORESTRY IN MALAYSIA (PURPLE)</t>
  </si>
  <si>
    <t>105</t>
  </si>
  <si>
    <t>19</t>
  </si>
  <si>
    <t>P20</t>
  </si>
  <si>
    <t>ASM CLIMATE CHANGE SERIES: CLIMATE CHANGE TRHEATS AND EFFECTS (BROWN)</t>
  </si>
  <si>
    <t>20</t>
  </si>
  <si>
    <t>P21</t>
  </si>
  <si>
    <t>ASM CLIMATE CHANGE SERIES: HEALTH IMPACTS OF CLIMATE CHANGE (PINK)</t>
  </si>
  <si>
    <t>21</t>
  </si>
  <si>
    <t>P22</t>
  </si>
  <si>
    <t>ASM CLIMATE CHANGE SERIES: MALAYSIA CLIMATE CHANGE SCENARIOS (ORANGE)</t>
  </si>
  <si>
    <t>68</t>
  </si>
  <si>
    <t>22</t>
  </si>
  <si>
    <t>P23</t>
  </si>
  <si>
    <t>ASM CLIMATE CHANGE SERIES: SPACE AND CLIMATE CHANGE (BLUE)</t>
  </si>
  <si>
    <t>89</t>
  </si>
  <si>
    <t>23</t>
  </si>
  <si>
    <t>P24</t>
  </si>
  <si>
    <t>ASM EXPERT NETWORK 2018</t>
  </si>
  <si>
    <t>24</t>
  </si>
  <si>
    <t>P25</t>
  </si>
  <si>
    <t>ASM EXPERT NETWORK 2020-2021</t>
  </si>
  <si>
    <t>90</t>
  </si>
  <si>
    <t>25</t>
  </si>
  <si>
    <t>P26</t>
  </si>
  <si>
    <t>ASM EXPERT NETWORK 2022</t>
  </si>
  <si>
    <t>26</t>
  </si>
  <si>
    <t>P27</t>
  </si>
  <si>
    <t>ASM EXPERT NETWORK 2024</t>
  </si>
  <si>
    <t>P28</t>
  </si>
  <si>
    <t>ASM LOCAL AND TRANSBOUNDARY HAZE STUDY (FULL REPORT)</t>
  </si>
  <si>
    <t>P29</t>
  </si>
  <si>
    <t>ASSESSMENT ON THE SUSTAINABILITY OF THE TASIK CHINI BASIN AND TASIK CHINI BIOSPHERE RESERVE (FINAL REPORT)</t>
  </si>
  <si>
    <t>29</t>
  </si>
  <si>
    <t>P30</t>
  </si>
  <si>
    <t>BUSINESS MODEL FOR THE DEVELOPMENT OF ION ADSORPTION CLAY RARE EARTH INDUSTRY IN MALAYSIA (EXEC SUMMARY)</t>
  </si>
  <si>
    <t>30</t>
  </si>
  <si>
    <t>P31</t>
  </si>
  <si>
    <t>BUSINESS MODEL FOR THE DEVELOPMENT OF ION ADSORPTION CLAY RARE EARTH INDUSTRY IN MALAYSIA (FULL REPORT)</t>
  </si>
  <si>
    <t>31</t>
  </si>
  <si>
    <t>P32</t>
  </si>
  <si>
    <t>CLIMATE CHANGE: ADAPTIVE CAPACITY ATTRIBUTES OF SELECTED WATER-RELATED POLICIES IN MALAYSIA</t>
  </si>
  <si>
    <t>P33</t>
  </si>
  <si>
    <t>COSMIC CONNECTIONS LANGKAWI</t>
  </si>
  <si>
    <t>33</t>
  </si>
  <si>
    <t>P34</t>
  </si>
  <si>
    <t>CYBERSECURITY: TOWARDS A SAFE &amp; SECURE CYBER ENVIRONMENT</t>
  </si>
  <si>
    <t>34</t>
  </si>
  <si>
    <t>P35</t>
  </si>
  <si>
    <t>DASAR KEUSAHAWANAN NASIONAL 2030</t>
  </si>
  <si>
    <t>100</t>
  </si>
  <si>
    <t>P36</t>
  </si>
  <si>
    <t xml:space="preserve">KHALID YUSOFF, THE KAMPUNG BOY FROM MACHANG: A BIOGRAPHY </t>
  </si>
  <si>
    <t>112</t>
  </si>
  <si>
    <t>36</t>
  </si>
  <si>
    <t>P37</t>
  </si>
  <si>
    <t>FACES OF SCIENCE @MY</t>
  </si>
  <si>
    <t>2013</t>
  </si>
  <si>
    <t>37</t>
  </si>
  <si>
    <t>P38</t>
  </si>
  <si>
    <t>GLOBAL STATE OF YOUNG SCIENTISTS (GLOSYS) IN ASEAN</t>
  </si>
  <si>
    <t>38</t>
  </si>
  <si>
    <t>P39</t>
  </si>
  <si>
    <t>INTEGRATED URBAN WATER MANAGEMENT IN PENINSULAR MALAYSIA</t>
  </si>
  <si>
    <t>39</t>
  </si>
  <si>
    <t>P40</t>
  </si>
  <si>
    <t>JIMAT DAN MUDAH DENGAN INOVASI (EDISI KEDUA)</t>
  </si>
  <si>
    <t>2016</t>
  </si>
  <si>
    <t>40</t>
  </si>
  <si>
    <t>P41</t>
  </si>
  <si>
    <t>JUST AN INDIVIDUAL OF A SPECIES: TS DR MUSTAFA BABJEE BIOGRAPHY</t>
  </si>
  <si>
    <t>168</t>
  </si>
  <si>
    <t>41</t>
  </si>
  <si>
    <t>P42</t>
  </si>
  <si>
    <t>LAKES OF MALAYSIA</t>
  </si>
  <si>
    <t>218</t>
  </si>
  <si>
    <t>42</t>
  </si>
  <si>
    <t>V43</t>
  </si>
  <si>
    <t>MALAYSIAN EDUCATIONAL MODULE ON RESPONSIBLE CONDUCT OF RESEARCH</t>
  </si>
  <si>
    <t>43</t>
  </si>
  <si>
    <t>P44</t>
  </si>
  <si>
    <t>NATIONAL PLANETARY HEALTH ACTION PLAN: TRANSFORMATIONAL SUSTAINABILITY LEADERSHIP MODULE (NPHAP MODULE)</t>
  </si>
  <si>
    <t>98</t>
  </si>
  <si>
    <t>44</t>
  </si>
  <si>
    <t>P45</t>
  </si>
  <si>
    <t>NATIONAL PLANETARY HEALTH ACTION PLANET (EXECUTIVE SUMMARY)</t>
  </si>
  <si>
    <t>280</t>
  </si>
  <si>
    <t>45</t>
  </si>
  <si>
    <t>P46</t>
  </si>
  <si>
    <t>NATIONAL PLANETARY HEALTH ACTION PLANET (FULL REPORT)</t>
  </si>
  <si>
    <t>150</t>
  </si>
  <si>
    <t>46</t>
  </si>
  <si>
    <t>P47</t>
  </si>
  <si>
    <t>NURTURING NEXT GENERATION TALENT FOR KNOWLEDGE-BASED, TALENT-DRIVEN DEVELOPMENT</t>
  </si>
  <si>
    <t>86</t>
  </si>
  <si>
    <t>47</t>
  </si>
  <si>
    <t>P48</t>
  </si>
  <si>
    <t>PELAN HALA TUJU TRANSFORMASI AIR 2040</t>
  </si>
  <si>
    <t>P49</t>
  </si>
  <si>
    <t>POSITION PAPER ON BLUE ECONOMY: UNLOCKING THE VALUE OF THE OCEANS</t>
  </si>
  <si>
    <t>49</t>
  </si>
  <si>
    <t>P50</t>
  </si>
  <si>
    <t>REVITALISING THE RARE EARTH MINERAL PROGRAM IN PENINSULAR MALAYSIA AS A STRATEGIC INDUSTRY</t>
  </si>
  <si>
    <t>50</t>
  </si>
  <si>
    <t>P51</t>
  </si>
  <si>
    <t>SCIENCE &amp; TECHNOLOGY FORESIGHT MALAYSIA 2050 (ESET STUDY)</t>
  </si>
  <si>
    <t>62</t>
  </si>
  <si>
    <t>51</t>
  </si>
  <si>
    <t>P52</t>
  </si>
  <si>
    <t>SCIENCE COMMUNICATION IN PRACTICE: A MALAYSIAN PERSPECTIVE WITH GLOBAL RELEVANCE</t>
  </si>
  <si>
    <t>396</t>
  </si>
  <si>
    <t>52</t>
  </si>
  <si>
    <t>P53</t>
  </si>
  <si>
    <t>SCIENCE OUTLOOK 2015 (FULL REPORT)</t>
  </si>
  <si>
    <t>53</t>
  </si>
  <si>
    <t>P54</t>
  </si>
  <si>
    <t>SCIENCE OUTLOOK 2017 (EXEC SUMMARY) V1</t>
  </si>
  <si>
    <t>54</t>
  </si>
  <si>
    <t>P55</t>
  </si>
  <si>
    <t>SCIENCE OUTLOOK 2017 (EXEC SUMMARY) V2</t>
  </si>
  <si>
    <t>144</t>
  </si>
  <si>
    <t>55</t>
  </si>
  <si>
    <t>P56</t>
  </si>
  <si>
    <t>SCIENCE OUTLOOK 2017 (FULL REPORT)</t>
  </si>
  <si>
    <t>56</t>
  </si>
  <si>
    <t>P57</t>
  </si>
  <si>
    <t>SCIENCE OUTLOOK 2020 (EXEC SUMMARY)</t>
  </si>
  <si>
    <t>57</t>
  </si>
  <si>
    <t>P58</t>
  </si>
  <si>
    <t>SCIENCE OUTLOOK 2020 (FULL REPORT)</t>
  </si>
  <si>
    <t>87</t>
  </si>
  <si>
    <t>58</t>
  </si>
  <si>
    <t>P59</t>
  </si>
  <si>
    <t>SCIENCE, TECHNOLOGY AND INNOVATION FOR SOCIOECONOMIC TRANSFORMATION - STRATEGIC DRIVERS FOR HIGH-INCOME ECONOMY</t>
  </si>
  <si>
    <t>59</t>
  </si>
  <si>
    <t>P60</t>
  </si>
  <si>
    <t>SETTING A NATIONAL AGENDA FOR INTEGRATED WATER RESEARCH V1</t>
  </si>
  <si>
    <t>104</t>
  </si>
  <si>
    <t>60</t>
  </si>
  <si>
    <t>P61</t>
  </si>
  <si>
    <t>STRATEGIC PLAN FOR ADDRESSING THE IMPACT OF CLIMATE CHANGE ON WATER-RELATED ISSUES IN MALAYSIA</t>
  </si>
  <si>
    <t>111</t>
  </si>
  <si>
    <t>61</t>
  </si>
  <si>
    <t>P62</t>
  </si>
  <si>
    <t>THE BIOLOGY OF THE LONG-NECKED WEEVIL</t>
  </si>
  <si>
    <t>71</t>
  </si>
  <si>
    <t>P63</t>
  </si>
  <si>
    <t>THE ESSENTIALS OF SCIENCE, TECHNOLOGY AND INNOVATION POLICY</t>
  </si>
  <si>
    <t>78</t>
  </si>
  <si>
    <t>63</t>
  </si>
  <si>
    <t>P64</t>
  </si>
  <si>
    <t>THE ESTABLISHMENT OF RARE EARTH BASED INDUSTRIES IN MALAYSIA (SUMMARY FOR POLICY MAKERS)</t>
  </si>
  <si>
    <t>64</t>
  </si>
  <si>
    <t>P65</t>
  </si>
  <si>
    <t>THE MALAYSIAN CODE OF RESPONSIBLE CONDUCT IN RESEARCH (2ND EDITION)</t>
  </si>
  <si>
    <t>75</t>
  </si>
  <si>
    <t>P66</t>
  </si>
  <si>
    <t>THE NEXUS OF BIODIVERSITY CONSERVATION AND SUSTAINABLE SOCIOECONOMIC DEVELOPMENT IN SOUTHEAST ASIA</t>
  </si>
  <si>
    <t>66</t>
  </si>
  <si>
    <t>P67</t>
  </si>
  <si>
    <t>TRANSFORMING THE WATER SECTOR: NATIONAL INTEGRATED WATER RESOURCE MANAGEMENT PLAN (APPENDICES) VOL. 2</t>
  </si>
  <si>
    <t>67</t>
  </si>
  <si>
    <t>P68</t>
  </si>
  <si>
    <t>TRANSFORMING THE WATER SECTOR: NATIONAL INTEGRATED WATER RESOURCE MANAGEMENT PLAN (MAIN REPORT) VOL. 1</t>
  </si>
  <si>
    <t>P69</t>
  </si>
  <si>
    <t>WST 2040: TRANSFORMASI SEKTOR AIR (LAPORAN AKHIR) JILID 1</t>
  </si>
  <si>
    <t>69</t>
  </si>
  <si>
    <t>P71</t>
  </si>
  <si>
    <t>63RD LINDAU NOBEL LAUREATE MEETING COMMUNITY 
ANNUAL REPORT 2013</t>
  </si>
  <si>
    <t>70</t>
  </si>
  <si>
    <t>P72</t>
  </si>
  <si>
    <t>A LINDAU EXPERIENCE: ASM LINDAU REPORT 2015</t>
  </si>
  <si>
    <t>P73</t>
  </si>
  <si>
    <t>A NATIONAL KEY PRIORITY AREA ON WATER (NKPA)</t>
  </si>
  <si>
    <t>72</t>
  </si>
  <si>
    <t>P74</t>
  </si>
  <si>
    <t>A NOBEL TRIP TO LINDAU, GERMANY: ONCE IN A 
LIFETIME OPPORTUNITY. ASM LINDAU PROGRAMME 2011</t>
  </si>
  <si>
    <t>73</t>
  </si>
  <si>
    <t>P75</t>
  </si>
  <si>
    <t>A SALUTE TO A MAN TUN DR MAHATHIR MOHAMAD</t>
  </si>
  <si>
    <t>74</t>
  </si>
  <si>
    <t>P76</t>
  </si>
  <si>
    <t xml:space="preserve">ACID SULFATE SOILS: OCCURRENCE, PROPERTIES 
AND UTILISATION FOR RICE PRODUCTION </t>
  </si>
  <si>
    <t>P77</t>
  </si>
  <si>
    <t>AN EYE IN THE SKY: MICROWAVE REMOTE SENSING</t>
  </si>
  <si>
    <t>76</t>
  </si>
  <si>
    <t>P78</t>
  </si>
  <si>
    <t>AN IMPACT STUDY ON THE IMPLEMENTATION OF THE 
MALAYSIAN RESEARCH UNIVERSITIES</t>
  </si>
  <si>
    <t>77</t>
  </si>
  <si>
    <t>P81</t>
  </si>
  <si>
    <t>ANNUAL REPORT 2001</t>
  </si>
  <si>
    <t>P82</t>
  </si>
  <si>
    <t>ANNUAL REPORT 2002</t>
  </si>
  <si>
    <t>79</t>
  </si>
  <si>
    <t>P83</t>
  </si>
  <si>
    <t>ANNUAL REPORT 2003</t>
  </si>
  <si>
    <t>80</t>
  </si>
  <si>
    <t>P84</t>
  </si>
  <si>
    <t>ANNUAL REPORT 2005</t>
  </si>
  <si>
    <t>81</t>
  </si>
  <si>
    <t>P86</t>
  </si>
  <si>
    <t>ANNUAL REPORT 2007</t>
  </si>
  <si>
    <t>82</t>
  </si>
  <si>
    <t>P87</t>
  </si>
  <si>
    <t>ANNUAL REPORT 2008</t>
  </si>
  <si>
    <t>83</t>
  </si>
  <si>
    <t>P88</t>
  </si>
  <si>
    <t>ANNUAL REPORT 2009</t>
  </si>
  <si>
    <t>84</t>
  </si>
  <si>
    <t>P89</t>
  </si>
  <si>
    <t>ANNUAL REPORT 2010</t>
  </si>
  <si>
    <t>85</t>
  </si>
  <si>
    <t>P90</t>
  </si>
  <si>
    <t>ANNUAL REPORT 2011</t>
  </si>
  <si>
    <t>P92</t>
  </si>
  <si>
    <t>ANNUAL REPORT 2013</t>
  </si>
  <si>
    <t>P93</t>
  </si>
  <si>
    <t>ANNUAL REPORT 2014</t>
  </si>
  <si>
    <t>88</t>
  </si>
  <si>
    <t>P94</t>
  </si>
  <si>
    <t>ANNUAL REPORT 2015</t>
  </si>
  <si>
    <t>P95</t>
  </si>
  <si>
    <t>ANTARCTICA: A NEW LANDMARK OF THE MALAYSIAN 
ANTARCTIC RESEARCH PROGRAMME</t>
  </si>
  <si>
    <t>P96</t>
  </si>
  <si>
    <t>ASEAN REGIONAL WORKSHOP ON LA MAIN A LA PATE</t>
  </si>
  <si>
    <t>91</t>
  </si>
  <si>
    <t>P97</t>
  </si>
  <si>
    <t>ASM INTERNATIONAL CONFERENCE 2012 ADVISORY 
REPORT</t>
  </si>
  <si>
    <t>92</t>
  </si>
  <si>
    <t>P98</t>
  </si>
  <si>
    <t>ASM SCIENCE JOURNAL VOL. 5, NO. 1</t>
  </si>
  <si>
    <t>93</t>
  </si>
  <si>
    <t>P99</t>
  </si>
  <si>
    <t>ASM SCIENCE JOURNAL VOL. 5, NO. 2</t>
  </si>
  <si>
    <t>94</t>
  </si>
  <si>
    <t>P100</t>
  </si>
  <si>
    <t>ASM SCIENCE JOURNAL VOL. 6, NO. 1</t>
  </si>
  <si>
    <t>95</t>
  </si>
  <si>
    <t>P101</t>
  </si>
  <si>
    <t>ASM SCIENCE JOURNAL VOL. 6, NO. 2</t>
  </si>
  <si>
    <t>96</t>
  </si>
  <si>
    <t>P102</t>
  </si>
  <si>
    <t>ASM SCIENCE JOURNAL VOL. 7, NO. 1</t>
  </si>
  <si>
    <t>97</t>
  </si>
  <si>
    <t>P103</t>
  </si>
  <si>
    <t>ASM SCIENCE JOURNAL VOL. 7, NO. 2</t>
  </si>
  <si>
    <t>P104</t>
  </si>
  <si>
    <t>ASM SCIENCE JOURNAL VOL. 8, NO. 1</t>
  </si>
  <si>
    <t>99</t>
  </si>
  <si>
    <t>P105</t>
  </si>
  <si>
    <t>B. C. SEKHAR MALAYSIA'S MAN FOR ALL SEASONS</t>
  </si>
  <si>
    <t>P106</t>
  </si>
  <si>
    <t>BIOMASS: THE GREEN-GOLD</t>
  </si>
  <si>
    <t>101</t>
  </si>
  <si>
    <t>P107</t>
  </si>
  <si>
    <t>BLUEPRINT FOR THE ESTABLISHMENT OF RARE 
EARTH-BASED INDUSTRIES IN MALAYSIA (SUMMARY FOR POLICYMAKERS)</t>
  </si>
  <si>
    <t>102</t>
  </si>
  <si>
    <t>P108</t>
  </si>
  <si>
    <t>BLUEPRINT FOR THE ESTABLISHMENT OF RARE 
EARTH-BASED INDUSTRIES IN MALAYSIA FULL REPORT</t>
  </si>
  <si>
    <t>103</t>
  </si>
  <si>
    <t>P109</t>
  </si>
  <si>
    <t>BUDAYA KREATIVITI - PAMERAN SERATUS TAHUN 
HADIAH NOBEL</t>
  </si>
  <si>
    <t>P110</t>
  </si>
  <si>
    <t>CASSAVA AND SWEET POTATO - WHAT THE FUTURE 
HOLDS</t>
  </si>
  <si>
    <t>P111</t>
  </si>
  <si>
    <t>CELEBRATING ISTICS 5 YEAR JOURNEY</t>
  </si>
  <si>
    <t>106</t>
  </si>
  <si>
    <t>P112</t>
  </si>
  <si>
    <t>CONSERVATION GEOLOGY PROTECTING HIDDEN 
TREASURES OF MALAYSIA</t>
  </si>
  <si>
    <t>107</t>
  </si>
  <si>
    <t>P113</t>
  </si>
  <si>
    <t>CONSERVATION OF BIODIVERSITY</t>
  </si>
  <si>
    <t>108</t>
  </si>
  <si>
    <t>P114</t>
  </si>
  <si>
    <t>DEDICATED TO CHEMISTRY: CAPTIVATING LINDAU</t>
  </si>
  <si>
    <t>109</t>
  </si>
  <si>
    <t>P115</t>
  </si>
  <si>
    <t>DELIVERING THE ECONOMIC TRANSFORMATION 
PROGRAMME THROUGH SCIENCE, TECHNOLOGY AND INNOVATION</t>
  </si>
  <si>
    <t>110</t>
  </si>
  <si>
    <t>P116</t>
  </si>
  <si>
    <t>EDUCATED, INSPIRED &amp; CONNECTED: ASM LINDAU 
PROGRAMME 2010</t>
  </si>
  <si>
    <t>P117</t>
  </si>
  <si>
    <t>EDUCATION AND COLLABORATION IN FUNDAMENTAL 
SCIENCE AS BRIDGES BETWEEN NATIONS</t>
  </si>
  <si>
    <t>P118</t>
  </si>
  <si>
    <t>EFFICIENT WEED MANAGEMENT TO ENHANCE 
RUBBER PRODUCTION</t>
  </si>
  <si>
    <t>P119</t>
  </si>
  <si>
    <t>ENHANCING RESEARCH AND DEVELOPMENT IN 
HEALTH SCIENCES</t>
  </si>
  <si>
    <t>114</t>
  </si>
  <si>
    <t>P120</t>
  </si>
  <si>
    <t>EUCALYPTUS CAMP MEMORIES</t>
  </si>
  <si>
    <t>115</t>
  </si>
  <si>
    <t>P121</t>
  </si>
  <si>
    <t>FOOD SECURITY MALAYSIA</t>
  </si>
  <si>
    <t>116</t>
  </si>
  <si>
    <t>P122</t>
  </si>
  <si>
    <t>FORGING THE CREATIVITY AGENDA FOR MALAYSIA</t>
  </si>
  <si>
    <t>117</t>
  </si>
  <si>
    <t>P123</t>
  </si>
  <si>
    <t>FRESHWATER INVERTEBRATES OF THE MALAYSIAN 
REGION</t>
  </si>
  <si>
    <t>118</t>
  </si>
  <si>
    <t>P124</t>
  </si>
  <si>
    <t>FROM SCIENCE TO SCIENCE POLICY: ONE MAN'S 
PASSIONATE JOURNEY (1ST PRINTING)</t>
  </si>
  <si>
    <t>P125</t>
  </si>
  <si>
    <t>FROM SCIENCE TO SCIENCE POLICY: ONE MAN'S 
PASSIONATE JOURNEY (2ND PRINTING)</t>
  </si>
  <si>
    <t>120</t>
  </si>
  <si>
    <t>P126</t>
  </si>
  <si>
    <t>GLOBAL R&amp;D LEADERS AND CEOS FORUM 2015</t>
  </si>
  <si>
    <t>121</t>
  </si>
  <si>
    <t>P127</t>
  </si>
  <si>
    <t>GLOBAL WARMING AND CLIMATE CHANGE</t>
  </si>
  <si>
    <t>122</t>
  </si>
  <si>
    <t>P128</t>
  </si>
  <si>
    <t>GOATS: BIOLOGY, PRODUCTION AND DEVELOPMENT 
IN ASIA</t>
  </si>
  <si>
    <t>123</t>
  </si>
  <si>
    <t>P129</t>
  </si>
  <si>
    <t>GROUNDWATER COLLOQUIUM 2009 "GROUNDWATER 
MANAGEMENT IN MALAYSIA - STATUS AND CHALLENGES"</t>
  </si>
  <si>
    <t>124</t>
  </si>
  <si>
    <t>P130</t>
  </si>
  <si>
    <t>GUNUNG GAGAU, TERENGGANU: TRANSFORMING 
NATURAL ASSETS INTO AN ECOTOURISM PRODUCT</t>
  </si>
  <si>
    <t>125</t>
  </si>
  <si>
    <t>P131</t>
  </si>
  <si>
    <t>HAEMOGLOBIN DISORDERS IN A MULTIRACIAL 
POPULATION: CHALLENGES IN DIAGNOSIS</t>
  </si>
  <si>
    <t>126</t>
  </si>
  <si>
    <t>P132</t>
  </si>
  <si>
    <t>HISTORY OF MEDICINE IN MALAYSIA VOLUME 2</t>
  </si>
  <si>
    <t>N/D</t>
  </si>
  <si>
    <t>127</t>
  </si>
  <si>
    <t>P133</t>
  </si>
  <si>
    <t>HOW SCIENCE CHANGES OUR LIVES</t>
  </si>
  <si>
    <t>128</t>
  </si>
  <si>
    <t>P134</t>
  </si>
  <si>
    <t>I AM BECAUSE OF YOU: THE BIOGRAPHY OF 
ACADEMICIAN PROFESSOR EMERITUS DATO' DR C. P. RAMACHANDRAN</t>
  </si>
  <si>
    <t>129</t>
  </si>
  <si>
    <t>P135</t>
  </si>
  <si>
    <t>INCREASING BROADBAND PENETRATION AND QUALITY 
OF FOR NATIONAL TRANSFORMATION. BASED ON SCIENCE, TECHNOLOGY, AND INNOVATION</t>
  </si>
  <si>
    <t>130</t>
  </si>
  <si>
    <t>P136</t>
  </si>
  <si>
    <t>INDUSTRI NADIR BUMI: MELONJAKKAN EKONOMI HIJAU 
MALAYSIA KE HADAPAN</t>
  </si>
  <si>
    <t>131</t>
  </si>
  <si>
    <t>P137</t>
  </si>
  <si>
    <t>INJECTING SOUL INTO R&amp;D</t>
  </si>
  <si>
    <t>132</t>
  </si>
  <si>
    <t>P138</t>
  </si>
  <si>
    <t>INNOVATION: APPLYING KNOWLEDGE IN DEVELOPMENT</t>
  </si>
  <si>
    <t>133</t>
  </si>
  <si>
    <t>P139</t>
  </si>
  <si>
    <t>ISTIC ANNUAL REPORT 2011</t>
  </si>
  <si>
    <t>134</t>
  </si>
  <si>
    <t>P140</t>
  </si>
  <si>
    <t>ISTIC ANNUAL REPORT 2013</t>
  </si>
  <si>
    <t>135</t>
  </si>
  <si>
    <t>P141</t>
  </si>
  <si>
    <t>JALAK BALI</t>
  </si>
  <si>
    <t>136</t>
  </si>
  <si>
    <t>P142</t>
  </si>
  <si>
    <t>JOURNAL OF SCIENCE &amp; TECHNOLOGY IN THE 
TROPICS VOL. 10  NO. 1</t>
  </si>
  <si>
    <t>137</t>
  </si>
  <si>
    <t>P143</t>
  </si>
  <si>
    <t>JOURNAL OF SCIENCE &amp; TECHNOLOGY IN THE 
TROPICS VOL. 10  NO. 2</t>
  </si>
  <si>
    <t>138</t>
  </si>
  <si>
    <t>P144</t>
  </si>
  <si>
    <t>JOURNAL OF SCIENCE &amp; TECHNOLOGY IN THE 
TROPICS VOL. 8  NO. 1</t>
  </si>
  <si>
    <t>139</t>
  </si>
  <si>
    <t>P145</t>
  </si>
  <si>
    <t>JOURNAL OF SCIENCE &amp; TECHNOLOGY IN THE 
TROPICS VOL. 8  NO. 2</t>
  </si>
  <si>
    <t>140</t>
  </si>
  <si>
    <t>P146</t>
  </si>
  <si>
    <t>JOURNAL OF SCIENCE &amp; TECHNOLOGY IN THE 
TROPICS VOL. 9  NO. 1</t>
  </si>
  <si>
    <t>141</t>
  </si>
  <si>
    <t>P147</t>
  </si>
  <si>
    <t>JOURNAL OF SCIENCE &amp; TECHNOLOGY IN THE 
TROPICS VOL. 9  NO. 2</t>
  </si>
  <si>
    <t>P148</t>
  </si>
  <si>
    <t>LANDSLIDES: HOW, WHY AND THE WAY FORWARD</t>
  </si>
  <si>
    <t>143</t>
  </si>
  <si>
    <t>P149</t>
  </si>
  <si>
    <t>LANJAK ENTIMAU WILDLIFE SANCTUARY 'HIDDEN 
JEWEL OF SARAWAK'</t>
  </si>
  <si>
    <t>P150</t>
  </si>
  <si>
    <t>MAHATHIR KEPIMPINAN DAN WAWASAN DALAM 
SAINS DAN TEKNOLOGI</t>
  </si>
  <si>
    <t>145</t>
  </si>
  <si>
    <t>P151</t>
  </si>
  <si>
    <t>MALIAU BASIN: PHYSICAL ENVIRONMENT AND 
BIOLOGICAL DIVERSITY OF THE NORTHERN RIM</t>
  </si>
  <si>
    <t>146</t>
  </si>
  <si>
    <t>P152</t>
  </si>
  <si>
    <t>MEDICAL IMAGING</t>
  </si>
  <si>
    <t>147</t>
  </si>
  <si>
    <t>P153</t>
  </si>
  <si>
    <t>MESMERIZING LINDAU PROGRAMME: 
DEDICATED TO PHYSICS</t>
  </si>
  <si>
    <t>148</t>
  </si>
  <si>
    <t>P154</t>
  </si>
  <si>
    <t>MOLECULAR EPIDEMIOLOGY AND POPULATION 
GENETICS OF TUBERCULOSIS</t>
  </si>
  <si>
    <t>149</t>
  </si>
  <si>
    <t>P155</t>
  </si>
  <si>
    <t>MOSQUITOES AND MOSQUITO-BORNE DISEASES</t>
  </si>
  <si>
    <t>P156</t>
  </si>
  <si>
    <t>MOTORCYCLE SAFETY PROGRAMME IN MALAYSIA</t>
  </si>
  <si>
    <t>151</t>
  </si>
  <si>
    <t>P157</t>
  </si>
  <si>
    <t>NATIONAL CONFERENCE ON THE IMPACT OF CLIMATE CHANGE ON WATER RESOURCES AND THEIR CONSEQUENCES TO MAJOR ECONOMIC SECTORS</t>
  </si>
  <si>
    <t>152</t>
  </si>
  <si>
    <t>P158</t>
  </si>
  <si>
    <t>NUCLEAR POWER: LOOKING TO THE FUTURE</t>
  </si>
  <si>
    <t>153</t>
  </si>
  <si>
    <t>P159</t>
  </si>
  <si>
    <t>ORGANIC SOILS OF MALAYSIA</t>
  </si>
  <si>
    <t>154</t>
  </si>
  <si>
    <t>P160</t>
  </si>
  <si>
    <t>PENGEMBARAAN MERENTASI MASA: SATU 
PERJALANAN KE ARAH HADIAH NOBEL</t>
  </si>
  <si>
    <t>155</t>
  </si>
  <si>
    <t>P161</t>
  </si>
  <si>
    <t>PORTRAIT OF A THOUSAND SMILES ACADEMICIAN 
TAN SRI DATO SERI DR SALLEH MOHD NOR AUTOBIOGRAPHY</t>
  </si>
  <si>
    <t>156</t>
  </si>
  <si>
    <t>P162</t>
  </si>
  <si>
    <t>PRIORITIZING FOOD POLICY OPTIONS TO REDUCE 
OBESITY IN MALAYSIA</t>
  </si>
  <si>
    <t>157</t>
  </si>
  <si>
    <t>P163</t>
  </si>
  <si>
    <t>PROCEEDINGS OF THE FIRST ANNIVERSARY 
PROGRAMMES</t>
  </si>
  <si>
    <t>158</t>
  </si>
  <si>
    <t>P164</t>
  </si>
  <si>
    <t>RARE EARTH INDUSTRIES: MOVING MALAYSIA'S 
GREEN ECONOMY FORWARD</t>
  </si>
  <si>
    <t>159</t>
  </si>
  <si>
    <t>P165</t>
  </si>
  <si>
    <t>RARE EARTH INDUSTRIES: MOVING MALAYSIA'S 
GREEN ECONOMY FORWARD (CINA)</t>
  </si>
  <si>
    <t>160</t>
  </si>
  <si>
    <t>P167</t>
  </si>
  <si>
    <t>RISING TO THE CHALLENGE</t>
  </si>
  <si>
    <t>161</t>
  </si>
  <si>
    <t>P168</t>
  </si>
  <si>
    <t>SCIENCE AND TECHNOLOGY IN THE TWENTY-FIRST 
CENTURY</t>
  </si>
  <si>
    <t>162</t>
  </si>
  <si>
    <t>P169</t>
  </si>
  <si>
    <t>SCIENCE FOR SOCIAL DEVELOPMENT: ISSUES AND 
CHALLENGES</t>
  </si>
  <si>
    <t>163</t>
  </si>
  <si>
    <t>P170</t>
  </si>
  <si>
    <t>SINGLE CRYSTAL X-RAY STRUCTURAL DETERMINATION: 
A POWERFUL TECHNIQUE FOR NATURAL PRODUCTS RESEARCH AND DRUG DISCOVERY</t>
  </si>
  <si>
    <t>164</t>
  </si>
  <si>
    <t>P171</t>
  </si>
  <si>
    <t>SKETCHES OF SCIENCE: PHOTO SESSIONS WITH 
NOBEL LAUREATES</t>
  </si>
  <si>
    <t>165</t>
  </si>
  <si>
    <t>P172</t>
  </si>
  <si>
    <t>SMALL FARMS IN ASIA: REVITALISING AGRICULTURAL 
PRODUCTION, FOOD SECURITY AND RURAL PROSPERITY</t>
  </si>
  <si>
    <t>166</t>
  </si>
  <si>
    <t>P173</t>
  </si>
  <si>
    <t>STATUS REPORT: SUSTAINABILITY OF MALAYSIAN 
PALM OIL INDUSTRY 2013/2014</t>
  </si>
  <si>
    <t>167</t>
  </si>
  <si>
    <t>P174</t>
  </si>
  <si>
    <t>STEM CELLS: AGEING AND REGENERATIVE MEDICINE</t>
  </si>
  <si>
    <t>P175</t>
  </si>
  <si>
    <t>STRATEGIES FOR THE SUSTAINABLE DEVELOPMENT 
AND MANAGEMENT OF GROUNDWATER RESOURCES IN MALAYSIA</t>
  </si>
  <si>
    <t>169</t>
  </si>
  <si>
    <t>P176</t>
  </si>
  <si>
    <t>STUDY ON THE STATUS OF CLIMATE CHANGE 
IMPACT ON WATER-RELATED ISSUES</t>
  </si>
  <si>
    <t>Tiada Rekod</t>
  </si>
  <si>
    <t>170</t>
  </si>
  <si>
    <t>P177</t>
  </si>
  <si>
    <t>SUSTAINABLE ENERGY IN ASIA AND THE PACIFIC: 
EMERGING TECHNOLOGIES AND RESEARCH PRIORITIES</t>
  </si>
  <si>
    <t>171</t>
  </si>
  <si>
    <t>P178</t>
  </si>
  <si>
    <t>SUSTAINABLE ENERGY OPTIONS FOR ELECTRIC 
POWER GENERATION IN PENINSULAR MALAYSIA TO 2030</t>
  </si>
  <si>
    <t>172</t>
  </si>
  <si>
    <t>P179</t>
  </si>
  <si>
    <t>SUSTAINING MALAYSIA'S FUTURE</t>
  </si>
  <si>
    <t>173</t>
  </si>
  <si>
    <t>P180</t>
  </si>
  <si>
    <t>THE 59TH LINDAU MEETING OF NOBEL PRIZE 
WINNERS WITH YOUNG SCIENTISTS: VISITS TO CENTRES OF EXCELLENCE IN GERMANY AND UNITED KINGDOM</t>
  </si>
  <si>
    <t>174</t>
  </si>
  <si>
    <t>P181</t>
  </si>
  <si>
    <t xml:space="preserve">THE DECADE OF THE MIND 2010 TO 2020: HOW 
MALAYSIAN NEUROSCIENTISTS CAN CREATE KNOWLEDGE, SKILLS AND INNOVATIVE RESEARCH TO DRIVE THE 10TH AND 11TH MALAYSIA PLAN WITHIN THE NEW ECONOMIC MODEL </t>
  </si>
  <si>
    <t>175</t>
  </si>
  <si>
    <t>P182</t>
  </si>
  <si>
    <t>THE IDEAL OIL PALM</t>
  </si>
  <si>
    <t>176</t>
  </si>
  <si>
    <t>P183</t>
  </si>
  <si>
    <t>THE IMPORTANCE OF BEING STEREOSTRUCTURED: ON 
THE MERGING OF THE SCIENCES</t>
  </si>
  <si>
    <t>177</t>
  </si>
  <si>
    <t>P184</t>
  </si>
  <si>
    <t>THE ODYSSEY OF THE ROUND WORM: 
RECENT ADVANCES</t>
  </si>
  <si>
    <t>178</t>
  </si>
  <si>
    <t>P185</t>
  </si>
  <si>
    <t>THE RED JUNGLE FOWL OF PENINSULAR MALAYSIA</t>
  </si>
  <si>
    <t>179</t>
  </si>
  <si>
    <t>P186</t>
  </si>
  <si>
    <t>THINK MALAYSIAN ACT GLOBAL ACADEMICIAN 
DATO IR LEE YEE CHEONG</t>
  </si>
  <si>
    <t>180</t>
  </si>
  <si>
    <t>P187</t>
  </si>
  <si>
    <t>TIN: AN UNDER-EXPLOITED RESOURCE IN 
NATIONAL WEALTH CREATION</t>
  </si>
  <si>
    <t>181</t>
  </si>
  <si>
    <t>P188</t>
  </si>
  <si>
    <t>TROPICAL HORTICULTURE AND GARDENING</t>
  </si>
  <si>
    <t>182</t>
  </si>
  <si>
    <t>P189</t>
  </si>
  <si>
    <t>WHAT DOES THE FUTURE LOOK LIKE? TRANSFORMATIVE 
TECHNOLOGIES AND THE GLOBAL SUSTAINABILITY MEGACRISIS</t>
  </si>
  <si>
    <t>183</t>
  </si>
  <si>
    <t>P190</t>
  </si>
  <si>
    <t>WHY STUDY SCIENCE: NOBEL PRIZE IN PHYSIOLOGY 
OR MEDICINE 1993</t>
  </si>
  <si>
    <t>184</t>
  </si>
  <si>
    <t>P191</t>
  </si>
  <si>
    <t>WORKSHOP ON THE DEVELOPMENT OF A NATIONAL 
CODE OF CONDUCT FOR BIOSECURITY IN THE FRAMEWORK OF BIOLOGICAL AND TOXIN WEAPONS CONVENTION</t>
  </si>
  <si>
    <t>185</t>
  </si>
  <si>
    <t>P192</t>
  </si>
  <si>
    <t>ESTIDOTMY 2002</t>
  </si>
  <si>
    <t>186</t>
  </si>
  <si>
    <t>P193</t>
  </si>
  <si>
    <t>ESTIDOTMY 2003</t>
  </si>
  <si>
    <t>187</t>
  </si>
  <si>
    <t>P194</t>
  </si>
  <si>
    <t>ESTIDOTMY 2004</t>
  </si>
  <si>
    <t>188</t>
  </si>
  <si>
    <t>P195</t>
  </si>
  <si>
    <t>ESTIDOTMY 2005</t>
  </si>
  <si>
    <t>189</t>
  </si>
  <si>
    <t>P196</t>
  </si>
  <si>
    <t>ESTIDOTMY 2006</t>
  </si>
  <si>
    <t>190</t>
  </si>
  <si>
    <t>P197</t>
  </si>
  <si>
    <t>STRATEGIES FOR THE SUSTAINABLE DEVELOPMENT 
AND MANAGEMENT OF LAKES AND RESERVOIRS IN MALAYSIA (VOLUME 1: MAIN REPORT)</t>
  </si>
  <si>
    <t>191</t>
  </si>
  <si>
    <t>P198</t>
  </si>
  <si>
    <t>STRATEGI PEMBANGUNAN DAN PENGURUSAN LESTARI
 BAGI TASIK DAN EMPANGAN AIR DI MALAYSIA (JILID 1: LAPORAN UTAMA)</t>
  </si>
  <si>
    <t>192</t>
  </si>
  <si>
    <t>P199</t>
  </si>
  <si>
    <t>STRATEGIES FOR THE SUSTAINABLE DEVELOPMENT 
AND MANAGEMENT OF LAKES AND RESERVOIRS IN MALAYSIA (VOLUME 2: CONCEPTUAL FRAMEWORK COMPONENT PLANS AND POSITION PAPERS)</t>
  </si>
  <si>
    <t>193</t>
  </si>
  <si>
    <t>P200</t>
  </si>
  <si>
    <t>THINK MALAYSIAN ACT GLOBAL ACADEMICIAN DATO 
IR LEE YEE CHEONG 2ND EDITION (PAPER BACK)</t>
  </si>
  <si>
    <t>194</t>
  </si>
  <si>
    <t>P201</t>
  </si>
  <si>
    <t>BASIC SCIENCE THE HOPE OF PROGRESS</t>
  </si>
  <si>
    <t>195</t>
  </si>
  <si>
    <t>P202</t>
  </si>
  <si>
    <t>ANIMAL FEEDSTUFFS IN MALAYSIA: ISSUES, 
STRATEGIES AND OPPORTUNITIES</t>
  </si>
  <si>
    <t>196</t>
  </si>
  <si>
    <t>P203</t>
  </si>
  <si>
    <t>CHANGING FOREST LANDSCAPE: IMPACT ON RURAL HEALTH</t>
  </si>
  <si>
    <t>197</t>
  </si>
  <si>
    <t>P204</t>
  </si>
  <si>
    <t>INTEGRATED TREE CROPS-RUMINANT SYSTEMS</t>
  </si>
  <si>
    <t>198</t>
  </si>
  <si>
    <t>P205</t>
  </si>
  <si>
    <t>BENCANA TSUNAMI 26.12.04 DI MALAYSIA</t>
  </si>
  <si>
    <t>199</t>
  </si>
  <si>
    <t>P206</t>
  </si>
  <si>
    <t>MALAYSIAN SCIENCE &amp; TECHNOLOGY CONVENTION 
(MASTEC)</t>
  </si>
  <si>
    <t>200</t>
  </si>
  <si>
    <t>P207</t>
  </si>
  <si>
    <t>PORTRAIT OF THE GLOBAL RUBBER INDUSTRY</t>
  </si>
  <si>
    <t>201</t>
  </si>
  <si>
    <t>P208</t>
  </si>
  <si>
    <t>GROUNDWATER WORKSHOP PROCEEDING: 
GROUNDWATER IN THE CONTEXT OF IWRM</t>
  </si>
  <si>
    <t>202</t>
  </si>
  <si>
    <t>P209</t>
  </si>
  <si>
    <t>NATIONAL COLLOQUIUM ON WATER DEMAND 
MANAGEMENT</t>
  </si>
  <si>
    <t>203</t>
  </si>
  <si>
    <t>P210</t>
  </si>
  <si>
    <t>THE MYTH OF DATO' ONN JAAFAR</t>
  </si>
  <si>
    <t>204</t>
  </si>
  <si>
    <t>P211</t>
  </si>
  <si>
    <t>A NEW BREEZE IN MALAYSIA POLITICS: 
ABDULLAH AHMAD BADAWI</t>
  </si>
  <si>
    <t>205</t>
  </si>
  <si>
    <t>P212</t>
  </si>
  <si>
    <t>DATUK SERI NAJIB: MALAYSIA'S FIRST POLITICAL 
BLUE BLOOD</t>
  </si>
  <si>
    <t>206</t>
  </si>
  <si>
    <t>P213</t>
  </si>
  <si>
    <t>CHALLENGES IN BIODIVERSITY CONSERVATION IN 
MALAYSIA</t>
  </si>
  <si>
    <t>207</t>
  </si>
  <si>
    <t>P214</t>
  </si>
  <si>
    <t>ORGANOMETALLICS FOR ALL SEASONS?</t>
  </si>
  <si>
    <t>208</t>
  </si>
  <si>
    <t>P215</t>
  </si>
  <si>
    <t>STRATEGIES FOR THE SUSTAINABLE DEVELOPMENT 
AND MANAGEMENT OF LAKES AND RESERVOIRS IN MALAYSIA (VOLUME 3: PART 1 &amp; PART 2)</t>
  </si>
  <si>
    <t>209</t>
  </si>
  <si>
    <t>P216</t>
  </si>
  <si>
    <t>ENHANCING ANIMAL PROTEIN SUPPLIES IN MALAYSIA:
 OPPORTUNITIES AND CHALLENDES</t>
  </si>
  <si>
    <t>210</t>
  </si>
  <si>
    <t>P217</t>
  </si>
  <si>
    <t>HARNESSING SCIENCE &amp; TECHNOLOGY FOR 
THE SEVENTH MALAYSIA PLAN</t>
  </si>
  <si>
    <t>211</t>
  </si>
  <si>
    <t>P218</t>
  </si>
  <si>
    <t>NANOTECH MALAYSIA 2007</t>
  </si>
  <si>
    <t>212</t>
  </si>
  <si>
    <t>P219</t>
  </si>
  <si>
    <t>THE 26.12.04 TSUNAMI DISASTER IN MALAYSIA</t>
  </si>
  <si>
    <t>213</t>
  </si>
  <si>
    <t>P220</t>
  </si>
  <si>
    <t>SEISMIC AND TSUNAMI HAZARDS AND RISK 
IN MALAYSIA</t>
  </si>
  <si>
    <t>214</t>
  </si>
  <si>
    <t>P221</t>
  </si>
  <si>
    <t>ANNUAL REPORT 2016</t>
  </si>
  <si>
    <t>215</t>
  </si>
  <si>
    <t>P222</t>
  </si>
  <si>
    <t>60TH MEETING OF NOBEL LAUREATES AT LINDAU 
RETROSPECTS AND PROSPECT 2010</t>
  </si>
  <si>
    <t>216</t>
  </si>
  <si>
    <t>P223</t>
  </si>
  <si>
    <t>ISTIC ANNUAL REPORT 2019</t>
  </si>
  <si>
    <t>217</t>
  </si>
  <si>
    <t>P224</t>
  </si>
  <si>
    <t>ISTIC ANNUAL REPORT 2018</t>
  </si>
  <si>
    <t>P225</t>
  </si>
  <si>
    <t>ISTIC ANNUAL REPORT 2017</t>
  </si>
  <si>
    <t>219</t>
  </si>
  <si>
    <t>P226</t>
  </si>
  <si>
    <t>ISTIC ANNUAL REPORT 2016</t>
  </si>
  <si>
    <t>220</t>
  </si>
  <si>
    <t>P227</t>
  </si>
  <si>
    <t>ISTIC ANNUAL REPORT 2015</t>
  </si>
  <si>
    <t>221</t>
  </si>
  <si>
    <t>P228</t>
  </si>
  <si>
    <t>ISTIC ANNUAL REPORT 2014</t>
  </si>
  <si>
    <t>222</t>
  </si>
  <si>
    <t>P229</t>
  </si>
  <si>
    <t>ISTIC ANNUAL REPORT 2012</t>
  </si>
  <si>
    <t>223</t>
  </si>
  <si>
    <t>P230</t>
  </si>
  <si>
    <t>ISTIC ANNUAL REPORT 2010</t>
  </si>
  <si>
    <t>2011</t>
  </si>
  <si>
    <t>224</t>
  </si>
  <si>
    <t>P231</t>
  </si>
  <si>
    <t>ISTIC ANNUAL REPORT 2009</t>
  </si>
  <si>
    <t>2010</t>
  </si>
  <si>
    <t>225</t>
  </si>
  <si>
    <t>P232</t>
  </si>
  <si>
    <t>THE ROLE OF GENDER BASED INNOVATIONS FOR THE UN SUSTAINABLE DEVELOPMENT GOALS (EDITION 1) (WISET CENTRE FOR WOMEN IN SCIENCE, ENGINEERING AND TECHNOLOGY/PORTIA)</t>
  </si>
  <si>
    <t>226</t>
  </si>
  <si>
    <t>P233</t>
  </si>
  <si>
    <t>PENDIDIKAN UMUM BAHAYA TSUNAMI LAUT CHINA SELATAN (UNESCO/INTERGOVERNMENTAL OCEANOGRAPHIC COMMISION/INDIAN OCEAN TSUNAMI INFORMATION CENTRE)</t>
  </si>
  <si>
    <t>227</t>
  </si>
  <si>
    <t>P234</t>
  </si>
  <si>
    <t>INNOVATIONS IN SCIENCE AND TECHNOLOGY IN DEVELOPING COUNTRIES (VOLUME 2)</t>
  </si>
  <si>
    <t>228</t>
  </si>
  <si>
    <t>P235</t>
  </si>
  <si>
    <t>IN PURSUIT OF SCIENCE, TECHNOLOGY &amp; INNOVATION THREE DECADES OF NAM S&amp;T CENTRE (NAM S&amp;T CENTRE)</t>
  </si>
  <si>
    <t>229</t>
  </si>
  <si>
    <t>P236</t>
  </si>
  <si>
    <t>MALAYSIA: 50 YEARS OF MEMBERSHIP IN UNESCO (MALAYSIAN NATIONAL COMMISION FOR UNESCO/MOE)</t>
  </si>
  <si>
    <t>2008</t>
  </si>
  <si>
    <t>230</t>
  </si>
  <si>
    <t>P237</t>
  </si>
  <si>
    <t>1001 INVENTIONS MUSLIM HERITAGE IN OUR WORLD (2ND EDITION) (FOUNDATION FOR SCIENCE, TECHNOLOGY AND CIVILIZATION)</t>
  </si>
  <si>
    <t>2007</t>
  </si>
  <si>
    <t>231</t>
  </si>
  <si>
    <t>P238</t>
  </si>
  <si>
    <t xml:space="preserve">2023 KISTEP-ISTIC STI TRAINING PROGRAM FOR HIGH LEVEL POLICY MAKERS </t>
  </si>
  <si>
    <t>232</t>
  </si>
  <si>
    <t>P239</t>
  </si>
  <si>
    <t>SETAHUN BERSAMA KERAJAAN MADANI (JABATAN PERDANA MENTERI)</t>
  </si>
  <si>
    <t>233</t>
  </si>
  <si>
    <t>P240</t>
  </si>
  <si>
    <t>KHAZANAH PERUBATAN MELAYU: TUMBUHAN UBATAN JILID 1</t>
  </si>
  <si>
    <t>2020 (CETAKAN KEDUA)</t>
  </si>
  <si>
    <t>234</t>
  </si>
  <si>
    <t>P241</t>
  </si>
  <si>
    <t>KHAZANAH PERUBATAN MELAYU: TUMBUHAN UBATAN JILID 2</t>
  </si>
  <si>
    <t>235</t>
  </si>
  <si>
    <t>P242</t>
  </si>
  <si>
    <t>KHAZANAH PERUBATAN MELAYU: TUMBUHAN UBATAN JILID 3</t>
  </si>
  <si>
    <t>2019 (CETAKAN PERTAMA)</t>
  </si>
  <si>
    <t>236</t>
  </si>
  <si>
    <t>P243</t>
  </si>
  <si>
    <t>KHAZANAH PERUBATAN MELAYU: TUMBUHAN UBATAN JILID 4</t>
  </si>
  <si>
    <t>2022 (CETAKAN PERTAMA)</t>
  </si>
  <si>
    <t>237</t>
  </si>
  <si>
    <t>P244</t>
  </si>
  <si>
    <t>KITAB TIB MSS 1991 PNM: EDISI DAN ANALISIS TEKS (FRIM)</t>
  </si>
  <si>
    <t>238</t>
  </si>
  <si>
    <t>P245</t>
  </si>
  <si>
    <t>SMART GREEN CIVILIZATIONS: ANCIENT CHINA (THE ENERGY AND RESOURCES INSTITUTE INDIA)</t>
  </si>
  <si>
    <t>239</t>
  </si>
  <si>
    <t>P246</t>
  </si>
  <si>
    <t>SMART GREEN CIVILIZATIONS: ANCIENT MESOPOTAMIA (THE ENERGY AND RESOURCES INSTITUTE INDIA)</t>
  </si>
  <si>
    <t>240</t>
  </si>
  <si>
    <t>P247</t>
  </si>
  <si>
    <t>SMART GREEN CIVILIZATIONS: ANCIENT EGYPT (THE ENERGY AND RESOURCES INSTITUTE INDIA)</t>
  </si>
  <si>
    <t>241</t>
  </si>
  <si>
    <t>P248</t>
  </si>
  <si>
    <t>SMART GREEN CIVILIZATIONS: INDUS VALLEY (THE ENERGY AND RESOURCES INSTITUTE INDIA)</t>
  </si>
  <si>
    <t>242</t>
  </si>
  <si>
    <t>P249</t>
  </si>
  <si>
    <t>SMART GREEN CIVILIZATIONS: ANCIENT GREECE (THE ENERGY AND RESOURCES INSTITUTE INDIA)</t>
  </si>
  <si>
    <t>243</t>
  </si>
  <si>
    <t>P250</t>
  </si>
  <si>
    <t>SMART GREEN CIVILIZATIONS: ANCIENT AMERICA (THE ENERGY AND RESOURCES INSTITUTE INDIA)</t>
  </si>
  <si>
    <t>244</t>
  </si>
  <si>
    <t>P251</t>
  </si>
  <si>
    <t>SMART GREEN CIVILIZATIONS: ANCIENT ROME (THE ENERGY AND RESOURCES INSTITUTE INDIA)</t>
  </si>
  <si>
    <t>245</t>
  </si>
  <si>
    <t>P252</t>
  </si>
  <si>
    <t>CURRICULUM DESIGN FOR ELECTIVE CORES ON HISTORY OF SCIENCE, TECHNOLOGY, ENGINEERING &amp; MATHEMATICS (STEM) IN MUSLIM COUNTRIES FOR UNIVERSITIES IN MALAYSIA (1 COMB BINDING)</t>
  </si>
  <si>
    <t>246</t>
  </si>
  <si>
    <t>P253</t>
  </si>
  <si>
    <t>FINAL REPORT: TRAINING WORKSHOP ON STI POLICY: EMBRACING STRUCTRED INNOVATION FOR SOCIOECONOMIC TRANSFORMATION</t>
  </si>
  <si>
    <t>247</t>
  </si>
  <si>
    <t>P254</t>
  </si>
  <si>
    <t>WHEN THE EARTH RUMBLES (LA MAIN ALA PARTE)</t>
  </si>
  <si>
    <t>558</t>
  </si>
  <si>
    <t>P255</t>
  </si>
  <si>
    <t>1,2,3... CODE! (LA MAIN ALA PARTE)</t>
  </si>
  <si>
    <t>794</t>
  </si>
  <si>
    <t>249</t>
  </si>
  <si>
    <t>P256</t>
  </si>
  <si>
    <t>INNOVATIONS IN SCIENCE AND TECHNOLOGY IN DEVELOPING COUNTRIES (VOLUME 3)</t>
  </si>
  <si>
    <t>710</t>
  </si>
  <si>
    <t>250</t>
  </si>
  <si>
    <t>P257</t>
  </si>
  <si>
    <t>INNOVATIONS IN SCIENCE AND TECHNOLOGY IN DEVELOPING COUNTRIES (VOLUME 1)</t>
  </si>
  <si>
    <t>251</t>
  </si>
  <si>
    <t>P258</t>
  </si>
  <si>
    <t>THE DISCOVERIES IN ISLAMIC COUNTRIES</t>
  </si>
  <si>
    <t>2009</t>
  </si>
  <si>
    <t>252</t>
  </si>
  <si>
    <t>P259</t>
  </si>
  <si>
    <t>PENDIDIKAN UMUM TSUNAMI LAUTAN LUAS LAUTAN HINDI (UNESCO/INTERGOVERNMENTAL OCEANOGRAPHIC COMMISION/INDIAN OCEAN TSUNAMI INFORMATION CENTRE)</t>
  </si>
  <si>
    <t>N/A</t>
  </si>
  <si>
    <t>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</si>
</sst>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;[Red]0"/>
    <numFmt numFmtId="166" formatCode="_-* #,##0_-;\-* #,##0_-;_-* &quot;-&quot;??_-;_-@_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u/>
      <sz val="12"/>
      <color theme="1"/>
      <name val="Century Gothic"/>
      <family val="2"/>
    </font>
    <font>
      <sz val="12"/>
      <name val="Century Gothic"/>
      <family val="2"/>
    </font>
    <font>
      <sz val="11"/>
      <color theme="1"/>
      <name val="Bierstadt"/>
      <family val="2"/>
    </font>
    <font>
      <sz val="11"/>
      <color rgb="FFFF0000"/>
      <name val="Bierstadt"/>
      <family val="2"/>
    </font>
    <font>
      <sz val="12"/>
      <name val="Century Gothic"/>
      <family val="1"/>
    </font>
    <font>
      <b/>
      <sz val="12"/>
      <color theme="1"/>
      <name val="Century Gothic"/>
      <family val="1"/>
    </font>
    <font>
      <b/>
      <u/>
      <sz val="12"/>
      <color theme="1"/>
      <name val="Century Gothic"/>
      <family val="1"/>
    </font>
    <font>
      <b/>
      <sz val="12"/>
      <name val="Century Gothic"/>
      <family val="1"/>
    </font>
    <font>
      <b/>
      <sz val="14"/>
      <name val="Century Gothic"/>
      <family val="1"/>
    </font>
    <font>
      <b/>
      <sz val="14"/>
      <color theme="1"/>
      <name val="Century Gothic"/>
      <family val="1"/>
    </font>
    <font>
      <b/>
      <sz val="12"/>
      <name val="Century Gothic"/>
      <family val="2"/>
    </font>
    <font>
      <b/>
      <sz val="11"/>
      <color theme="1"/>
      <name val="Bierstadt"/>
      <family val="2"/>
    </font>
    <font>
      <sz val="8"/>
      <name val="Aptos Narrow"/>
      <family val="2"/>
      <scheme val="minor"/>
    </font>
    <font>
      <sz val="11"/>
      <color theme="1"/>
      <name val="Bierstadt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8" tint="0.59999389629810485"/>
      </left>
      <right style="thin">
        <color indexed="64"/>
      </right>
      <top/>
      <bottom style="thin">
        <color indexed="64"/>
      </bottom>
      <diagonal/>
    </border>
    <border>
      <left style="thin">
        <color theme="8" tint="0.5999938962981048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59999389629810485"/>
      </left>
      <right style="thin">
        <color indexed="64"/>
      </right>
      <top/>
      <bottom/>
      <diagonal/>
    </border>
    <border>
      <left style="thin">
        <color theme="8" tint="0.59999389629810485"/>
      </left>
      <right style="thin">
        <color indexed="64"/>
      </right>
      <top style="thin">
        <color rgb="FF000000"/>
      </top>
      <bottom/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5" borderId="2" xfId="1" applyFont="1" applyFill="1" applyBorder="1" applyAlignment="1">
      <alignment horizontal="center" vertical="center"/>
    </xf>
    <xf numFmtId="164" fontId="5" fillId="6" borderId="2" xfId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4" fontId="3" fillId="0" borderId="0" xfId="1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0" fontId="0" fillId="2" borderId="0" xfId="0" applyFill="1"/>
    <xf numFmtId="49" fontId="6" fillId="0" borderId="6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/>
    </xf>
    <xf numFmtId="164" fontId="8" fillId="6" borderId="2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164" fontId="8" fillId="6" borderId="4" xfId="1" applyFont="1" applyFill="1" applyBorder="1" applyAlignment="1">
      <alignment horizontal="center" vertical="center"/>
    </xf>
    <xf numFmtId="0" fontId="0" fillId="0" borderId="10" xfId="0" applyBorder="1"/>
    <xf numFmtId="164" fontId="8" fillId="6" borderId="11" xfId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4" fontId="5" fillId="5" borderId="4" xfId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8" fillId="2" borderId="2" xfId="1" applyNumberFormat="1" applyFont="1" applyFill="1" applyBorder="1" applyAlignment="1">
      <alignment horizontal="center" vertical="center"/>
    </xf>
    <xf numFmtId="0" fontId="8" fillId="2" borderId="4" xfId="1" applyNumberFormat="1" applyFont="1" applyFill="1" applyBorder="1" applyAlignment="1">
      <alignment horizontal="center" vertical="center"/>
    </xf>
    <xf numFmtId="0" fontId="8" fillId="2" borderId="11" xfId="1" applyNumberFormat="1" applyFont="1" applyFill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center" vertical="center"/>
    </xf>
    <xf numFmtId="0" fontId="8" fillId="0" borderId="0" xfId="1" applyNumberFormat="1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64" fontId="8" fillId="0" borderId="0" xfId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1" fillId="0" borderId="0" xfId="1" applyNumberFormat="1" applyFont="1" applyBorder="1" applyAlignment="1">
      <alignment horizontal="center" vertical="center"/>
    </xf>
    <xf numFmtId="0" fontId="11" fillId="0" borderId="13" xfId="1" applyNumberFormat="1" applyFont="1" applyBorder="1" applyAlignment="1">
      <alignment horizontal="center" vertical="center"/>
    </xf>
    <xf numFmtId="164" fontId="11" fillId="0" borderId="13" xfId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8" fillId="6" borderId="20" xfId="1" applyFont="1" applyFill="1" applyBorder="1" applyAlignment="1">
      <alignment horizontal="center" vertical="center"/>
    </xf>
    <xf numFmtId="164" fontId="8" fillId="6" borderId="21" xfId="1" applyFont="1" applyFill="1" applyBorder="1" applyAlignment="1">
      <alignment horizontal="center" vertical="center"/>
    </xf>
    <xf numFmtId="164" fontId="8" fillId="6" borderId="19" xfId="1" applyFont="1" applyFill="1" applyBorder="1" applyAlignment="1">
      <alignment horizontal="center" vertical="center"/>
    </xf>
    <xf numFmtId="164" fontId="5" fillId="6" borderId="4" xfId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4" fontId="5" fillId="6" borderId="22" xfId="1" applyFont="1" applyFill="1" applyBorder="1" applyAlignment="1">
      <alignment horizontal="center" vertical="center"/>
    </xf>
    <xf numFmtId="164" fontId="8" fillId="5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8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11" fillId="0" borderId="13" xfId="1" applyNumberFormat="1" applyFont="1" applyBorder="1" applyAlignment="1">
      <alignment horizontal="center" vertical="center"/>
    </xf>
    <xf numFmtId="1" fontId="8" fillId="0" borderId="0" xfId="1" applyNumberFormat="1" applyFont="1" applyAlignment="1">
      <alignment horizontal="center" vertical="center"/>
    </xf>
    <xf numFmtId="1" fontId="0" fillId="0" borderId="0" xfId="0" applyNumberFormat="1"/>
    <xf numFmtId="1" fontId="6" fillId="0" borderId="6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23" xfId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164" fontId="11" fillId="0" borderId="23" xfId="1" applyFont="1" applyFill="1" applyBorder="1" applyAlignment="1">
      <alignment horizontal="center" vertical="center"/>
    </xf>
    <xf numFmtId="165" fontId="11" fillId="0" borderId="2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horizontal="center" vertical="center"/>
    </xf>
    <xf numFmtId="165" fontId="11" fillId="0" borderId="26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6" fontId="11" fillId="0" borderId="0" xfId="1" applyNumberFormat="1" applyFont="1" applyBorder="1" applyAlignment="1">
      <alignment horizontal="center" vertical="center"/>
    </xf>
    <xf numFmtId="1" fontId="11" fillId="0" borderId="0" xfId="1" applyNumberFormat="1" applyFont="1" applyBorder="1" applyAlignment="1">
      <alignment horizontal="center" vertical="center"/>
    </xf>
    <xf numFmtId="49" fontId="11" fillId="0" borderId="29" xfId="1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 wrapText="1"/>
    </xf>
    <xf numFmtId="164" fontId="11" fillId="0" borderId="23" xfId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11" fillId="0" borderId="16" xfId="1" applyFont="1" applyBorder="1" applyAlignment="1">
      <alignment horizontal="center" vertical="center"/>
    </xf>
    <xf numFmtId="164" fontId="11" fillId="0" borderId="14" xfId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2" fontId="5" fillId="6" borderId="2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164" fontId="3" fillId="6" borderId="1" xfId="1" applyFont="1" applyFill="1" applyBorder="1" applyAlignment="1">
      <alignment horizontal="right" vertical="center" wrapText="1"/>
    </xf>
    <xf numFmtId="164" fontId="9" fillId="6" borderId="1" xfId="1" applyFont="1" applyFill="1" applyBorder="1" applyAlignment="1">
      <alignment horizontal="right" vertical="center" wrapText="1"/>
    </xf>
    <xf numFmtId="164" fontId="5" fillId="6" borderId="2" xfId="1" applyFont="1" applyFill="1" applyBorder="1" applyAlignment="1">
      <alignment horizontal="right" vertical="center"/>
    </xf>
    <xf numFmtId="164" fontId="8" fillId="6" borderId="2" xfId="1" applyFont="1" applyFill="1" applyBorder="1" applyAlignment="1">
      <alignment horizontal="right" vertical="center"/>
    </xf>
    <xf numFmtId="164" fontId="11" fillId="0" borderId="16" xfId="1" applyFont="1" applyBorder="1" applyAlignment="1">
      <alignment horizontal="right" vertical="center"/>
    </xf>
    <xf numFmtId="164" fontId="11" fillId="0" borderId="23" xfId="1" applyFont="1" applyBorder="1" applyAlignment="1">
      <alignment horizontal="right" vertical="center"/>
    </xf>
    <xf numFmtId="164" fontId="8" fillId="0" borderId="0" xfId="1" applyFont="1" applyFill="1" applyBorder="1" applyAlignment="1">
      <alignment horizontal="right" vertical="center"/>
    </xf>
    <xf numFmtId="164" fontId="8" fillId="0" borderId="0" xfId="1" applyFont="1" applyAlignment="1">
      <alignment horizontal="right" vertical="center"/>
    </xf>
    <xf numFmtId="164" fontId="5" fillId="0" borderId="0" xfId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3" fillId="6" borderId="1" xfId="0" applyFont="1" applyFill="1" applyBorder="1" applyAlignment="1">
      <alignment horizontal="right" vertical="center" wrapText="1"/>
    </xf>
    <xf numFmtId="2" fontId="8" fillId="6" borderId="2" xfId="1" applyNumberFormat="1" applyFont="1" applyFill="1" applyBorder="1" applyAlignment="1">
      <alignment horizontal="right" vertical="center"/>
    </xf>
    <xf numFmtId="2" fontId="8" fillId="6" borderId="4" xfId="1" applyNumberFormat="1" applyFont="1" applyFill="1" applyBorder="1" applyAlignment="1">
      <alignment horizontal="right" vertical="center"/>
    </xf>
    <xf numFmtId="164" fontId="11" fillId="0" borderId="14" xfId="1" applyFont="1" applyBorder="1" applyAlignment="1">
      <alignment horizontal="right" vertical="center"/>
    </xf>
    <xf numFmtId="164" fontId="11" fillId="0" borderId="0" xfId="1" applyFont="1" applyBorder="1" applyAlignment="1">
      <alignment horizontal="right" vertical="center"/>
    </xf>
    <xf numFmtId="2" fontId="5" fillId="0" borderId="0" xfId="1" applyNumberFormat="1" applyFont="1" applyFill="1" applyBorder="1" applyAlignment="1">
      <alignment horizontal="right" vertical="center"/>
    </xf>
    <xf numFmtId="164" fontId="11" fillId="0" borderId="0" xfId="1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5" fillId="7" borderId="0" xfId="1" applyFont="1" applyFill="1" applyBorder="1" applyAlignment="1">
      <alignment horizontal="center" vertical="center"/>
    </xf>
    <xf numFmtId="164" fontId="8" fillId="6" borderId="0" xfId="1" applyFont="1" applyFill="1" applyBorder="1" applyAlignment="1">
      <alignment horizontal="center" vertical="center"/>
    </xf>
    <xf numFmtId="164" fontId="5" fillId="6" borderId="0" xfId="1" applyFont="1" applyFill="1" applyBorder="1" applyAlignment="1">
      <alignment horizontal="right" vertical="center"/>
    </xf>
    <xf numFmtId="164" fontId="8" fillId="6" borderId="0" xfId="1" applyFont="1" applyFill="1" applyBorder="1" applyAlignment="1">
      <alignment horizontal="right" vertical="center"/>
    </xf>
    <xf numFmtId="2" fontId="8" fillId="6" borderId="0" xfId="1" applyNumberFormat="1" applyFont="1" applyFill="1" applyBorder="1" applyAlignment="1">
      <alignment horizontal="right" vertical="center"/>
    </xf>
    <xf numFmtId="1" fontId="5" fillId="0" borderId="0" xfId="0" applyNumberFormat="1" applyFont="1" applyAlignment="1">
      <alignment horizontal="center" vertical="center"/>
    </xf>
    <xf numFmtId="2" fontId="5" fillId="6" borderId="0" xfId="1" applyNumberFormat="1" applyFont="1" applyFill="1" applyBorder="1" applyAlignment="1">
      <alignment horizontal="right" vertical="center"/>
    </xf>
    <xf numFmtId="164" fontId="5" fillId="6" borderId="0" xfId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8" fillId="2" borderId="0" xfId="1" applyNumberFormat="1" applyFont="1" applyFill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49" fontId="6" fillId="2" borderId="30" xfId="0" applyNumberFormat="1" applyFont="1" applyFill="1" applyBorder="1" applyAlignment="1">
      <alignment horizontal="center" vertical="center" wrapText="1"/>
    </xf>
    <xf numFmtId="164" fontId="3" fillId="0" borderId="30" xfId="1" applyFont="1" applyFill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0" fillId="0" borderId="30" xfId="0" applyBorder="1"/>
    <xf numFmtId="0" fontId="0" fillId="0" borderId="30" xfId="0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5" fillId="5" borderId="32" xfId="1" applyFont="1" applyFill="1" applyBorder="1" applyAlignment="1">
      <alignment horizontal="center" vertical="center"/>
    </xf>
    <xf numFmtId="164" fontId="5" fillId="5" borderId="33" xfId="1" applyFont="1" applyFill="1" applyBorder="1" applyAlignment="1">
      <alignment horizontal="center" vertical="center"/>
    </xf>
    <xf numFmtId="164" fontId="8" fillId="5" borderId="32" xfId="1" applyFont="1" applyFill="1" applyBorder="1" applyAlignment="1">
      <alignment horizontal="center" vertical="center"/>
    </xf>
    <xf numFmtId="164" fontId="5" fillId="5" borderId="34" xfId="1" applyFont="1" applyFill="1" applyBorder="1" applyAlignment="1">
      <alignment horizontal="center" vertical="center"/>
    </xf>
    <xf numFmtId="164" fontId="5" fillId="7" borderId="35" xfId="1" applyFont="1" applyFill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64" fontId="5" fillId="6" borderId="38" xfId="1" applyFont="1" applyFill="1" applyBorder="1" applyAlignment="1">
      <alignment horizontal="right" vertical="center"/>
    </xf>
    <xf numFmtId="164" fontId="5" fillId="6" borderId="31" xfId="1" applyFont="1" applyFill="1" applyBorder="1" applyAlignment="1">
      <alignment horizontal="right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17" fillId="2" borderId="30" xfId="0" applyNumberFormat="1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wrapText="1"/>
    </xf>
    <xf numFmtId="164" fontId="5" fillId="5" borderId="0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3" fillId="5" borderId="1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9A50-4639-46BC-B597-8FA36AE6AEEE}">
  <sheetPr>
    <pageSetUpPr fitToPage="1"/>
  </sheetPr>
  <dimension ref="A1:CF297"/>
  <sheetViews>
    <sheetView tabSelected="1" zoomScale="55" zoomScaleNormal="55" workbookViewId="0">
      <pane xSplit="3" topLeftCell="AT18" activePane="topRight" state="frozen"/>
      <selection pane="topRight" activeCell="C19" sqref="C19"/>
      <selection activeCell="C1" sqref="C1"/>
    </sheetView>
  </sheetViews>
  <sheetFormatPr defaultColWidth="9.140625" defaultRowHeight="14.45"/>
  <cols>
    <col min="1" max="1" width="12.28515625" customWidth="1"/>
    <col min="2" max="2" width="18.42578125" customWidth="1"/>
    <col min="3" max="3" width="55.28515625" customWidth="1"/>
    <col min="4" max="4" width="41.7109375" customWidth="1"/>
    <col min="5" max="5" width="20" hidden="1" customWidth="1"/>
    <col min="6" max="6" width="13.42578125" hidden="1" customWidth="1"/>
    <col min="7" max="7" width="35.7109375" hidden="1" customWidth="1"/>
    <col min="8" max="8" width="11" customWidth="1"/>
    <col min="9" max="9" width="17.42578125" customWidth="1"/>
    <col min="10" max="10" width="6.42578125" hidden="1" customWidth="1"/>
    <col min="11" max="11" width="14.140625" hidden="1" customWidth="1"/>
    <col min="12" max="12" width="7.7109375" hidden="1" customWidth="1"/>
    <col min="13" max="14" width="8" hidden="1" customWidth="1"/>
    <col min="15" max="15" width="14.42578125" hidden="1" customWidth="1"/>
    <col min="16" max="16" width="6.42578125" hidden="1" customWidth="1"/>
    <col min="17" max="17" width="14.140625" hidden="1" customWidth="1"/>
    <col min="18" max="18" width="7.7109375" hidden="1" customWidth="1"/>
    <col min="19" max="20" width="8" hidden="1" customWidth="1"/>
    <col min="21" max="21" width="12.28515625" hidden="1" customWidth="1"/>
    <col min="22" max="22" width="9.140625" hidden="1" customWidth="1"/>
    <col min="23" max="23" width="13.42578125" hidden="1" customWidth="1"/>
    <col min="24" max="26" width="9.140625" hidden="1" customWidth="1"/>
    <col min="27" max="27" width="14.140625" hidden="1" customWidth="1"/>
    <col min="28" max="28" width="13.7109375" customWidth="1"/>
    <col min="29" max="29" width="15.42578125" style="124" customWidth="1"/>
    <col min="30" max="30" width="9.7109375" customWidth="1"/>
    <col min="31" max="31" width="9.85546875" customWidth="1"/>
    <col min="32" max="32" width="9.42578125" style="124" customWidth="1"/>
    <col min="33" max="33" width="15.85546875" style="124" customWidth="1"/>
    <col min="34" max="34" width="14.28515625" customWidth="1"/>
    <col min="35" max="35" width="16" style="124" customWidth="1"/>
    <col min="36" max="36" width="10.85546875" customWidth="1"/>
    <col min="37" max="37" width="10.140625" customWidth="1"/>
    <col min="38" max="38" width="13.85546875" style="124" customWidth="1"/>
    <col min="39" max="39" width="17.140625" style="124" customWidth="1"/>
    <col min="40" max="40" width="15" style="79" customWidth="1"/>
    <col min="41" max="41" width="14.5703125" customWidth="1"/>
    <col min="45" max="45" width="16.7109375" customWidth="1"/>
    <col min="46" max="46" width="16.28515625" customWidth="1"/>
    <col min="47" max="47" width="13.42578125" bestFit="1" customWidth="1"/>
    <col min="51" max="51" width="12.28515625" bestFit="1" customWidth="1"/>
    <col min="52" max="52" width="15.85546875" customWidth="1"/>
    <col min="53" max="53" width="13.42578125" bestFit="1" customWidth="1"/>
    <col min="57" max="57" width="10.42578125" customWidth="1"/>
    <col min="58" max="58" width="15.28515625" customWidth="1"/>
    <col min="59" max="59" width="13.42578125" bestFit="1" customWidth="1"/>
    <col min="63" max="63" width="12.28515625" bestFit="1" customWidth="1"/>
    <col min="64" max="64" width="12.85546875" customWidth="1"/>
    <col min="65" max="65" width="13.42578125" bestFit="1" customWidth="1"/>
    <col min="69" max="69" width="12.28515625" bestFit="1" customWidth="1"/>
    <col min="70" max="70" width="12.85546875" customWidth="1"/>
    <col min="71" max="71" width="13.42578125" bestFit="1" customWidth="1"/>
    <col min="75" max="75" width="10.85546875" customWidth="1"/>
    <col min="76" max="76" width="14.85546875" customWidth="1"/>
    <col min="77" max="77" width="13.42578125" bestFit="1" customWidth="1"/>
    <col min="81" max="81" width="12.28515625" bestFit="1" customWidth="1"/>
    <col min="82" max="82" width="13.140625" customWidth="1"/>
    <col min="83" max="83" width="14.85546875" customWidth="1"/>
  </cols>
  <sheetData>
    <row r="1" spans="1:84" ht="27.6" customHeight="1">
      <c r="A1" s="1"/>
      <c r="B1" s="188" t="s">
        <v>0</v>
      </c>
      <c r="C1" s="188"/>
      <c r="D1" s="188"/>
      <c r="E1" s="188"/>
      <c r="F1" s="188"/>
      <c r="G1" s="188"/>
      <c r="H1" s="188"/>
      <c r="I1" s="18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13"/>
      <c r="AD1" s="3"/>
      <c r="AE1" s="3"/>
      <c r="AF1" s="113"/>
      <c r="AG1" s="114"/>
      <c r="AH1" s="55"/>
      <c r="AI1" s="113"/>
      <c r="AJ1" s="3"/>
      <c r="AK1" s="3"/>
      <c r="AL1" s="113"/>
      <c r="AM1" s="125"/>
      <c r="AN1" s="75"/>
      <c r="AO1" s="1"/>
      <c r="AP1" s="4"/>
      <c r="AQ1" s="4"/>
      <c r="AR1" s="182" t="s">
        <v>1</v>
      </c>
      <c r="AS1" s="182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82" t="s">
        <v>1</v>
      </c>
      <c r="BK1" s="182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5"/>
    </row>
    <row r="2" spans="1:84" ht="27.6" customHeight="1">
      <c r="A2" s="1"/>
      <c r="B2" s="19"/>
      <c r="C2" s="19"/>
      <c r="D2" s="19"/>
      <c r="E2" s="19"/>
      <c r="F2" s="19"/>
      <c r="G2" s="19"/>
      <c r="H2" s="19"/>
      <c r="I2" s="1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113"/>
      <c r="AD2" s="3"/>
      <c r="AE2" s="3"/>
      <c r="AF2" s="113"/>
      <c r="AG2" s="114"/>
      <c r="AH2" s="55"/>
      <c r="AI2" s="113"/>
      <c r="AJ2" s="3"/>
      <c r="AK2" s="3"/>
      <c r="AL2" s="113"/>
      <c r="AM2" s="125"/>
      <c r="AN2" s="75"/>
      <c r="AO2" s="1"/>
      <c r="AP2" s="4"/>
      <c r="AQ2" s="4"/>
      <c r="AR2" s="2"/>
      <c r="AS2" s="2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2"/>
      <c r="BK2" s="2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5"/>
    </row>
    <row r="3" spans="1:84" ht="15">
      <c r="A3" s="183" t="s">
        <v>2</v>
      </c>
      <c r="B3" s="183" t="s">
        <v>3</v>
      </c>
      <c r="C3" s="183" t="s">
        <v>4</v>
      </c>
      <c r="D3" s="105"/>
      <c r="E3" s="185" t="s">
        <v>5</v>
      </c>
      <c r="F3" s="185" t="s">
        <v>6</v>
      </c>
      <c r="G3" s="185" t="s">
        <v>7</v>
      </c>
      <c r="H3" s="185" t="s">
        <v>8</v>
      </c>
      <c r="I3" s="191" t="s">
        <v>9</v>
      </c>
      <c r="J3" s="187" t="s">
        <v>10</v>
      </c>
      <c r="K3" s="187"/>
      <c r="L3" s="187"/>
      <c r="M3" s="187"/>
      <c r="N3" s="187"/>
      <c r="O3" s="187"/>
      <c r="P3" s="187" t="s">
        <v>11</v>
      </c>
      <c r="Q3" s="187"/>
      <c r="R3" s="187"/>
      <c r="S3" s="187"/>
      <c r="T3" s="187"/>
      <c r="U3" s="187"/>
      <c r="V3" s="187" t="s">
        <v>12</v>
      </c>
      <c r="W3" s="187"/>
      <c r="X3" s="187"/>
      <c r="Y3" s="187"/>
      <c r="Z3" s="187"/>
      <c r="AA3" s="187"/>
      <c r="AB3" s="189" t="s">
        <v>13</v>
      </c>
      <c r="AC3" s="189"/>
      <c r="AD3" s="189"/>
      <c r="AE3" s="189"/>
      <c r="AF3" s="189"/>
      <c r="AG3" s="189"/>
      <c r="AH3" s="189" t="s">
        <v>14</v>
      </c>
      <c r="AI3" s="189"/>
      <c r="AJ3" s="189"/>
      <c r="AK3" s="189"/>
      <c r="AL3" s="189"/>
      <c r="AM3" s="189"/>
      <c r="AN3" s="189" t="s">
        <v>15</v>
      </c>
      <c r="AO3" s="189"/>
      <c r="AP3" s="189"/>
      <c r="AQ3" s="189"/>
      <c r="AR3" s="189"/>
      <c r="AS3" s="189"/>
      <c r="AT3" s="189" t="s">
        <v>16</v>
      </c>
      <c r="AU3" s="189"/>
      <c r="AV3" s="189"/>
      <c r="AW3" s="189"/>
      <c r="AX3" s="189"/>
      <c r="AY3" s="189"/>
      <c r="AZ3" s="189" t="s">
        <v>17</v>
      </c>
      <c r="BA3" s="189"/>
      <c r="BB3" s="189"/>
      <c r="BC3" s="189"/>
      <c r="BD3" s="189"/>
      <c r="BE3" s="189"/>
      <c r="BF3" s="189" t="s">
        <v>18</v>
      </c>
      <c r="BG3" s="189"/>
      <c r="BH3" s="189"/>
      <c r="BI3" s="189"/>
      <c r="BJ3" s="189"/>
      <c r="BK3" s="189"/>
      <c r="BL3" s="189" t="s">
        <v>19</v>
      </c>
      <c r="BM3" s="189"/>
      <c r="BN3" s="189"/>
      <c r="BO3" s="189"/>
      <c r="BP3" s="189"/>
      <c r="BQ3" s="189"/>
      <c r="BR3" s="189" t="s">
        <v>20</v>
      </c>
      <c r="BS3" s="189"/>
      <c r="BT3" s="189"/>
      <c r="BU3" s="189"/>
      <c r="BV3" s="189"/>
      <c r="BW3" s="189"/>
      <c r="BX3" s="189" t="s">
        <v>21</v>
      </c>
      <c r="BY3" s="189"/>
      <c r="BZ3" s="189"/>
      <c r="CA3" s="189"/>
      <c r="CB3" s="189"/>
      <c r="CC3" s="189"/>
      <c r="CD3" s="190" t="s">
        <v>22</v>
      </c>
      <c r="CE3" s="2"/>
      <c r="CF3" s="7"/>
    </row>
    <row r="4" spans="1:84" ht="45">
      <c r="A4" s="184"/>
      <c r="B4" s="184"/>
      <c r="C4" s="184"/>
      <c r="D4" s="158" t="s">
        <v>23</v>
      </c>
      <c r="E4" s="186"/>
      <c r="F4" s="186"/>
      <c r="G4" s="186"/>
      <c r="H4" s="186"/>
      <c r="I4" s="191"/>
      <c r="J4" s="8" t="s">
        <v>24</v>
      </c>
      <c r="K4" s="9" t="s">
        <v>25</v>
      </c>
      <c r="L4" s="6" t="s">
        <v>26</v>
      </c>
      <c r="M4" s="6" t="s">
        <v>27</v>
      </c>
      <c r="N4" s="9" t="s">
        <v>28</v>
      </c>
      <c r="O4" s="9" t="s">
        <v>29</v>
      </c>
      <c r="P4" s="8" t="s">
        <v>24</v>
      </c>
      <c r="Q4" s="9" t="s">
        <v>30</v>
      </c>
      <c r="R4" s="6" t="s">
        <v>26</v>
      </c>
      <c r="S4" s="6" t="s">
        <v>27</v>
      </c>
      <c r="T4" s="9" t="s">
        <v>28</v>
      </c>
      <c r="U4" s="9" t="s">
        <v>29</v>
      </c>
      <c r="V4" s="8" t="s">
        <v>24</v>
      </c>
      <c r="W4" s="9" t="s">
        <v>30</v>
      </c>
      <c r="X4" s="6" t="s">
        <v>26</v>
      </c>
      <c r="Y4" s="6" t="s">
        <v>27</v>
      </c>
      <c r="Z4" s="9" t="s">
        <v>28</v>
      </c>
      <c r="AA4" s="9" t="s">
        <v>29</v>
      </c>
      <c r="AB4" s="8" t="s">
        <v>24</v>
      </c>
      <c r="AC4" s="115" t="s">
        <v>31</v>
      </c>
      <c r="AD4" s="6" t="s">
        <v>26</v>
      </c>
      <c r="AE4" s="6" t="s">
        <v>27</v>
      </c>
      <c r="AF4" s="115" t="s">
        <v>28</v>
      </c>
      <c r="AG4" s="116" t="s">
        <v>32</v>
      </c>
      <c r="AH4" s="53" t="s">
        <v>24</v>
      </c>
      <c r="AI4" s="115" t="s">
        <v>31</v>
      </c>
      <c r="AJ4" s="6" t="s">
        <v>26</v>
      </c>
      <c r="AK4" s="6" t="s">
        <v>27</v>
      </c>
      <c r="AL4" s="126" t="s">
        <v>28</v>
      </c>
      <c r="AM4" s="126" t="s">
        <v>32</v>
      </c>
      <c r="AN4" s="53" t="s">
        <v>24</v>
      </c>
      <c r="AO4" s="8" t="s">
        <v>31</v>
      </c>
      <c r="AP4" s="6" t="s">
        <v>26</v>
      </c>
      <c r="AQ4" s="6" t="s">
        <v>27</v>
      </c>
      <c r="AR4" s="8" t="s">
        <v>28</v>
      </c>
      <c r="AS4" s="8" t="s">
        <v>32</v>
      </c>
      <c r="AT4" s="8" t="s">
        <v>24</v>
      </c>
      <c r="AU4" s="8" t="s">
        <v>31</v>
      </c>
      <c r="AV4" s="6" t="s">
        <v>26</v>
      </c>
      <c r="AW4" s="6" t="s">
        <v>27</v>
      </c>
      <c r="AX4" s="8" t="s">
        <v>28</v>
      </c>
      <c r="AY4" s="8" t="s">
        <v>32</v>
      </c>
      <c r="AZ4" s="8" t="s">
        <v>24</v>
      </c>
      <c r="BA4" s="8" t="s">
        <v>31</v>
      </c>
      <c r="BB4" s="6" t="s">
        <v>26</v>
      </c>
      <c r="BC4" s="6" t="s">
        <v>27</v>
      </c>
      <c r="BD4" s="8" t="s">
        <v>28</v>
      </c>
      <c r="BE4" s="8" t="s">
        <v>32</v>
      </c>
      <c r="BF4" s="8" t="s">
        <v>24</v>
      </c>
      <c r="BG4" s="8" t="s">
        <v>31</v>
      </c>
      <c r="BH4" s="6" t="s">
        <v>26</v>
      </c>
      <c r="BI4" s="6" t="s">
        <v>27</v>
      </c>
      <c r="BJ4" s="8" t="s">
        <v>28</v>
      </c>
      <c r="BK4" s="8" t="s">
        <v>32</v>
      </c>
      <c r="BL4" s="8" t="s">
        <v>24</v>
      </c>
      <c r="BM4" s="8" t="s">
        <v>31</v>
      </c>
      <c r="BN4" s="6" t="s">
        <v>26</v>
      </c>
      <c r="BO4" s="6" t="s">
        <v>27</v>
      </c>
      <c r="BP4" s="8" t="s">
        <v>28</v>
      </c>
      <c r="BQ4" s="8" t="s">
        <v>32</v>
      </c>
      <c r="BR4" s="6" t="s">
        <v>24</v>
      </c>
      <c r="BS4" s="8" t="s">
        <v>31</v>
      </c>
      <c r="BT4" s="6" t="s">
        <v>26</v>
      </c>
      <c r="BU4" s="6" t="s">
        <v>27</v>
      </c>
      <c r="BV4" s="8" t="s">
        <v>28</v>
      </c>
      <c r="BW4" s="8" t="s">
        <v>32</v>
      </c>
      <c r="BX4" s="6" t="s">
        <v>24</v>
      </c>
      <c r="BY4" s="8" t="s">
        <v>31</v>
      </c>
      <c r="BZ4" s="6" t="s">
        <v>26</v>
      </c>
      <c r="CA4" s="6" t="s">
        <v>27</v>
      </c>
      <c r="CB4" s="8" t="s">
        <v>28</v>
      </c>
      <c r="CC4" s="8" t="s">
        <v>32</v>
      </c>
      <c r="CD4" s="190"/>
      <c r="CE4" s="8" t="s">
        <v>31</v>
      </c>
      <c r="CF4" s="7"/>
    </row>
    <row r="5" spans="1:84" ht="80.25" customHeight="1">
      <c r="A5" s="148" t="s">
        <v>33</v>
      </c>
      <c r="B5" s="148" t="s">
        <v>34</v>
      </c>
      <c r="C5" s="151" t="s">
        <v>35</v>
      </c>
      <c r="D5" s="148" t="s">
        <v>36</v>
      </c>
      <c r="E5" s="149"/>
      <c r="F5" s="149"/>
      <c r="G5" s="149"/>
      <c r="H5" s="170">
        <v>119</v>
      </c>
      <c r="I5" s="159">
        <v>1</v>
      </c>
      <c r="J5" s="56">
        <v>0</v>
      </c>
      <c r="K5" s="12">
        <f t="shared" ref="K5:K18" si="0">I5*J5</f>
        <v>0</v>
      </c>
      <c r="L5" s="10">
        <v>0</v>
      </c>
      <c r="M5" s="10">
        <v>0</v>
      </c>
      <c r="N5" s="12">
        <f t="shared" ref="N5:N18" si="1">M5*I5</f>
        <v>0</v>
      </c>
      <c r="O5" s="12">
        <f t="shared" ref="O5:O18" si="2">L5*I5</f>
        <v>0</v>
      </c>
      <c r="P5" s="13">
        <v>0</v>
      </c>
      <c r="Q5" s="12">
        <f t="shared" ref="Q5:Q18" si="3">P5*I5</f>
        <v>0</v>
      </c>
      <c r="R5" s="10">
        <v>0</v>
      </c>
      <c r="S5" s="56">
        <v>0</v>
      </c>
      <c r="T5" s="12">
        <f t="shared" ref="T5:T18" si="4">S5*O5</f>
        <v>0</v>
      </c>
      <c r="U5" s="12">
        <f t="shared" ref="U5:U18" si="5">R5*O5</f>
        <v>0</v>
      </c>
      <c r="V5" s="56">
        <v>0</v>
      </c>
      <c r="W5" s="12">
        <f t="shared" ref="W5:W18" si="6">V5*O5</f>
        <v>0</v>
      </c>
      <c r="X5" s="10">
        <v>0</v>
      </c>
      <c r="Y5" s="10">
        <v>0</v>
      </c>
      <c r="Z5" s="12">
        <f t="shared" ref="Z5:Z18" si="7">Y5*U5</f>
        <v>0</v>
      </c>
      <c r="AA5" s="12">
        <f t="shared" ref="AA5:AA18" si="8">X5*U5</f>
        <v>0</v>
      </c>
      <c r="AB5" s="80">
        <v>119</v>
      </c>
      <c r="AC5" s="117">
        <f>AB5*I5</f>
        <v>119</v>
      </c>
      <c r="AD5" s="10">
        <v>0</v>
      </c>
      <c r="AE5" s="10">
        <v>0</v>
      </c>
      <c r="AF5" s="117">
        <f>AE5*I5</f>
        <v>0</v>
      </c>
      <c r="AG5" s="118">
        <f>AD5*I5</f>
        <v>0</v>
      </c>
      <c r="AH5" s="80">
        <f>SUM(AB5-AD5+AE5)</f>
        <v>119</v>
      </c>
      <c r="AI5" s="112">
        <f>AH5*I5</f>
        <v>119</v>
      </c>
      <c r="AJ5" s="111">
        <v>0</v>
      </c>
      <c r="AK5" s="111">
        <v>0</v>
      </c>
      <c r="AL5" s="112">
        <f ca="1">AL5*I5</f>
        <v>0</v>
      </c>
      <c r="AM5" s="112">
        <f>-AJ5*I5</f>
        <v>0</v>
      </c>
      <c r="AN5" s="80">
        <f>AH5-AJ5+AK5</f>
        <v>119</v>
      </c>
      <c r="AO5" s="12">
        <f t="shared" ref="AO5" si="9">AN5*I5</f>
        <v>119</v>
      </c>
      <c r="AP5" s="10">
        <v>0</v>
      </c>
      <c r="AQ5" s="10">
        <v>0</v>
      </c>
      <c r="AR5" s="12">
        <f t="shared" ref="AR5" si="10">AQ5*I5</f>
        <v>0</v>
      </c>
      <c r="AS5" s="12">
        <f t="shared" ref="AS5" si="11">AP5*I5</f>
        <v>0</v>
      </c>
      <c r="AT5" s="13">
        <f>AN5-AP5+AQ5</f>
        <v>119</v>
      </c>
      <c r="AU5" s="12">
        <f t="shared" ref="AU5" si="12">AT5*I5</f>
        <v>119</v>
      </c>
      <c r="AV5" s="10">
        <v>0</v>
      </c>
      <c r="AW5" s="10">
        <v>0</v>
      </c>
      <c r="AX5" s="12">
        <f t="shared" ref="AX5" si="13">AW5*I5</f>
        <v>0</v>
      </c>
      <c r="AY5" s="12">
        <f t="shared" ref="AY5" si="14">AV5*I5</f>
        <v>0</v>
      </c>
      <c r="AZ5" s="32">
        <f>AT5-AV5+AW5</f>
        <v>119</v>
      </c>
      <c r="BA5" s="12">
        <f t="shared" ref="BA5" si="15">AZ5*I5</f>
        <v>119</v>
      </c>
      <c r="BB5" s="10">
        <v>0</v>
      </c>
      <c r="BC5" s="10">
        <v>0</v>
      </c>
      <c r="BD5" s="12">
        <f t="shared" ref="BD5" si="16">BC5*I5</f>
        <v>0</v>
      </c>
      <c r="BE5" s="12">
        <f t="shared" ref="BE5" si="17">BB5*I5</f>
        <v>0</v>
      </c>
      <c r="BF5" s="13">
        <f>AZ5-BB5+BC5</f>
        <v>119</v>
      </c>
      <c r="BG5" s="12">
        <f t="shared" ref="BG5:BG18" si="18">BF5*I5</f>
        <v>119</v>
      </c>
      <c r="BH5" s="10">
        <v>0</v>
      </c>
      <c r="BI5" s="10">
        <v>0</v>
      </c>
      <c r="BJ5" s="12">
        <f t="shared" ref="BJ5:BJ18" si="19">BI5*I5</f>
        <v>0</v>
      </c>
      <c r="BK5" s="12">
        <f t="shared" ref="BK5:BK18" si="20">BH5*I5</f>
        <v>0</v>
      </c>
      <c r="BL5" s="13">
        <f>BF5-BH5+BI5</f>
        <v>119</v>
      </c>
      <c r="BM5" s="12">
        <f t="shared" ref="BM5:BM18" si="21">BL5*I5</f>
        <v>119</v>
      </c>
      <c r="BN5" s="10">
        <v>0</v>
      </c>
      <c r="BO5" s="10">
        <v>0</v>
      </c>
      <c r="BP5" s="12">
        <f t="shared" ref="BP5:BP18" si="22">BO5*I5</f>
        <v>0</v>
      </c>
      <c r="BQ5" s="12">
        <f t="shared" ref="BQ5:BQ18" si="23">BN5*I5</f>
        <v>0</v>
      </c>
      <c r="BR5" s="13">
        <f>BL5-BN5+BO5</f>
        <v>119</v>
      </c>
      <c r="BS5" s="12">
        <f t="shared" ref="BS5:BS18" si="24">BR5*I5</f>
        <v>119</v>
      </c>
      <c r="BT5" s="10">
        <v>0</v>
      </c>
      <c r="BU5" s="10">
        <v>0</v>
      </c>
      <c r="BV5" s="12">
        <f t="shared" ref="BV5:BV18" si="25">BU5*I5</f>
        <v>0</v>
      </c>
      <c r="BW5" s="12">
        <f t="shared" ref="BW5:BW18" si="26">BT5*I5</f>
        <v>0</v>
      </c>
      <c r="BX5" s="13">
        <f>BR5-BT5+BU5</f>
        <v>119</v>
      </c>
      <c r="BY5" s="12">
        <f t="shared" ref="BY5:BY18" si="27">BX5*I5</f>
        <v>119</v>
      </c>
      <c r="BZ5" s="10">
        <v>0</v>
      </c>
      <c r="CA5" s="10">
        <v>0</v>
      </c>
      <c r="CB5" s="12">
        <f t="shared" ref="CB5:CB18" si="28">CA5*I5</f>
        <v>0</v>
      </c>
      <c r="CC5" s="12">
        <f t="shared" ref="CC5:CC18" si="29">BZ5*I5</f>
        <v>0</v>
      </c>
      <c r="CD5" s="31" t="s">
        <v>37</v>
      </c>
      <c r="CE5" s="12">
        <f t="shared" ref="CE5:CE18" si="30">AN5*I5</f>
        <v>119</v>
      </c>
      <c r="CF5" s="5"/>
    </row>
    <row r="6" spans="1:84" ht="80.25" customHeight="1">
      <c r="A6" s="148" t="s">
        <v>38</v>
      </c>
      <c r="B6" s="148" t="s">
        <v>39</v>
      </c>
      <c r="C6" s="151" t="s">
        <v>40</v>
      </c>
      <c r="D6" s="148" t="s">
        <v>41</v>
      </c>
      <c r="E6" s="149"/>
      <c r="F6" s="149"/>
      <c r="G6" s="149"/>
      <c r="H6" s="170">
        <v>148</v>
      </c>
      <c r="I6" s="159">
        <v>1</v>
      </c>
      <c r="J6" s="56">
        <v>0</v>
      </c>
      <c r="K6" s="12">
        <f t="shared" si="0"/>
        <v>0</v>
      </c>
      <c r="L6" s="10">
        <v>0</v>
      </c>
      <c r="M6" s="10">
        <v>0</v>
      </c>
      <c r="N6" s="12">
        <f t="shared" si="1"/>
        <v>0</v>
      </c>
      <c r="O6" s="12">
        <f t="shared" si="2"/>
        <v>0</v>
      </c>
      <c r="P6" s="13">
        <v>0</v>
      </c>
      <c r="Q6" s="12">
        <f t="shared" si="3"/>
        <v>0</v>
      </c>
      <c r="R6" s="10">
        <v>0</v>
      </c>
      <c r="S6" s="56">
        <v>0</v>
      </c>
      <c r="T6" s="12">
        <f t="shared" si="4"/>
        <v>0</v>
      </c>
      <c r="U6" s="12">
        <f t="shared" si="5"/>
        <v>0</v>
      </c>
      <c r="V6" s="56">
        <v>0</v>
      </c>
      <c r="W6" s="12">
        <f t="shared" si="6"/>
        <v>0</v>
      </c>
      <c r="X6" s="10">
        <v>0</v>
      </c>
      <c r="Y6" s="10">
        <v>0</v>
      </c>
      <c r="Z6" s="12">
        <f t="shared" si="7"/>
        <v>0</v>
      </c>
      <c r="AA6" s="12">
        <f t="shared" si="8"/>
        <v>0</v>
      </c>
      <c r="AB6" s="80">
        <v>248</v>
      </c>
      <c r="AC6" s="117">
        <f t="shared" ref="AC6:AC70" si="31">AB6*I6</f>
        <v>248</v>
      </c>
      <c r="AD6" s="10">
        <v>0</v>
      </c>
      <c r="AE6" s="10">
        <v>0</v>
      </c>
      <c r="AF6" s="117">
        <f t="shared" ref="AF6:AF70" si="32">AE6*I6</f>
        <v>0</v>
      </c>
      <c r="AG6" s="118">
        <f t="shared" ref="AG6:AG70" si="33">AD6*I6</f>
        <v>0</v>
      </c>
      <c r="AH6" s="80">
        <f t="shared" ref="AH6:AH70" si="34">SUM(AB6-AD6+AE6)</f>
        <v>248</v>
      </c>
      <c r="AI6" s="112">
        <f t="shared" ref="AI6:AI18" si="35">AH6*I6</f>
        <v>248</v>
      </c>
      <c r="AJ6" s="111">
        <v>0</v>
      </c>
      <c r="AK6" s="111">
        <v>0</v>
      </c>
      <c r="AL6" s="112">
        <f t="shared" ref="AL6:AL18" ca="1" si="36">AL6*I6</f>
        <v>0</v>
      </c>
      <c r="AM6" s="112">
        <f t="shared" ref="AM6:AM18" si="37">-AJ6*I6</f>
        <v>0</v>
      </c>
      <c r="AN6" s="80">
        <f t="shared" ref="AN6:AN70" si="38">AH6-AJ6+AK6</f>
        <v>248</v>
      </c>
      <c r="AO6" s="12">
        <f t="shared" ref="AO6:AO70" si="39">AN6*I6</f>
        <v>248</v>
      </c>
      <c r="AP6" s="10">
        <v>0</v>
      </c>
      <c r="AQ6" s="10">
        <v>0</v>
      </c>
      <c r="AR6" s="12">
        <f t="shared" ref="AR6:AR70" si="40">AQ6*I6</f>
        <v>0</v>
      </c>
      <c r="AS6" s="12">
        <f t="shared" ref="AS6:AS70" si="41">AP6*I6</f>
        <v>0</v>
      </c>
      <c r="AT6" s="13">
        <f t="shared" ref="AT6:AT70" si="42">AN6-AP6+AQ6</f>
        <v>248</v>
      </c>
      <c r="AU6" s="12">
        <f t="shared" ref="AU6:AU70" si="43">AT6*I6</f>
        <v>248</v>
      </c>
      <c r="AV6" s="10">
        <v>0</v>
      </c>
      <c r="AW6" s="10">
        <v>0</v>
      </c>
      <c r="AX6" s="12">
        <f t="shared" ref="AX6:AX70" si="44">AW6*I6</f>
        <v>0</v>
      </c>
      <c r="AY6" s="12">
        <f t="shared" ref="AY6:AY70" si="45">AV6*I6</f>
        <v>0</v>
      </c>
      <c r="AZ6" s="32">
        <f t="shared" ref="AZ6:AZ70" si="46">AT6-AV6+AW6</f>
        <v>248</v>
      </c>
      <c r="BA6" s="12">
        <f t="shared" ref="BA6:BA70" si="47">AZ6*I6</f>
        <v>248</v>
      </c>
      <c r="BB6" s="10">
        <v>0</v>
      </c>
      <c r="BC6" s="10">
        <v>0</v>
      </c>
      <c r="BD6" s="12">
        <f t="shared" ref="BD6:BD70" si="48">BC6*I6</f>
        <v>0</v>
      </c>
      <c r="BE6" s="12">
        <f t="shared" ref="BE6:BE70" si="49">BB6*I6</f>
        <v>0</v>
      </c>
      <c r="BF6" s="13">
        <f t="shared" ref="BF6:BF18" si="50">AZ6-BB6+BC6</f>
        <v>248</v>
      </c>
      <c r="BG6" s="12">
        <f t="shared" si="18"/>
        <v>248</v>
      </c>
      <c r="BH6" s="10">
        <v>0</v>
      </c>
      <c r="BI6" s="10">
        <v>0</v>
      </c>
      <c r="BJ6" s="12">
        <f t="shared" si="19"/>
        <v>0</v>
      </c>
      <c r="BK6" s="12">
        <f t="shared" si="20"/>
        <v>0</v>
      </c>
      <c r="BL6" s="13">
        <f t="shared" ref="BL6:BL18" si="51">BF6-BH6+BI6</f>
        <v>248</v>
      </c>
      <c r="BM6" s="12">
        <f t="shared" si="21"/>
        <v>248</v>
      </c>
      <c r="BN6" s="10">
        <v>0</v>
      </c>
      <c r="BO6" s="10">
        <v>0</v>
      </c>
      <c r="BP6" s="12">
        <f t="shared" si="22"/>
        <v>0</v>
      </c>
      <c r="BQ6" s="12">
        <f t="shared" si="23"/>
        <v>0</v>
      </c>
      <c r="BR6" s="13">
        <f t="shared" ref="BR6:BR18" si="52">BL6-BN6+BO6</f>
        <v>248</v>
      </c>
      <c r="BS6" s="12">
        <f t="shared" si="24"/>
        <v>248</v>
      </c>
      <c r="BT6" s="10">
        <v>0</v>
      </c>
      <c r="BU6" s="10">
        <v>0</v>
      </c>
      <c r="BV6" s="12">
        <f t="shared" si="25"/>
        <v>0</v>
      </c>
      <c r="BW6" s="12">
        <f t="shared" si="26"/>
        <v>0</v>
      </c>
      <c r="BX6" s="13">
        <f t="shared" ref="BX6:BX18" si="53">BR6-BT6+BU6</f>
        <v>248</v>
      </c>
      <c r="BY6" s="12">
        <f t="shared" si="27"/>
        <v>248</v>
      </c>
      <c r="BZ6" s="10">
        <v>0</v>
      </c>
      <c r="CA6" s="10">
        <v>0</v>
      </c>
      <c r="CB6" s="12">
        <f t="shared" si="28"/>
        <v>0</v>
      </c>
      <c r="CC6" s="12">
        <f t="shared" si="29"/>
        <v>0</v>
      </c>
      <c r="CD6" s="31" t="s">
        <v>42</v>
      </c>
      <c r="CE6" s="12">
        <f t="shared" si="30"/>
        <v>248</v>
      </c>
      <c r="CF6" s="5"/>
    </row>
    <row r="7" spans="1:84" ht="80.25" customHeight="1">
      <c r="A7" s="148" t="s">
        <v>43</v>
      </c>
      <c r="B7" s="148" t="s">
        <v>44</v>
      </c>
      <c r="C7" s="151" t="s">
        <v>45</v>
      </c>
      <c r="D7" s="148" t="s">
        <v>46</v>
      </c>
      <c r="E7" s="149"/>
      <c r="F7" s="149"/>
      <c r="G7" s="149"/>
      <c r="H7" s="170">
        <v>65</v>
      </c>
      <c r="I7" s="159">
        <v>1</v>
      </c>
      <c r="J7" s="56">
        <v>0</v>
      </c>
      <c r="K7" s="12">
        <f t="shared" si="0"/>
        <v>0</v>
      </c>
      <c r="L7" s="10">
        <v>0</v>
      </c>
      <c r="M7" s="10">
        <v>0</v>
      </c>
      <c r="N7" s="12">
        <f t="shared" si="1"/>
        <v>0</v>
      </c>
      <c r="O7" s="12">
        <f t="shared" si="2"/>
        <v>0</v>
      </c>
      <c r="P7" s="56">
        <v>0</v>
      </c>
      <c r="Q7" s="12">
        <f t="shared" si="3"/>
        <v>0</v>
      </c>
      <c r="R7" s="10">
        <v>0</v>
      </c>
      <c r="S7" s="56">
        <v>0</v>
      </c>
      <c r="T7" s="12">
        <f t="shared" si="4"/>
        <v>0</v>
      </c>
      <c r="U7" s="12">
        <f t="shared" si="5"/>
        <v>0</v>
      </c>
      <c r="V7" s="56">
        <v>0</v>
      </c>
      <c r="W7" s="12">
        <f t="shared" si="6"/>
        <v>0</v>
      </c>
      <c r="X7" s="10">
        <v>0</v>
      </c>
      <c r="Y7" s="10">
        <v>0</v>
      </c>
      <c r="Z7" s="12">
        <f t="shared" si="7"/>
        <v>0</v>
      </c>
      <c r="AA7" s="12">
        <f t="shared" si="8"/>
        <v>0</v>
      </c>
      <c r="AB7" s="80">
        <v>65</v>
      </c>
      <c r="AC7" s="117">
        <f t="shared" si="31"/>
        <v>65</v>
      </c>
      <c r="AD7" s="10">
        <v>0</v>
      </c>
      <c r="AE7" s="10">
        <v>0</v>
      </c>
      <c r="AF7" s="117">
        <f t="shared" si="32"/>
        <v>0</v>
      </c>
      <c r="AG7" s="118">
        <f t="shared" si="33"/>
        <v>0</v>
      </c>
      <c r="AH7" s="80">
        <f t="shared" si="34"/>
        <v>65</v>
      </c>
      <c r="AI7" s="112">
        <f t="shared" si="35"/>
        <v>65</v>
      </c>
      <c r="AJ7" s="111">
        <v>0</v>
      </c>
      <c r="AK7" s="111">
        <v>0</v>
      </c>
      <c r="AL7" s="112">
        <f t="shared" ca="1" si="36"/>
        <v>0</v>
      </c>
      <c r="AM7" s="112">
        <f t="shared" si="37"/>
        <v>0</v>
      </c>
      <c r="AN7" s="80">
        <f t="shared" si="38"/>
        <v>65</v>
      </c>
      <c r="AO7" s="12">
        <f t="shared" si="39"/>
        <v>65</v>
      </c>
      <c r="AP7" s="10">
        <v>0</v>
      </c>
      <c r="AQ7" s="10">
        <v>0</v>
      </c>
      <c r="AR7" s="12">
        <f t="shared" si="40"/>
        <v>0</v>
      </c>
      <c r="AS7" s="12">
        <f t="shared" si="41"/>
        <v>0</v>
      </c>
      <c r="AT7" s="13">
        <f t="shared" si="42"/>
        <v>65</v>
      </c>
      <c r="AU7" s="12">
        <f t="shared" si="43"/>
        <v>65</v>
      </c>
      <c r="AV7" s="10">
        <v>0</v>
      </c>
      <c r="AW7" s="10">
        <v>0</v>
      </c>
      <c r="AX7" s="12">
        <f t="shared" si="44"/>
        <v>0</v>
      </c>
      <c r="AY7" s="12">
        <f t="shared" si="45"/>
        <v>0</v>
      </c>
      <c r="AZ7" s="32">
        <f t="shared" si="46"/>
        <v>65</v>
      </c>
      <c r="BA7" s="12">
        <f t="shared" si="47"/>
        <v>65</v>
      </c>
      <c r="BB7" s="10">
        <v>0</v>
      </c>
      <c r="BC7" s="10">
        <v>0</v>
      </c>
      <c r="BD7" s="12">
        <f t="shared" si="48"/>
        <v>0</v>
      </c>
      <c r="BE7" s="12">
        <f t="shared" si="49"/>
        <v>0</v>
      </c>
      <c r="BF7" s="13">
        <f t="shared" si="50"/>
        <v>65</v>
      </c>
      <c r="BG7" s="12">
        <f t="shared" si="18"/>
        <v>65</v>
      </c>
      <c r="BH7" s="10">
        <v>0</v>
      </c>
      <c r="BI7" s="10">
        <v>0</v>
      </c>
      <c r="BJ7" s="12">
        <f t="shared" si="19"/>
        <v>0</v>
      </c>
      <c r="BK7" s="12">
        <f t="shared" si="20"/>
        <v>0</v>
      </c>
      <c r="BL7" s="13">
        <f t="shared" si="51"/>
        <v>65</v>
      </c>
      <c r="BM7" s="12">
        <f t="shared" si="21"/>
        <v>65</v>
      </c>
      <c r="BN7" s="10">
        <v>0</v>
      </c>
      <c r="BO7" s="10">
        <v>0</v>
      </c>
      <c r="BP7" s="12">
        <f t="shared" si="22"/>
        <v>0</v>
      </c>
      <c r="BQ7" s="12">
        <f t="shared" si="23"/>
        <v>0</v>
      </c>
      <c r="BR7" s="13">
        <f t="shared" si="52"/>
        <v>65</v>
      </c>
      <c r="BS7" s="12">
        <f t="shared" si="24"/>
        <v>65</v>
      </c>
      <c r="BT7" s="10">
        <v>0</v>
      </c>
      <c r="BU7" s="10">
        <v>0</v>
      </c>
      <c r="BV7" s="12">
        <f t="shared" si="25"/>
        <v>0</v>
      </c>
      <c r="BW7" s="12">
        <f t="shared" si="26"/>
        <v>0</v>
      </c>
      <c r="BX7" s="13">
        <f t="shared" si="53"/>
        <v>65</v>
      </c>
      <c r="BY7" s="12">
        <f t="shared" si="27"/>
        <v>65</v>
      </c>
      <c r="BZ7" s="10">
        <v>0</v>
      </c>
      <c r="CA7" s="10">
        <v>0</v>
      </c>
      <c r="CB7" s="12">
        <f t="shared" si="28"/>
        <v>0</v>
      </c>
      <c r="CC7" s="12">
        <f t="shared" si="29"/>
        <v>0</v>
      </c>
      <c r="CD7" s="31" t="s">
        <v>47</v>
      </c>
      <c r="CE7" s="12">
        <f t="shared" si="30"/>
        <v>65</v>
      </c>
      <c r="CF7" s="5"/>
    </row>
    <row r="8" spans="1:84" ht="80.25" customHeight="1">
      <c r="A8" s="148" t="s">
        <v>48</v>
      </c>
      <c r="B8" s="148" t="s">
        <v>49</v>
      </c>
      <c r="C8" s="151" t="s">
        <v>50</v>
      </c>
      <c r="D8" s="148" t="s">
        <v>41</v>
      </c>
      <c r="E8" s="149"/>
      <c r="F8" s="149"/>
      <c r="G8" s="149"/>
      <c r="H8" s="170">
        <v>1</v>
      </c>
      <c r="I8" s="159">
        <v>1</v>
      </c>
      <c r="J8" s="56">
        <v>0</v>
      </c>
      <c r="K8" s="12">
        <f t="shared" si="0"/>
        <v>0</v>
      </c>
      <c r="L8" s="10">
        <v>0</v>
      </c>
      <c r="M8" s="10">
        <v>0</v>
      </c>
      <c r="N8" s="12">
        <f t="shared" si="1"/>
        <v>0</v>
      </c>
      <c r="O8" s="12">
        <f t="shared" si="2"/>
        <v>0</v>
      </c>
      <c r="P8" s="56">
        <v>0</v>
      </c>
      <c r="Q8" s="12">
        <f t="shared" si="3"/>
        <v>0</v>
      </c>
      <c r="R8" s="10">
        <v>0</v>
      </c>
      <c r="S8" s="56">
        <v>0</v>
      </c>
      <c r="T8" s="12">
        <f t="shared" si="4"/>
        <v>0</v>
      </c>
      <c r="U8" s="12">
        <f t="shared" si="5"/>
        <v>0</v>
      </c>
      <c r="V8" s="56">
        <v>0</v>
      </c>
      <c r="W8" s="12">
        <f t="shared" si="6"/>
        <v>0</v>
      </c>
      <c r="X8" s="10">
        <v>0</v>
      </c>
      <c r="Y8" s="10">
        <v>0</v>
      </c>
      <c r="Z8" s="12">
        <f t="shared" si="7"/>
        <v>0</v>
      </c>
      <c r="AA8" s="12">
        <f t="shared" si="8"/>
        <v>0</v>
      </c>
      <c r="AB8" s="80">
        <v>1</v>
      </c>
      <c r="AC8" s="117">
        <f t="shared" si="31"/>
        <v>1</v>
      </c>
      <c r="AD8" s="10">
        <v>0</v>
      </c>
      <c r="AE8" s="10">
        <v>0</v>
      </c>
      <c r="AF8" s="117">
        <f t="shared" si="32"/>
        <v>0</v>
      </c>
      <c r="AG8" s="118">
        <f t="shared" si="33"/>
        <v>0</v>
      </c>
      <c r="AH8" s="80">
        <f t="shared" si="34"/>
        <v>1</v>
      </c>
      <c r="AI8" s="112">
        <f t="shared" si="35"/>
        <v>1</v>
      </c>
      <c r="AJ8" s="111">
        <v>0</v>
      </c>
      <c r="AK8" s="111">
        <v>0</v>
      </c>
      <c r="AL8" s="112">
        <f t="shared" ca="1" si="36"/>
        <v>0</v>
      </c>
      <c r="AM8" s="112">
        <f t="shared" si="37"/>
        <v>0</v>
      </c>
      <c r="AN8" s="80">
        <f t="shared" si="38"/>
        <v>1</v>
      </c>
      <c r="AO8" s="12">
        <f t="shared" si="39"/>
        <v>1</v>
      </c>
      <c r="AP8" s="10">
        <v>0</v>
      </c>
      <c r="AQ8" s="10">
        <v>0</v>
      </c>
      <c r="AR8" s="12">
        <f t="shared" si="40"/>
        <v>0</v>
      </c>
      <c r="AS8" s="12">
        <f t="shared" si="41"/>
        <v>0</v>
      </c>
      <c r="AT8" s="13">
        <f t="shared" si="42"/>
        <v>1</v>
      </c>
      <c r="AU8" s="12">
        <f t="shared" si="43"/>
        <v>1</v>
      </c>
      <c r="AV8" s="10">
        <v>0</v>
      </c>
      <c r="AW8" s="10">
        <v>0</v>
      </c>
      <c r="AX8" s="12">
        <f t="shared" si="44"/>
        <v>0</v>
      </c>
      <c r="AY8" s="12">
        <f t="shared" si="45"/>
        <v>0</v>
      </c>
      <c r="AZ8" s="32">
        <f t="shared" si="46"/>
        <v>1</v>
      </c>
      <c r="BA8" s="12">
        <f t="shared" si="47"/>
        <v>1</v>
      </c>
      <c r="BB8" s="10">
        <v>0</v>
      </c>
      <c r="BC8" s="10">
        <v>0</v>
      </c>
      <c r="BD8" s="12">
        <f t="shared" si="48"/>
        <v>0</v>
      </c>
      <c r="BE8" s="12">
        <f t="shared" si="49"/>
        <v>0</v>
      </c>
      <c r="BF8" s="13">
        <f t="shared" si="50"/>
        <v>1</v>
      </c>
      <c r="BG8" s="12">
        <f t="shared" si="18"/>
        <v>1</v>
      </c>
      <c r="BH8" s="10">
        <v>0</v>
      </c>
      <c r="BI8" s="10">
        <v>0</v>
      </c>
      <c r="BJ8" s="12">
        <f t="shared" si="19"/>
        <v>0</v>
      </c>
      <c r="BK8" s="12">
        <f t="shared" si="20"/>
        <v>0</v>
      </c>
      <c r="BL8" s="13">
        <f t="shared" si="51"/>
        <v>1</v>
      </c>
      <c r="BM8" s="12">
        <f t="shared" si="21"/>
        <v>1</v>
      </c>
      <c r="BN8" s="10">
        <v>0</v>
      </c>
      <c r="BO8" s="10">
        <v>0</v>
      </c>
      <c r="BP8" s="12">
        <f t="shared" si="22"/>
        <v>0</v>
      </c>
      <c r="BQ8" s="12">
        <f t="shared" si="23"/>
        <v>0</v>
      </c>
      <c r="BR8" s="13">
        <f t="shared" si="52"/>
        <v>1</v>
      </c>
      <c r="BS8" s="12">
        <f t="shared" si="24"/>
        <v>1</v>
      </c>
      <c r="BT8" s="10">
        <v>0</v>
      </c>
      <c r="BU8" s="10">
        <v>0</v>
      </c>
      <c r="BV8" s="12">
        <f t="shared" si="25"/>
        <v>0</v>
      </c>
      <c r="BW8" s="12">
        <f t="shared" si="26"/>
        <v>0</v>
      </c>
      <c r="BX8" s="13">
        <f t="shared" si="53"/>
        <v>1</v>
      </c>
      <c r="BY8" s="12">
        <f t="shared" si="27"/>
        <v>1</v>
      </c>
      <c r="BZ8" s="10">
        <v>0</v>
      </c>
      <c r="CA8" s="10">
        <v>0</v>
      </c>
      <c r="CB8" s="12">
        <f t="shared" si="28"/>
        <v>0</v>
      </c>
      <c r="CC8" s="12">
        <f t="shared" si="29"/>
        <v>0</v>
      </c>
      <c r="CD8" s="31" t="s">
        <v>33</v>
      </c>
      <c r="CE8" s="12">
        <f t="shared" si="30"/>
        <v>1</v>
      </c>
      <c r="CF8" s="5"/>
    </row>
    <row r="9" spans="1:84" ht="80.25" customHeight="1">
      <c r="A9" s="148" t="s">
        <v>51</v>
      </c>
      <c r="B9" s="148" t="s">
        <v>52</v>
      </c>
      <c r="C9" s="151" t="s">
        <v>53</v>
      </c>
      <c r="D9" s="148" t="s">
        <v>54</v>
      </c>
      <c r="E9" s="149"/>
      <c r="F9" s="149"/>
      <c r="G9" s="149"/>
      <c r="H9" s="170">
        <v>4</v>
      </c>
      <c r="I9" s="159">
        <v>1</v>
      </c>
      <c r="J9" s="56">
        <v>0</v>
      </c>
      <c r="K9" s="12">
        <f t="shared" si="0"/>
        <v>0</v>
      </c>
      <c r="L9" s="10">
        <v>0</v>
      </c>
      <c r="M9" s="10">
        <v>0</v>
      </c>
      <c r="N9" s="12">
        <f t="shared" si="1"/>
        <v>0</v>
      </c>
      <c r="O9" s="12">
        <f t="shared" si="2"/>
        <v>0</v>
      </c>
      <c r="P9" s="56">
        <v>0</v>
      </c>
      <c r="Q9" s="12">
        <f t="shared" si="3"/>
        <v>0</v>
      </c>
      <c r="R9" s="10">
        <v>0</v>
      </c>
      <c r="S9" s="56">
        <v>0</v>
      </c>
      <c r="T9" s="12">
        <f t="shared" si="4"/>
        <v>0</v>
      </c>
      <c r="U9" s="12">
        <f t="shared" si="5"/>
        <v>0</v>
      </c>
      <c r="V9" s="56">
        <v>0</v>
      </c>
      <c r="W9" s="12">
        <f t="shared" si="6"/>
        <v>0</v>
      </c>
      <c r="X9" s="10">
        <v>0</v>
      </c>
      <c r="Y9" s="10">
        <v>0</v>
      </c>
      <c r="Z9" s="12">
        <f t="shared" si="7"/>
        <v>0</v>
      </c>
      <c r="AA9" s="12">
        <f t="shared" si="8"/>
        <v>0</v>
      </c>
      <c r="AB9" s="80">
        <v>4</v>
      </c>
      <c r="AC9" s="117">
        <f t="shared" si="31"/>
        <v>4</v>
      </c>
      <c r="AD9" s="10">
        <v>0</v>
      </c>
      <c r="AE9" s="10">
        <v>0</v>
      </c>
      <c r="AF9" s="117">
        <f t="shared" si="32"/>
        <v>0</v>
      </c>
      <c r="AG9" s="118">
        <f t="shared" si="33"/>
        <v>0</v>
      </c>
      <c r="AH9" s="80">
        <f t="shared" si="34"/>
        <v>4</v>
      </c>
      <c r="AI9" s="112">
        <f t="shared" si="35"/>
        <v>4</v>
      </c>
      <c r="AJ9" s="111">
        <v>0</v>
      </c>
      <c r="AK9" s="111">
        <v>0</v>
      </c>
      <c r="AL9" s="112">
        <f t="shared" ca="1" si="36"/>
        <v>0</v>
      </c>
      <c r="AM9" s="112">
        <f t="shared" si="37"/>
        <v>0</v>
      </c>
      <c r="AN9" s="80">
        <f t="shared" si="38"/>
        <v>4</v>
      </c>
      <c r="AO9" s="12">
        <f t="shared" si="39"/>
        <v>4</v>
      </c>
      <c r="AP9" s="10">
        <v>0</v>
      </c>
      <c r="AQ9" s="10">
        <v>0</v>
      </c>
      <c r="AR9" s="12">
        <f t="shared" si="40"/>
        <v>0</v>
      </c>
      <c r="AS9" s="12">
        <f t="shared" si="41"/>
        <v>0</v>
      </c>
      <c r="AT9" s="13">
        <f t="shared" si="42"/>
        <v>4</v>
      </c>
      <c r="AU9" s="12">
        <f t="shared" si="43"/>
        <v>4</v>
      </c>
      <c r="AV9" s="10">
        <v>0</v>
      </c>
      <c r="AW9" s="10">
        <v>0</v>
      </c>
      <c r="AX9" s="12">
        <f t="shared" si="44"/>
        <v>0</v>
      </c>
      <c r="AY9" s="12">
        <f t="shared" si="45"/>
        <v>0</v>
      </c>
      <c r="AZ9" s="32">
        <f t="shared" si="46"/>
        <v>4</v>
      </c>
      <c r="BA9" s="12">
        <f t="shared" si="47"/>
        <v>4</v>
      </c>
      <c r="BB9" s="10">
        <v>0</v>
      </c>
      <c r="BC9" s="10">
        <v>0</v>
      </c>
      <c r="BD9" s="12">
        <f t="shared" si="48"/>
        <v>0</v>
      </c>
      <c r="BE9" s="12">
        <f t="shared" si="49"/>
        <v>0</v>
      </c>
      <c r="BF9" s="13">
        <f t="shared" si="50"/>
        <v>4</v>
      </c>
      <c r="BG9" s="12">
        <f t="shared" si="18"/>
        <v>4</v>
      </c>
      <c r="BH9" s="10">
        <v>0</v>
      </c>
      <c r="BI9" s="10">
        <v>0</v>
      </c>
      <c r="BJ9" s="12">
        <f t="shared" si="19"/>
        <v>0</v>
      </c>
      <c r="BK9" s="12">
        <f t="shared" si="20"/>
        <v>0</v>
      </c>
      <c r="BL9" s="13">
        <f t="shared" si="51"/>
        <v>4</v>
      </c>
      <c r="BM9" s="12">
        <f t="shared" si="21"/>
        <v>4</v>
      </c>
      <c r="BN9" s="10">
        <v>0</v>
      </c>
      <c r="BO9" s="10">
        <v>0</v>
      </c>
      <c r="BP9" s="12">
        <f t="shared" si="22"/>
        <v>0</v>
      </c>
      <c r="BQ9" s="12">
        <f t="shared" si="23"/>
        <v>0</v>
      </c>
      <c r="BR9" s="13">
        <f t="shared" si="52"/>
        <v>4</v>
      </c>
      <c r="BS9" s="12">
        <f t="shared" si="24"/>
        <v>4</v>
      </c>
      <c r="BT9" s="10">
        <v>0</v>
      </c>
      <c r="BU9" s="10">
        <v>0</v>
      </c>
      <c r="BV9" s="12">
        <f t="shared" si="25"/>
        <v>0</v>
      </c>
      <c r="BW9" s="12">
        <f t="shared" si="26"/>
        <v>0</v>
      </c>
      <c r="BX9" s="13">
        <f t="shared" si="53"/>
        <v>4</v>
      </c>
      <c r="BY9" s="12">
        <f t="shared" si="27"/>
        <v>4</v>
      </c>
      <c r="BZ9" s="10">
        <v>0</v>
      </c>
      <c r="CA9" s="10">
        <v>0</v>
      </c>
      <c r="CB9" s="12">
        <f t="shared" si="28"/>
        <v>0</v>
      </c>
      <c r="CC9" s="12">
        <f t="shared" si="29"/>
        <v>0</v>
      </c>
      <c r="CD9" s="31" t="s">
        <v>48</v>
      </c>
      <c r="CE9" s="12">
        <f t="shared" si="30"/>
        <v>4</v>
      </c>
      <c r="CF9" s="5"/>
    </row>
    <row r="10" spans="1:84" ht="80.25" customHeight="1">
      <c r="A10" s="148" t="s">
        <v>55</v>
      </c>
      <c r="B10" s="148" t="s">
        <v>56</v>
      </c>
      <c r="C10" s="151" t="s">
        <v>57</v>
      </c>
      <c r="D10" s="148" t="s">
        <v>58</v>
      </c>
      <c r="E10" s="149"/>
      <c r="F10" s="149"/>
      <c r="G10" s="149"/>
      <c r="H10" s="170">
        <v>32</v>
      </c>
      <c r="I10" s="159">
        <v>1</v>
      </c>
      <c r="J10" s="56">
        <v>0</v>
      </c>
      <c r="K10" s="12">
        <f t="shared" si="0"/>
        <v>0</v>
      </c>
      <c r="L10" s="10">
        <v>0</v>
      </c>
      <c r="M10" s="10">
        <v>0</v>
      </c>
      <c r="N10" s="12">
        <f t="shared" si="1"/>
        <v>0</v>
      </c>
      <c r="O10" s="12">
        <f t="shared" si="2"/>
        <v>0</v>
      </c>
      <c r="P10" s="56">
        <v>0</v>
      </c>
      <c r="Q10" s="12">
        <f t="shared" si="3"/>
        <v>0</v>
      </c>
      <c r="R10" s="10">
        <v>0</v>
      </c>
      <c r="S10" s="56">
        <v>0</v>
      </c>
      <c r="T10" s="12">
        <f t="shared" si="4"/>
        <v>0</v>
      </c>
      <c r="U10" s="12">
        <f t="shared" si="5"/>
        <v>0</v>
      </c>
      <c r="V10" s="56">
        <v>0</v>
      </c>
      <c r="W10" s="12">
        <f t="shared" si="6"/>
        <v>0</v>
      </c>
      <c r="X10" s="10">
        <v>0</v>
      </c>
      <c r="Y10" s="10">
        <v>0</v>
      </c>
      <c r="Z10" s="12">
        <f t="shared" si="7"/>
        <v>0</v>
      </c>
      <c r="AA10" s="12">
        <f t="shared" si="8"/>
        <v>0</v>
      </c>
      <c r="AB10" s="80">
        <v>32</v>
      </c>
      <c r="AC10" s="117">
        <f t="shared" si="31"/>
        <v>32</v>
      </c>
      <c r="AD10" s="10">
        <v>0</v>
      </c>
      <c r="AE10" s="10">
        <v>0</v>
      </c>
      <c r="AF10" s="117">
        <f t="shared" si="32"/>
        <v>0</v>
      </c>
      <c r="AG10" s="118">
        <f t="shared" si="33"/>
        <v>0</v>
      </c>
      <c r="AH10" s="80">
        <f t="shared" si="34"/>
        <v>32</v>
      </c>
      <c r="AI10" s="112">
        <f t="shared" si="35"/>
        <v>32</v>
      </c>
      <c r="AJ10" s="111">
        <v>0</v>
      </c>
      <c r="AK10" s="111">
        <v>0</v>
      </c>
      <c r="AL10" s="112">
        <f t="shared" ca="1" si="36"/>
        <v>0</v>
      </c>
      <c r="AM10" s="112">
        <f t="shared" si="37"/>
        <v>0</v>
      </c>
      <c r="AN10" s="80">
        <f t="shared" si="38"/>
        <v>32</v>
      </c>
      <c r="AO10" s="12">
        <f t="shared" si="39"/>
        <v>32</v>
      </c>
      <c r="AP10" s="10">
        <v>0</v>
      </c>
      <c r="AQ10" s="10">
        <v>0</v>
      </c>
      <c r="AR10" s="12">
        <f t="shared" si="40"/>
        <v>0</v>
      </c>
      <c r="AS10" s="12">
        <f t="shared" si="41"/>
        <v>0</v>
      </c>
      <c r="AT10" s="13">
        <f t="shared" si="42"/>
        <v>32</v>
      </c>
      <c r="AU10" s="12">
        <f t="shared" si="43"/>
        <v>32</v>
      </c>
      <c r="AV10" s="10">
        <v>0</v>
      </c>
      <c r="AW10" s="10">
        <v>0</v>
      </c>
      <c r="AX10" s="12">
        <f t="shared" si="44"/>
        <v>0</v>
      </c>
      <c r="AY10" s="12">
        <f t="shared" si="45"/>
        <v>0</v>
      </c>
      <c r="AZ10" s="32">
        <f t="shared" si="46"/>
        <v>32</v>
      </c>
      <c r="BA10" s="12">
        <f t="shared" si="47"/>
        <v>32</v>
      </c>
      <c r="BB10" s="10">
        <v>0</v>
      </c>
      <c r="BC10" s="10">
        <v>0</v>
      </c>
      <c r="BD10" s="12">
        <f t="shared" si="48"/>
        <v>0</v>
      </c>
      <c r="BE10" s="12">
        <f t="shared" si="49"/>
        <v>0</v>
      </c>
      <c r="BF10" s="13">
        <f t="shared" si="50"/>
        <v>32</v>
      </c>
      <c r="BG10" s="12">
        <f t="shared" si="18"/>
        <v>32</v>
      </c>
      <c r="BH10" s="10">
        <v>0</v>
      </c>
      <c r="BI10" s="10">
        <v>0</v>
      </c>
      <c r="BJ10" s="12">
        <f t="shared" si="19"/>
        <v>0</v>
      </c>
      <c r="BK10" s="12">
        <f t="shared" si="20"/>
        <v>0</v>
      </c>
      <c r="BL10" s="13">
        <f t="shared" si="51"/>
        <v>32</v>
      </c>
      <c r="BM10" s="12">
        <f t="shared" si="21"/>
        <v>32</v>
      </c>
      <c r="BN10" s="10">
        <v>0</v>
      </c>
      <c r="BO10" s="10">
        <v>0</v>
      </c>
      <c r="BP10" s="12">
        <f t="shared" si="22"/>
        <v>0</v>
      </c>
      <c r="BQ10" s="12">
        <f t="shared" si="23"/>
        <v>0</v>
      </c>
      <c r="BR10" s="13">
        <f t="shared" si="52"/>
        <v>32</v>
      </c>
      <c r="BS10" s="12">
        <f t="shared" si="24"/>
        <v>32</v>
      </c>
      <c r="BT10" s="10">
        <v>0</v>
      </c>
      <c r="BU10" s="10">
        <v>0</v>
      </c>
      <c r="BV10" s="12">
        <f t="shared" si="25"/>
        <v>0</v>
      </c>
      <c r="BW10" s="12">
        <f t="shared" si="26"/>
        <v>0</v>
      </c>
      <c r="BX10" s="13">
        <f t="shared" si="53"/>
        <v>32</v>
      </c>
      <c r="BY10" s="12">
        <f t="shared" si="27"/>
        <v>32</v>
      </c>
      <c r="BZ10" s="10">
        <v>0</v>
      </c>
      <c r="CA10" s="10">
        <v>0</v>
      </c>
      <c r="CB10" s="12">
        <f t="shared" si="28"/>
        <v>0</v>
      </c>
      <c r="CC10" s="12">
        <f t="shared" si="29"/>
        <v>0</v>
      </c>
      <c r="CD10" s="31" t="s">
        <v>59</v>
      </c>
      <c r="CE10" s="12">
        <f t="shared" si="30"/>
        <v>32</v>
      </c>
      <c r="CF10" s="5"/>
    </row>
    <row r="11" spans="1:84" ht="80.25" customHeight="1">
      <c r="A11" s="148" t="s">
        <v>60</v>
      </c>
      <c r="B11" s="148" t="s">
        <v>61</v>
      </c>
      <c r="C11" s="151" t="s">
        <v>62</v>
      </c>
      <c r="D11" s="148" t="s">
        <v>63</v>
      </c>
      <c r="E11" s="150"/>
      <c r="F11" s="150"/>
      <c r="G11" s="150"/>
      <c r="H11" s="170">
        <v>48</v>
      </c>
      <c r="I11" s="159">
        <v>1</v>
      </c>
      <c r="J11" s="56">
        <v>0</v>
      </c>
      <c r="K11" s="33">
        <f t="shared" si="0"/>
        <v>0</v>
      </c>
      <c r="L11" s="10">
        <v>0</v>
      </c>
      <c r="M11" s="10">
        <v>0</v>
      </c>
      <c r="N11" s="33">
        <f t="shared" si="1"/>
        <v>0</v>
      </c>
      <c r="O11" s="33">
        <f t="shared" si="2"/>
        <v>0</v>
      </c>
      <c r="P11" s="56">
        <v>0</v>
      </c>
      <c r="Q11" s="33">
        <f t="shared" si="3"/>
        <v>0</v>
      </c>
      <c r="R11" s="10">
        <v>0</v>
      </c>
      <c r="S11" s="56">
        <v>0</v>
      </c>
      <c r="T11" s="33">
        <f t="shared" si="4"/>
        <v>0</v>
      </c>
      <c r="U11" s="33">
        <f t="shared" si="5"/>
        <v>0</v>
      </c>
      <c r="V11" s="56">
        <v>0</v>
      </c>
      <c r="W11" s="33">
        <f t="shared" si="6"/>
        <v>0</v>
      </c>
      <c r="X11" s="10">
        <v>0</v>
      </c>
      <c r="Y11" s="10">
        <v>0</v>
      </c>
      <c r="Z11" s="33">
        <f t="shared" si="7"/>
        <v>0</v>
      </c>
      <c r="AA11" s="33">
        <f t="shared" si="8"/>
        <v>0</v>
      </c>
      <c r="AB11" s="80">
        <v>48</v>
      </c>
      <c r="AC11" s="117">
        <f t="shared" si="31"/>
        <v>48</v>
      </c>
      <c r="AD11" s="10">
        <v>0</v>
      </c>
      <c r="AE11" s="10">
        <v>0</v>
      </c>
      <c r="AF11" s="117">
        <f t="shared" si="32"/>
        <v>0</v>
      </c>
      <c r="AG11" s="118">
        <f t="shared" si="33"/>
        <v>0</v>
      </c>
      <c r="AH11" s="80">
        <f t="shared" si="34"/>
        <v>48</v>
      </c>
      <c r="AI11" s="112">
        <f t="shared" si="35"/>
        <v>48</v>
      </c>
      <c r="AJ11" s="111">
        <v>0</v>
      </c>
      <c r="AK11" s="111">
        <v>0</v>
      </c>
      <c r="AL11" s="112">
        <f t="shared" ca="1" si="36"/>
        <v>0</v>
      </c>
      <c r="AM11" s="112">
        <f t="shared" si="37"/>
        <v>0</v>
      </c>
      <c r="AN11" s="80">
        <f t="shared" si="38"/>
        <v>48</v>
      </c>
      <c r="AO11" s="12">
        <f t="shared" si="39"/>
        <v>48</v>
      </c>
      <c r="AP11" s="10">
        <v>0</v>
      </c>
      <c r="AQ11" s="10">
        <v>0</v>
      </c>
      <c r="AR11" s="12">
        <f t="shared" si="40"/>
        <v>0</v>
      </c>
      <c r="AS11" s="12">
        <f t="shared" si="41"/>
        <v>0</v>
      </c>
      <c r="AT11" s="13">
        <f t="shared" si="42"/>
        <v>48</v>
      </c>
      <c r="AU11" s="12">
        <f t="shared" si="43"/>
        <v>48</v>
      </c>
      <c r="AV11" s="10">
        <v>0</v>
      </c>
      <c r="AW11" s="10">
        <v>0</v>
      </c>
      <c r="AX11" s="12">
        <f t="shared" si="44"/>
        <v>0</v>
      </c>
      <c r="AY11" s="12">
        <f t="shared" si="45"/>
        <v>0</v>
      </c>
      <c r="AZ11" s="32">
        <f t="shared" si="46"/>
        <v>48</v>
      </c>
      <c r="BA11" s="12">
        <f t="shared" si="47"/>
        <v>48</v>
      </c>
      <c r="BB11" s="10">
        <v>0</v>
      </c>
      <c r="BC11" s="10">
        <v>0</v>
      </c>
      <c r="BD11" s="12">
        <f t="shared" si="48"/>
        <v>0</v>
      </c>
      <c r="BE11" s="12">
        <f t="shared" si="49"/>
        <v>0</v>
      </c>
      <c r="BF11" s="13">
        <f t="shared" si="50"/>
        <v>48</v>
      </c>
      <c r="BG11" s="12">
        <f t="shared" si="18"/>
        <v>48</v>
      </c>
      <c r="BH11" s="10">
        <v>0</v>
      </c>
      <c r="BI11" s="10">
        <v>0</v>
      </c>
      <c r="BJ11" s="12">
        <f t="shared" si="19"/>
        <v>0</v>
      </c>
      <c r="BK11" s="12">
        <f t="shared" si="20"/>
        <v>0</v>
      </c>
      <c r="BL11" s="13">
        <f t="shared" si="51"/>
        <v>48</v>
      </c>
      <c r="BM11" s="12">
        <f t="shared" si="21"/>
        <v>48</v>
      </c>
      <c r="BN11" s="10">
        <v>0</v>
      </c>
      <c r="BO11" s="10">
        <v>0</v>
      </c>
      <c r="BP11" s="12">
        <f t="shared" si="22"/>
        <v>0</v>
      </c>
      <c r="BQ11" s="12">
        <f t="shared" si="23"/>
        <v>0</v>
      </c>
      <c r="BR11" s="13">
        <f t="shared" si="52"/>
        <v>48</v>
      </c>
      <c r="BS11" s="12">
        <f t="shared" si="24"/>
        <v>48</v>
      </c>
      <c r="BT11" s="10">
        <v>0</v>
      </c>
      <c r="BU11" s="10">
        <v>0</v>
      </c>
      <c r="BV11" s="12">
        <f t="shared" si="25"/>
        <v>0</v>
      </c>
      <c r="BW11" s="12">
        <f t="shared" si="26"/>
        <v>0</v>
      </c>
      <c r="BX11" s="13">
        <f t="shared" si="53"/>
        <v>48</v>
      </c>
      <c r="BY11" s="12">
        <f t="shared" si="27"/>
        <v>48</v>
      </c>
      <c r="BZ11" s="10">
        <v>0</v>
      </c>
      <c r="CA11" s="10">
        <v>0</v>
      </c>
      <c r="CB11" s="12">
        <f t="shared" si="28"/>
        <v>0</v>
      </c>
      <c r="CC11" s="12">
        <f t="shared" si="29"/>
        <v>0</v>
      </c>
      <c r="CD11" s="18" t="s">
        <v>64</v>
      </c>
      <c r="CE11" s="12">
        <f t="shared" si="30"/>
        <v>48</v>
      </c>
      <c r="CF11" s="1"/>
    </row>
    <row r="12" spans="1:84" ht="80.25" customHeight="1">
      <c r="A12" s="148" t="s">
        <v>65</v>
      </c>
      <c r="B12" s="148" t="s">
        <v>66</v>
      </c>
      <c r="C12" s="151" t="s">
        <v>67</v>
      </c>
      <c r="D12" s="148" t="s">
        <v>68</v>
      </c>
      <c r="E12" s="149"/>
      <c r="F12" s="149"/>
      <c r="G12" s="149"/>
      <c r="H12" s="170">
        <v>418</v>
      </c>
      <c r="I12" s="159">
        <v>1</v>
      </c>
      <c r="J12" s="56">
        <v>0</v>
      </c>
      <c r="K12" s="12">
        <f t="shared" si="0"/>
        <v>0</v>
      </c>
      <c r="L12" s="10">
        <v>0</v>
      </c>
      <c r="M12" s="10">
        <v>0</v>
      </c>
      <c r="N12" s="12">
        <f t="shared" si="1"/>
        <v>0</v>
      </c>
      <c r="O12" s="12">
        <f t="shared" si="2"/>
        <v>0</v>
      </c>
      <c r="P12" s="56">
        <v>0</v>
      </c>
      <c r="Q12" s="12">
        <f t="shared" si="3"/>
        <v>0</v>
      </c>
      <c r="R12" s="10">
        <v>0</v>
      </c>
      <c r="S12" s="56">
        <v>0</v>
      </c>
      <c r="T12" s="12">
        <f t="shared" si="4"/>
        <v>0</v>
      </c>
      <c r="U12" s="12">
        <f t="shared" si="5"/>
        <v>0</v>
      </c>
      <c r="V12" s="56">
        <v>0</v>
      </c>
      <c r="W12" s="12">
        <f t="shared" si="6"/>
        <v>0</v>
      </c>
      <c r="X12" s="10">
        <v>0</v>
      </c>
      <c r="Y12" s="10">
        <v>0</v>
      </c>
      <c r="Z12" s="12">
        <f t="shared" si="7"/>
        <v>0</v>
      </c>
      <c r="AA12" s="12">
        <f t="shared" si="8"/>
        <v>0</v>
      </c>
      <c r="AB12" s="80">
        <v>418</v>
      </c>
      <c r="AC12" s="117">
        <f t="shared" si="31"/>
        <v>418</v>
      </c>
      <c r="AD12" s="10">
        <v>0</v>
      </c>
      <c r="AE12" s="10">
        <v>0</v>
      </c>
      <c r="AF12" s="117">
        <f t="shared" si="32"/>
        <v>0</v>
      </c>
      <c r="AG12" s="118">
        <f t="shared" si="33"/>
        <v>0</v>
      </c>
      <c r="AH12" s="80">
        <f t="shared" si="34"/>
        <v>418</v>
      </c>
      <c r="AI12" s="112">
        <f t="shared" si="35"/>
        <v>418</v>
      </c>
      <c r="AJ12" s="111">
        <v>0</v>
      </c>
      <c r="AK12" s="111">
        <v>0</v>
      </c>
      <c r="AL12" s="112">
        <f t="shared" ca="1" si="36"/>
        <v>0</v>
      </c>
      <c r="AM12" s="112">
        <f t="shared" si="37"/>
        <v>0</v>
      </c>
      <c r="AN12" s="80">
        <f t="shared" si="38"/>
        <v>418</v>
      </c>
      <c r="AO12" s="12">
        <f t="shared" si="39"/>
        <v>418</v>
      </c>
      <c r="AP12" s="10">
        <v>0</v>
      </c>
      <c r="AQ12" s="10">
        <v>0</v>
      </c>
      <c r="AR12" s="12">
        <f t="shared" si="40"/>
        <v>0</v>
      </c>
      <c r="AS12" s="12">
        <f t="shared" si="41"/>
        <v>0</v>
      </c>
      <c r="AT12" s="13">
        <f t="shared" si="42"/>
        <v>418</v>
      </c>
      <c r="AU12" s="12">
        <f t="shared" si="43"/>
        <v>418</v>
      </c>
      <c r="AV12" s="10">
        <v>0</v>
      </c>
      <c r="AW12" s="10">
        <v>0</v>
      </c>
      <c r="AX12" s="12">
        <f t="shared" si="44"/>
        <v>0</v>
      </c>
      <c r="AY12" s="12">
        <f t="shared" si="45"/>
        <v>0</v>
      </c>
      <c r="AZ12" s="32">
        <f t="shared" si="46"/>
        <v>418</v>
      </c>
      <c r="BA12" s="12">
        <f t="shared" si="47"/>
        <v>418</v>
      </c>
      <c r="BB12" s="10">
        <v>0</v>
      </c>
      <c r="BC12" s="10">
        <v>0</v>
      </c>
      <c r="BD12" s="12">
        <f t="shared" si="48"/>
        <v>0</v>
      </c>
      <c r="BE12" s="12">
        <f t="shared" si="49"/>
        <v>0</v>
      </c>
      <c r="BF12" s="13">
        <f>AZ12-BB12+BC12</f>
        <v>418</v>
      </c>
      <c r="BG12" s="12">
        <f t="shared" si="18"/>
        <v>418</v>
      </c>
      <c r="BH12" s="10">
        <v>0</v>
      </c>
      <c r="BI12" s="10">
        <v>0</v>
      </c>
      <c r="BJ12" s="12">
        <f t="shared" si="19"/>
        <v>0</v>
      </c>
      <c r="BK12" s="12">
        <f t="shared" si="20"/>
        <v>0</v>
      </c>
      <c r="BL12" s="13">
        <f t="shared" si="51"/>
        <v>418</v>
      </c>
      <c r="BM12" s="12">
        <f t="shared" si="21"/>
        <v>418</v>
      </c>
      <c r="BN12" s="10">
        <v>0</v>
      </c>
      <c r="BO12" s="10">
        <v>0</v>
      </c>
      <c r="BP12" s="12">
        <f t="shared" si="22"/>
        <v>0</v>
      </c>
      <c r="BQ12" s="12">
        <f t="shared" si="23"/>
        <v>0</v>
      </c>
      <c r="BR12" s="13">
        <f>BL12-BN12+BO12</f>
        <v>418</v>
      </c>
      <c r="BS12" s="12">
        <f t="shared" si="24"/>
        <v>418</v>
      </c>
      <c r="BT12" s="10">
        <v>0</v>
      </c>
      <c r="BU12" s="10">
        <v>0</v>
      </c>
      <c r="BV12" s="12">
        <f t="shared" si="25"/>
        <v>0</v>
      </c>
      <c r="BW12" s="12">
        <f t="shared" si="26"/>
        <v>0</v>
      </c>
      <c r="BX12" s="13">
        <f>BR12-BT12+BU12</f>
        <v>418</v>
      </c>
      <c r="BY12" s="12">
        <f t="shared" si="27"/>
        <v>418</v>
      </c>
      <c r="BZ12" s="10">
        <v>0</v>
      </c>
      <c r="CA12" s="10">
        <v>0</v>
      </c>
      <c r="CB12" s="12">
        <f t="shared" si="28"/>
        <v>0</v>
      </c>
      <c r="CC12" s="12">
        <f t="shared" si="29"/>
        <v>0</v>
      </c>
      <c r="CD12" s="31" t="s">
        <v>69</v>
      </c>
      <c r="CE12" s="12">
        <f t="shared" si="30"/>
        <v>418</v>
      </c>
      <c r="CF12" s="5"/>
    </row>
    <row r="13" spans="1:84" ht="80.25" customHeight="1">
      <c r="A13" s="148" t="s">
        <v>70</v>
      </c>
      <c r="B13" s="148" t="s">
        <v>71</v>
      </c>
      <c r="C13" s="151" t="s">
        <v>72</v>
      </c>
      <c r="D13" s="148" t="s">
        <v>73</v>
      </c>
      <c r="E13" s="149"/>
      <c r="F13" s="149"/>
      <c r="G13" s="149"/>
      <c r="H13" s="170">
        <v>113</v>
      </c>
      <c r="I13" s="159">
        <v>56.2</v>
      </c>
      <c r="J13" s="56">
        <v>0</v>
      </c>
      <c r="K13" s="12">
        <f t="shared" si="0"/>
        <v>0</v>
      </c>
      <c r="L13" s="10">
        <v>0</v>
      </c>
      <c r="M13" s="10">
        <v>0</v>
      </c>
      <c r="N13" s="12">
        <f t="shared" si="1"/>
        <v>0</v>
      </c>
      <c r="O13" s="12">
        <f t="shared" si="2"/>
        <v>0</v>
      </c>
      <c r="P13" s="56">
        <v>0</v>
      </c>
      <c r="Q13" s="12">
        <f t="shared" si="3"/>
        <v>0</v>
      </c>
      <c r="R13" s="10">
        <v>0</v>
      </c>
      <c r="S13" s="56">
        <v>0</v>
      </c>
      <c r="T13" s="12">
        <f t="shared" si="4"/>
        <v>0</v>
      </c>
      <c r="U13" s="12">
        <f t="shared" si="5"/>
        <v>0</v>
      </c>
      <c r="V13" s="56">
        <v>0</v>
      </c>
      <c r="W13" s="12">
        <f t="shared" si="6"/>
        <v>0</v>
      </c>
      <c r="X13" s="10">
        <v>0</v>
      </c>
      <c r="Y13" s="10">
        <v>0</v>
      </c>
      <c r="Z13" s="12">
        <f t="shared" si="7"/>
        <v>0</v>
      </c>
      <c r="AA13" s="12">
        <f t="shared" si="8"/>
        <v>0</v>
      </c>
      <c r="AB13" s="80">
        <v>113</v>
      </c>
      <c r="AC13" s="117">
        <f t="shared" si="31"/>
        <v>6350.6</v>
      </c>
      <c r="AD13" s="10">
        <v>0</v>
      </c>
      <c r="AE13" s="10">
        <v>0</v>
      </c>
      <c r="AF13" s="117">
        <f t="shared" si="32"/>
        <v>0</v>
      </c>
      <c r="AG13" s="118">
        <f t="shared" si="33"/>
        <v>0</v>
      </c>
      <c r="AH13" s="80">
        <f t="shared" si="34"/>
        <v>113</v>
      </c>
      <c r="AI13" s="112">
        <f t="shared" si="35"/>
        <v>6350.6</v>
      </c>
      <c r="AJ13" s="111">
        <v>0</v>
      </c>
      <c r="AK13" s="111">
        <v>0</v>
      </c>
      <c r="AL13" s="112">
        <f t="shared" ca="1" si="36"/>
        <v>0</v>
      </c>
      <c r="AM13" s="112">
        <f t="shared" si="37"/>
        <v>0</v>
      </c>
      <c r="AN13" s="80">
        <f t="shared" si="38"/>
        <v>113</v>
      </c>
      <c r="AO13" s="12">
        <f t="shared" si="39"/>
        <v>6350.6</v>
      </c>
      <c r="AP13" s="10">
        <v>0</v>
      </c>
      <c r="AQ13" s="10">
        <v>0</v>
      </c>
      <c r="AR13" s="12">
        <f t="shared" si="40"/>
        <v>0</v>
      </c>
      <c r="AS13" s="12">
        <f t="shared" si="41"/>
        <v>0</v>
      </c>
      <c r="AT13" s="13">
        <f t="shared" si="42"/>
        <v>113</v>
      </c>
      <c r="AU13" s="12">
        <f t="shared" si="43"/>
        <v>6350.6</v>
      </c>
      <c r="AV13" s="10">
        <v>0</v>
      </c>
      <c r="AW13" s="10">
        <v>0</v>
      </c>
      <c r="AX13" s="12">
        <f t="shared" si="44"/>
        <v>0</v>
      </c>
      <c r="AY13" s="12">
        <f t="shared" si="45"/>
        <v>0</v>
      </c>
      <c r="AZ13" s="32">
        <f t="shared" si="46"/>
        <v>113</v>
      </c>
      <c r="BA13" s="12">
        <f t="shared" si="47"/>
        <v>6350.6</v>
      </c>
      <c r="BB13" s="10">
        <v>0</v>
      </c>
      <c r="BC13" s="10">
        <v>0</v>
      </c>
      <c r="BD13" s="12">
        <f t="shared" si="48"/>
        <v>0</v>
      </c>
      <c r="BE13" s="12">
        <f t="shared" si="49"/>
        <v>0</v>
      </c>
      <c r="BF13" s="13">
        <f>AZ13-BB13+BC13</f>
        <v>113</v>
      </c>
      <c r="BG13" s="12">
        <f t="shared" si="18"/>
        <v>6350.6</v>
      </c>
      <c r="BH13" s="10">
        <v>0</v>
      </c>
      <c r="BI13" s="10">
        <v>0</v>
      </c>
      <c r="BJ13" s="12">
        <f t="shared" si="19"/>
        <v>0</v>
      </c>
      <c r="BK13" s="12">
        <f t="shared" si="20"/>
        <v>0</v>
      </c>
      <c r="BL13" s="13">
        <f t="shared" si="51"/>
        <v>113</v>
      </c>
      <c r="BM13" s="12">
        <f t="shared" si="21"/>
        <v>6350.6</v>
      </c>
      <c r="BN13" s="10">
        <v>0</v>
      </c>
      <c r="BO13" s="10">
        <v>0</v>
      </c>
      <c r="BP13" s="12">
        <f t="shared" si="22"/>
        <v>0</v>
      </c>
      <c r="BQ13" s="12">
        <f t="shared" si="23"/>
        <v>0</v>
      </c>
      <c r="BR13" s="13">
        <f>BL13-BN13+BO13</f>
        <v>113</v>
      </c>
      <c r="BS13" s="12">
        <f t="shared" si="24"/>
        <v>6350.6</v>
      </c>
      <c r="BT13" s="10">
        <v>0</v>
      </c>
      <c r="BU13" s="10">
        <v>0</v>
      </c>
      <c r="BV13" s="12">
        <f t="shared" si="25"/>
        <v>0</v>
      </c>
      <c r="BW13" s="12">
        <f t="shared" si="26"/>
        <v>0</v>
      </c>
      <c r="BX13" s="13">
        <f>BR13-BT13+BU13</f>
        <v>113</v>
      </c>
      <c r="BY13" s="12">
        <f t="shared" si="27"/>
        <v>6350.6</v>
      </c>
      <c r="BZ13" s="10">
        <v>0</v>
      </c>
      <c r="CA13" s="10">
        <v>0</v>
      </c>
      <c r="CB13" s="12">
        <f t="shared" si="28"/>
        <v>0</v>
      </c>
      <c r="CC13" s="12">
        <f t="shared" si="29"/>
        <v>0</v>
      </c>
      <c r="CD13" s="31" t="s">
        <v>74</v>
      </c>
      <c r="CE13" s="12">
        <f t="shared" si="30"/>
        <v>6350.6</v>
      </c>
      <c r="CF13" s="5"/>
    </row>
    <row r="14" spans="1:84" ht="80.25" customHeight="1">
      <c r="A14" s="148" t="s">
        <v>75</v>
      </c>
      <c r="B14" s="148" t="s">
        <v>76</v>
      </c>
      <c r="C14" s="151" t="s">
        <v>77</v>
      </c>
      <c r="D14" s="148" t="s">
        <v>78</v>
      </c>
      <c r="E14" s="149"/>
      <c r="F14" s="149"/>
      <c r="G14" s="149"/>
      <c r="H14" s="170">
        <v>143</v>
      </c>
      <c r="I14" s="159">
        <v>130</v>
      </c>
      <c r="J14" s="56">
        <v>0</v>
      </c>
      <c r="K14" s="12">
        <f t="shared" si="0"/>
        <v>0</v>
      </c>
      <c r="L14" s="10">
        <v>0</v>
      </c>
      <c r="M14" s="10">
        <v>0</v>
      </c>
      <c r="N14" s="12">
        <f t="shared" si="1"/>
        <v>0</v>
      </c>
      <c r="O14" s="12">
        <f t="shared" si="2"/>
        <v>0</v>
      </c>
      <c r="P14" s="56">
        <v>0</v>
      </c>
      <c r="Q14" s="12">
        <f t="shared" si="3"/>
        <v>0</v>
      </c>
      <c r="R14" s="10">
        <v>0</v>
      </c>
      <c r="S14" s="56">
        <v>0</v>
      </c>
      <c r="T14" s="12">
        <f t="shared" si="4"/>
        <v>0</v>
      </c>
      <c r="U14" s="12">
        <f t="shared" si="5"/>
        <v>0</v>
      </c>
      <c r="V14" s="56">
        <v>0</v>
      </c>
      <c r="W14" s="12">
        <f t="shared" si="6"/>
        <v>0</v>
      </c>
      <c r="X14" s="10">
        <v>0</v>
      </c>
      <c r="Y14" s="10">
        <v>0</v>
      </c>
      <c r="Z14" s="12">
        <f t="shared" si="7"/>
        <v>0</v>
      </c>
      <c r="AA14" s="12">
        <f t="shared" si="8"/>
        <v>0</v>
      </c>
      <c r="AB14" s="80">
        <v>143</v>
      </c>
      <c r="AC14" s="117">
        <f t="shared" si="31"/>
        <v>18590</v>
      </c>
      <c r="AD14" s="10">
        <v>0</v>
      </c>
      <c r="AE14" s="10">
        <v>0</v>
      </c>
      <c r="AF14" s="117">
        <f t="shared" si="32"/>
        <v>0</v>
      </c>
      <c r="AG14" s="118">
        <f t="shared" si="33"/>
        <v>0</v>
      </c>
      <c r="AH14" s="80">
        <f t="shared" si="34"/>
        <v>143</v>
      </c>
      <c r="AI14" s="112">
        <f t="shared" si="35"/>
        <v>18590</v>
      </c>
      <c r="AJ14" s="111">
        <v>0</v>
      </c>
      <c r="AK14" s="111">
        <v>0</v>
      </c>
      <c r="AL14" s="112">
        <f t="shared" ca="1" si="36"/>
        <v>0</v>
      </c>
      <c r="AM14" s="112">
        <f t="shared" si="37"/>
        <v>0</v>
      </c>
      <c r="AN14" s="80">
        <f t="shared" si="38"/>
        <v>143</v>
      </c>
      <c r="AO14" s="12">
        <f t="shared" si="39"/>
        <v>18590</v>
      </c>
      <c r="AP14" s="10">
        <v>0</v>
      </c>
      <c r="AQ14" s="10">
        <v>0</v>
      </c>
      <c r="AR14" s="12">
        <f t="shared" si="40"/>
        <v>0</v>
      </c>
      <c r="AS14" s="12">
        <f t="shared" si="41"/>
        <v>0</v>
      </c>
      <c r="AT14" s="13">
        <f t="shared" si="42"/>
        <v>143</v>
      </c>
      <c r="AU14" s="12">
        <f t="shared" si="43"/>
        <v>18590</v>
      </c>
      <c r="AV14" s="10">
        <v>0</v>
      </c>
      <c r="AW14" s="10">
        <v>0</v>
      </c>
      <c r="AX14" s="12">
        <f t="shared" si="44"/>
        <v>0</v>
      </c>
      <c r="AY14" s="12">
        <f t="shared" si="45"/>
        <v>0</v>
      </c>
      <c r="AZ14" s="32">
        <f t="shared" si="46"/>
        <v>143</v>
      </c>
      <c r="BA14" s="12">
        <f t="shared" si="47"/>
        <v>18590</v>
      </c>
      <c r="BB14" s="10">
        <v>0</v>
      </c>
      <c r="BC14" s="10">
        <v>0</v>
      </c>
      <c r="BD14" s="12">
        <f t="shared" si="48"/>
        <v>0</v>
      </c>
      <c r="BE14" s="12">
        <f t="shared" si="49"/>
        <v>0</v>
      </c>
      <c r="BF14" s="13">
        <f t="shared" si="50"/>
        <v>143</v>
      </c>
      <c r="BG14" s="12">
        <f t="shared" si="18"/>
        <v>18590</v>
      </c>
      <c r="BH14" s="10">
        <v>0</v>
      </c>
      <c r="BI14" s="10">
        <v>0</v>
      </c>
      <c r="BJ14" s="12">
        <f t="shared" si="19"/>
        <v>0</v>
      </c>
      <c r="BK14" s="12">
        <f t="shared" si="20"/>
        <v>0</v>
      </c>
      <c r="BL14" s="13">
        <f t="shared" si="51"/>
        <v>143</v>
      </c>
      <c r="BM14" s="12">
        <f t="shared" si="21"/>
        <v>18590</v>
      </c>
      <c r="BN14" s="10">
        <v>0</v>
      </c>
      <c r="BO14" s="10">
        <v>0</v>
      </c>
      <c r="BP14" s="12">
        <f t="shared" si="22"/>
        <v>0</v>
      </c>
      <c r="BQ14" s="12">
        <f t="shared" si="23"/>
        <v>0</v>
      </c>
      <c r="BR14" s="13">
        <f t="shared" si="52"/>
        <v>143</v>
      </c>
      <c r="BS14" s="12">
        <f t="shared" si="24"/>
        <v>18590</v>
      </c>
      <c r="BT14" s="10">
        <v>0</v>
      </c>
      <c r="BU14" s="10">
        <v>0</v>
      </c>
      <c r="BV14" s="12">
        <f t="shared" si="25"/>
        <v>0</v>
      </c>
      <c r="BW14" s="12">
        <f t="shared" si="26"/>
        <v>0</v>
      </c>
      <c r="BX14" s="13">
        <f t="shared" si="53"/>
        <v>143</v>
      </c>
      <c r="BY14" s="12">
        <f t="shared" si="27"/>
        <v>18590</v>
      </c>
      <c r="BZ14" s="10">
        <v>0</v>
      </c>
      <c r="CA14" s="10">
        <v>0</v>
      </c>
      <c r="CB14" s="12">
        <f t="shared" si="28"/>
        <v>0</v>
      </c>
      <c r="CC14" s="12">
        <f t="shared" si="29"/>
        <v>0</v>
      </c>
      <c r="CD14" s="31" t="s">
        <v>79</v>
      </c>
      <c r="CE14" s="12">
        <f t="shared" si="30"/>
        <v>18590</v>
      </c>
      <c r="CF14" s="5"/>
    </row>
    <row r="15" spans="1:84" ht="80.25" customHeight="1">
      <c r="A15" s="148" t="s">
        <v>80</v>
      </c>
      <c r="B15" s="148" t="s">
        <v>81</v>
      </c>
      <c r="C15" s="151" t="s">
        <v>82</v>
      </c>
      <c r="D15" s="148" t="s">
        <v>83</v>
      </c>
      <c r="E15" s="181"/>
      <c r="F15" s="181"/>
      <c r="G15" s="181"/>
      <c r="H15" s="170">
        <v>29</v>
      </c>
      <c r="I15" s="159">
        <v>75.400000000000006</v>
      </c>
      <c r="J15" s="56">
        <v>0</v>
      </c>
      <c r="K15" s="12">
        <f t="shared" si="0"/>
        <v>0</v>
      </c>
      <c r="L15" s="10">
        <v>0</v>
      </c>
      <c r="M15" s="10">
        <v>0</v>
      </c>
      <c r="N15" s="12">
        <f t="shared" si="1"/>
        <v>0</v>
      </c>
      <c r="O15" s="12">
        <f t="shared" si="2"/>
        <v>0</v>
      </c>
      <c r="P15" s="56">
        <v>0</v>
      </c>
      <c r="Q15" s="12">
        <f t="shared" si="3"/>
        <v>0</v>
      </c>
      <c r="R15" s="10">
        <v>0</v>
      </c>
      <c r="S15" s="56">
        <v>0</v>
      </c>
      <c r="T15" s="12">
        <f t="shared" si="4"/>
        <v>0</v>
      </c>
      <c r="U15" s="12">
        <f t="shared" si="5"/>
        <v>0</v>
      </c>
      <c r="V15" s="56">
        <v>0</v>
      </c>
      <c r="W15" s="12">
        <f t="shared" si="6"/>
        <v>0</v>
      </c>
      <c r="X15" s="10">
        <v>0</v>
      </c>
      <c r="Y15" s="10">
        <v>0</v>
      </c>
      <c r="Z15" s="12">
        <f t="shared" si="7"/>
        <v>0</v>
      </c>
      <c r="AA15" s="12">
        <f t="shared" si="8"/>
        <v>0</v>
      </c>
      <c r="AB15" s="80">
        <v>29</v>
      </c>
      <c r="AC15" s="117">
        <f t="shared" si="31"/>
        <v>2186.6000000000004</v>
      </c>
      <c r="AD15" s="10">
        <v>0</v>
      </c>
      <c r="AE15" s="10">
        <v>0</v>
      </c>
      <c r="AF15" s="117">
        <f t="shared" si="32"/>
        <v>0</v>
      </c>
      <c r="AG15" s="118">
        <f t="shared" si="33"/>
        <v>0</v>
      </c>
      <c r="AH15" s="80">
        <f t="shared" si="34"/>
        <v>29</v>
      </c>
      <c r="AI15" s="112">
        <f t="shared" si="35"/>
        <v>2186.6000000000004</v>
      </c>
      <c r="AJ15" s="111">
        <v>0</v>
      </c>
      <c r="AK15" s="111">
        <v>0</v>
      </c>
      <c r="AL15" s="112">
        <f t="shared" ca="1" si="36"/>
        <v>0</v>
      </c>
      <c r="AM15" s="112">
        <f t="shared" si="37"/>
        <v>0</v>
      </c>
      <c r="AN15" s="80">
        <f t="shared" si="38"/>
        <v>29</v>
      </c>
      <c r="AO15" s="12">
        <f t="shared" si="39"/>
        <v>2186.6000000000004</v>
      </c>
      <c r="AP15" s="10">
        <v>0</v>
      </c>
      <c r="AQ15" s="10">
        <v>0</v>
      </c>
      <c r="AR15" s="12">
        <f t="shared" si="40"/>
        <v>0</v>
      </c>
      <c r="AS15" s="12">
        <f t="shared" si="41"/>
        <v>0</v>
      </c>
      <c r="AT15" s="13">
        <f t="shared" si="42"/>
        <v>29</v>
      </c>
      <c r="AU15" s="12">
        <f t="shared" si="43"/>
        <v>2186.6000000000004</v>
      </c>
      <c r="AV15" s="10">
        <v>0</v>
      </c>
      <c r="AW15" s="10">
        <v>0</v>
      </c>
      <c r="AX15" s="12">
        <f t="shared" si="44"/>
        <v>0</v>
      </c>
      <c r="AY15" s="12">
        <f t="shared" si="45"/>
        <v>0</v>
      </c>
      <c r="AZ15" s="32">
        <f t="shared" si="46"/>
        <v>29</v>
      </c>
      <c r="BA15" s="12">
        <f t="shared" si="47"/>
        <v>2186.6000000000004</v>
      </c>
      <c r="BB15" s="10">
        <v>0</v>
      </c>
      <c r="BC15" s="10">
        <v>0</v>
      </c>
      <c r="BD15" s="12">
        <f t="shared" si="48"/>
        <v>0</v>
      </c>
      <c r="BE15" s="12">
        <f t="shared" si="49"/>
        <v>0</v>
      </c>
      <c r="BF15" s="13">
        <f t="shared" si="50"/>
        <v>29</v>
      </c>
      <c r="BG15" s="12">
        <f t="shared" si="18"/>
        <v>2186.6000000000004</v>
      </c>
      <c r="BH15" s="10">
        <v>0</v>
      </c>
      <c r="BI15" s="10">
        <v>0</v>
      </c>
      <c r="BJ15" s="12">
        <f t="shared" si="19"/>
        <v>0</v>
      </c>
      <c r="BK15" s="12">
        <f t="shared" si="20"/>
        <v>0</v>
      </c>
      <c r="BL15" s="13">
        <f t="shared" si="51"/>
        <v>29</v>
      </c>
      <c r="BM15" s="12">
        <f t="shared" si="21"/>
        <v>2186.6000000000004</v>
      </c>
      <c r="BN15" s="10">
        <v>0</v>
      </c>
      <c r="BO15" s="10">
        <v>0</v>
      </c>
      <c r="BP15" s="12">
        <f t="shared" si="22"/>
        <v>0</v>
      </c>
      <c r="BQ15" s="12">
        <f t="shared" si="23"/>
        <v>0</v>
      </c>
      <c r="BR15" s="13">
        <f t="shared" si="52"/>
        <v>29</v>
      </c>
      <c r="BS15" s="12">
        <f t="shared" si="24"/>
        <v>2186.6000000000004</v>
      </c>
      <c r="BT15" s="10">
        <v>0</v>
      </c>
      <c r="BU15" s="10">
        <v>0</v>
      </c>
      <c r="BV15" s="12">
        <f t="shared" si="25"/>
        <v>0</v>
      </c>
      <c r="BW15" s="12">
        <f t="shared" si="26"/>
        <v>0</v>
      </c>
      <c r="BX15" s="13">
        <f t="shared" si="53"/>
        <v>29</v>
      </c>
      <c r="BY15" s="12">
        <f t="shared" si="27"/>
        <v>2186.6000000000004</v>
      </c>
      <c r="BZ15" s="10">
        <v>0</v>
      </c>
      <c r="CA15" s="10">
        <v>0</v>
      </c>
      <c r="CB15" s="12">
        <f t="shared" si="28"/>
        <v>0</v>
      </c>
      <c r="CC15" s="12">
        <f t="shared" si="29"/>
        <v>0</v>
      </c>
      <c r="CD15" s="31" t="s">
        <v>84</v>
      </c>
      <c r="CE15" s="12">
        <f t="shared" si="30"/>
        <v>2186.6000000000004</v>
      </c>
      <c r="CF15" s="5"/>
    </row>
    <row r="16" spans="1:84" ht="80.25" customHeight="1">
      <c r="A16" s="148" t="s">
        <v>85</v>
      </c>
      <c r="B16" s="148" t="s">
        <v>86</v>
      </c>
      <c r="C16" s="151" t="s">
        <v>87</v>
      </c>
      <c r="D16" s="148" t="s">
        <v>88</v>
      </c>
      <c r="E16" s="181"/>
      <c r="F16" s="181"/>
      <c r="G16" s="181"/>
      <c r="H16" s="170">
        <v>27</v>
      </c>
      <c r="I16" s="159">
        <v>75</v>
      </c>
      <c r="J16" s="56">
        <v>0</v>
      </c>
      <c r="K16" s="12">
        <f t="shared" si="0"/>
        <v>0</v>
      </c>
      <c r="L16" s="10">
        <v>0</v>
      </c>
      <c r="M16" s="10">
        <v>0</v>
      </c>
      <c r="N16" s="12">
        <f t="shared" si="1"/>
        <v>0</v>
      </c>
      <c r="O16" s="12">
        <f t="shared" si="2"/>
        <v>0</v>
      </c>
      <c r="P16" s="56">
        <v>0</v>
      </c>
      <c r="Q16" s="12">
        <f t="shared" si="3"/>
        <v>0</v>
      </c>
      <c r="R16" s="10">
        <v>0</v>
      </c>
      <c r="S16" s="56">
        <v>0</v>
      </c>
      <c r="T16" s="12">
        <f t="shared" si="4"/>
        <v>0</v>
      </c>
      <c r="U16" s="12">
        <f t="shared" si="5"/>
        <v>0</v>
      </c>
      <c r="V16" s="56">
        <v>0</v>
      </c>
      <c r="W16" s="12">
        <f t="shared" si="6"/>
        <v>0</v>
      </c>
      <c r="X16" s="10">
        <v>0</v>
      </c>
      <c r="Y16" s="10">
        <v>0</v>
      </c>
      <c r="Z16" s="12">
        <f t="shared" si="7"/>
        <v>0</v>
      </c>
      <c r="AA16" s="12">
        <f t="shared" si="8"/>
        <v>0</v>
      </c>
      <c r="AB16" s="80">
        <v>27</v>
      </c>
      <c r="AC16" s="117">
        <f t="shared" si="31"/>
        <v>2025</v>
      </c>
      <c r="AD16" s="10">
        <v>0</v>
      </c>
      <c r="AE16" s="10">
        <v>0</v>
      </c>
      <c r="AF16" s="117">
        <f t="shared" si="32"/>
        <v>0</v>
      </c>
      <c r="AG16" s="118">
        <f t="shared" si="33"/>
        <v>0</v>
      </c>
      <c r="AH16" s="80">
        <f t="shared" si="34"/>
        <v>27</v>
      </c>
      <c r="AI16" s="112">
        <f t="shared" si="35"/>
        <v>2025</v>
      </c>
      <c r="AJ16" s="111">
        <v>0</v>
      </c>
      <c r="AK16" s="111">
        <v>0</v>
      </c>
      <c r="AL16" s="112">
        <f t="shared" ca="1" si="36"/>
        <v>0</v>
      </c>
      <c r="AM16" s="112">
        <f t="shared" si="37"/>
        <v>0</v>
      </c>
      <c r="AN16" s="80">
        <f t="shared" si="38"/>
        <v>27</v>
      </c>
      <c r="AO16" s="12">
        <f t="shared" si="39"/>
        <v>2025</v>
      </c>
      <c r="AP16" s="10">
        <v>0</v>
      </c>
      <c r="AQ16" s="10">
        <v>0</v>
      </c>
      <c r="AR16" s="12">
        <f t="shared" si="40"/>
        <v>0</v>
      </c>
      <c r="AS16" s="12">
        <f t="shared" si="41"/>
        <v>0</v>
      </c>
      <c r="AT16" s="13">
        <f t="shared" si="42"/>
        <v>27</v>
      </c>
      <c r="AU16" s="12">
        <f t="shared" si="43"/>
        <v>2025</v>
      </c>
      <c r="AV16" s="10">
        <v>0</v>
      </c>
      <c r="AW16" s="10">
        <v>0</v>
      </c>
      <c r="AX16" s="12">
        <f t="shared" si="44"/>
        <v>0</v>
      </c>
      <c r="AY16" s="12">
        <f t="shared" si="45"/>
        <v>0</v>
      </c>
      <c r="AZ16" s="32">
        <f t="shared" si="46"/>
        <v>27</v>
      </c>
      <c r="BA16" s="12">
        <f t="shared" si="47"/>
        <v>2025</v>
      </c>
      <c r="BB16" s="10">
        <v>0</v>
      </c>
      <c r="BC16" s="10">
        <v>0</v>
      </c>
      <c r="BD16" s="12">
        <f t="shared" si="48"/>
        <v>0</v>
      </c>
      <c r="BE16" s="12">
        <f t="shared" si="49"/>
        <v>0</v>
      </c>
      <c r="BF16" s="13">
        <f t="shared" si="50"/>
        <v>27</v>
      </c>
      <c r="BG16" s="12">
        <f t="shared" si="18"/>
        <v>2025</v>
      </c>
      <c r="BH16" s="10">
        <v>0</v>
      </c>
      <c r="BI16" s="10">
        <v>0</v>
      </c>
      <c r="BJ16" s="12">
        <f t="shared" si="19"/>
        <v>0</v>
      </c>
      <c r="BK16" s="12">
        <f t="shared" si="20"/>
        <v>0</v>
      </c>
      <c r="BL16" s="13">
        <f t="shared" si="51"/>
        <v>27</v>
      </c>
      <c r="BM16" s="12">
        <f t="shared" si="21"/>
        <v>2025</v>
      </c>
      <c r="BN16" s="10">
        <v>0</v>
      </c>
      <c r="BO16" s="10">
        <v>0</v>
      </c>
      <c r="BP16" s="12">
        <f t="shared" si="22"/>
        <v>0</v>
      </c>
      <c r="BQ16" s="12">
        <f t="shared" si="23"/>
        <v>0</v>
      </c>
      <c r="BR16" s="13">
        <f t="shared" si="52"/>
        <v>27</v>
      </c>
      <c r="BS16" s="12">
        <f t="shared" si="24"/>
        <v>2025</v>
      </c>
      <c r="BT16" s="10">
        <v>0</v>
      </c>
      <c r="BU16" s="10">
        <v>0</v>
      </c>
      <c r="BV16" s="12">
        <f t="shared" si="25"/>
        <v>0</v>
      </c>
      <c r="BW16" s="12">
        <f t="shared" si="26"/>
        <v>0</v>
      </c>
      <c r="BX16" s="13">
        <f t="shared" si="53"/>
        <v>27</v>
      </c>
      <c r="BY16" s="12">
        <f t="shared" si="27"/>
        <v>2025</v>
      </c>
      <c r="BZ16" s="10">
        <v>0</v>
      </c>
      <c r="CA16" s="10">
        <v>0</v>
      </c>
      <c r="CB16" s="12">
        <f t="shared" si="28"/>
        <v>0</v>
      </c>
      <c r="CC16" s="12">
        <f t="shared" si="29"/>
        <v>0</v>
      </c>
      <c r="CD16" s="31" t="s">
        <v>89</v>
      </c>
      <c r="CE16" s="12">
        <f t="shared" si="30"/>
        <v>2025</v>
      </c>
      <c r="CF16" s="5"/>
    </row>
    <row r="17" spans="1:84" ht="80.25" customHeight="1">
      <c r="A17" s="148" t="s">
        <v>90</v>
      </c>
      <c r="B17" s="148" t="s">
        <v>91</v>
      </c>
      <c r="C17" s="151" t="s">
        <v>92</v>
      </c>
      <c r="D17" s="148" t="s">
        <v>88</v>
      </c>
      <c r="E17" s="149"/>
      <c r="F17" s="149"/>
      <c r="G17" s="149"/>
      <c r="H17" s="164">
        <v>15</v>
      </c>
      <c r="I17" s="159">
        <v>26</v>
      </c>
      <c r="J17" s="56">
        <v>0</v>
      </c>
      <c r="K17" s="12">
        <f t="shared" si="0"/>
        <v>0</v>
      </c>
      <c r="L17" s="10">
        <v>0</v>
      </c>
      <c r="M17" s="10">
        <v>0</v>
      </c>
      <c r="N17" s="12">
        <f t="shared" si="1"/>
        <v>0</v>
      </c>
      <c r="O17" s="12">
        <f t="shared" si="2"/>
        <v>0</v>
      </c>
      <c r="P17" s="56">
        <v>0</v>
      </c>
      <c r="Q17" s="12">
        <f t="shared" si="3"/>
        <v>0</v>
      </c>
      <c r="R17" s="10">
        <v>0</v>
      </c>
      <c r="S17" s="56">
        <v>0</v>
      </c>
      <c r="T17" s="12">
        <f t="shared" si="4"/>
        <v>0</v>
      </c>
      <c r="U17" s="12">
        <f t="shared" si="5"/>
        <v>0</v>
      </c>
      <c r="V17" s="56">
        <v>0</v>
      </c>
      <c r="W17" s="12">
        <f t="shared" si="6"/>
        <v>0</v>
      </c>
      <c r="X17" s="10">
        <v>0</v>
      </c>
      <c r="Y17" s="10">
        <v>0</v>
      </c>
      <c r="Z17" s="12">
        <f t="shared" si="7"/>
        <v>0</v>
      </c>
      <c r="AA17" s="12">
        <f t="shared" si="8"/>
        <v>0</v>
      </c>
      <c r="AB17" s="80">
        <v>15</v>
      </c>
      <c r="AC17" s="117">
        <f t="shared" si="31"/>
        <v>390</v>
      </c>
      <c r="AD17" s="10">
        <v>0</v>
      </c>
      <c r="AE17" s="10">
        <v>0</v>
      </c>
      <c r="AF17" s="117">
        <f t="shared" si="32"/>
        <v>0</v>
      </c>
      <c r="AG17" s="118">
        <f t="shared" si="33"/>
        <v>0</v>
      </c>
      <c r="AH17" s="80">
        <f t="shared" si="34"/>
        <v>15</v>
      </c>
      <c r="AI17" s="112">
        <f t="shared" si="35"/>
        <v>390</v>
      </c>
      <c r="AJ17" s="111">
        <v>0</v>
      </c>
      <c r="AK17" s="111">
        <v>0</v>
      </c>
      <c r="AL17" s="112">
        <f t="shared" ca="1" si="36"/>
        <v>0</v>
      </c>
      <c r="AM17" s="112">
        <f t="shared" si="37"/>
        <v>0</v>
      </c>
      <c r="AN17" s="80">
        <f t="shared" si="38"/>
        <v>15</v>
      </c>
      <c r="AO17" s="12">
        <f t="shared" si="39"/>
        <v>390</v>
      </c>
      <c r="AP17" s="10">
        <v>0</v>
      </c>
      <c r="AQ17" s="10">
        <v>0</v>
      </c>
      <c r="AR17" s="12">
        <f t="shared" si="40"/>
        <v>0</v>
      </c>
      <c r="AS17" s="12">
        <f t="shared" si="41"/>
        <v>0</v>
      </c>
      <c r="AT17" s="13">
        <f t="shared" si="42"/>
        <v>15</v>
      </c>
      <c r="AU17" s="12">
        <f t="shared" si="43"/>
        <v>390</v>
      </c>
      <c r="AV17" s="10">
        <v>0</v>
      </c>
      <c r="AW17" s="10">
        <v>0</v>
      </c>
      <c r="AX17" s="12">
        <f t="shared" si="44"/>
        <v>0</v>
      </c>
      <c r="AY17" s="12">
        <f t="shared" si="45"/>
        <v>0</v>
      </c>
      <c r="AZ17" s="32">
        <f t="shared" si="46"/>
        <v>15</v>
      </c>
      <c r="BA17" s="12">
        <f t="shared" si="47"/>
        <v>390</v>
      </c>
      <c r="BB17" s="10">
        <v>0</v>
      </c>
      <c r="BC17" s="10">
        <v>0</v>
      </c>
      <c r="BD17" s="12">
        <f t="shared" si="48"/>
        <v>0</v>
      </c>
      <c r="BE17" s="12">
        <f t="shared" si="49"/>
        <v>0</v>
      </c>
      <c r="BF17" s="13">
        <f t="shared" si="50"/>
        <v>15</v>
      </c>
      <c r="BG17" s="12">
        <f t="shared" si="18"/>
        <v>390</v>
      </c>
      <c r="BH17" s="10">
        <v>0</v>
      </c>
      <c r="BI17" s="10">
        <v>0</v>
      </c>
      <c r="BJ17" s="12">
        <f t="shared" si="19"/>
        <v>0</v>
      </c>
      <c r="BK17" s="12">
        <f t="shared" si="20"/>
        <v>0</v>
      </c>
      <c r="BL17" s="13">
        <f t="shared" si="51"/>
        <v>15</v>
      </c>
      <c r="BM17" s="12">
        <f t="shared" si="21"/>
        <v>390</v>
      </c>
      <c r="BN17" s="10">
        <v>0</v>
      </c>
      <c r="BO17" s="10">
        <v>0</v>
      </c>
      <c r="BP17" s="12">
        <f t="shared" si="22"/>
        <v>0</v>
      </c>
      <c r="BQ17" s="12">
        <f t="shared" si="23"/>
        <v>0</v>
      </c>
      <c r="BR17" s="13">
        <f t="shared" si="52"/>
        <v>15</v>
      </c>
      <c r="BS17" s="12">
        <f t="shared" si="24"/>
        <v>390</v>
      </c>
      <c r="BT17" s="10">
        <v>0</v>
      </c>
      <c r="BU17" s="10">
        <v>0</v>
      </c>
      <c r="BV17" s="12">
        <f t="shared" si="25"/>
        <v>0</v>
      </c>
      <c r="BW17" s="12">
        <f t="shared" si="26"/>
        <v>0</v>
      </c>
      <c r="BX17" s="13">
        <f t="shared" si="53"/>
        <v>15</v>
      </c>
      <c r="BY17" s="12">
        <f t="shared" si="27"/>
        <v>390</v>
      </c>
      <c r="BZ17" s="10">
        <v>0</v>
      </c>
      <c r="CA17" s="10">
        <v>0</v>
      </c>
      <c r="CB17" s="12">
        <f t="shared" si="28"/>
        <v>0</v>
      </c>
      <c r="CC17" s="12">
        <f t="shared" si="29"/>
        <v>0</v>
      </c>
      <c r="CD17" s="31">
        <v>15</v>
      </c>
      <c r="CE17" s="12">
        <f t="shared" si="30"/>
        <v>390</v>
      </c>
      <c r="CF17" s="5"/>
    </row>
    <row r="18" spans="1:84" ht="80.25" customHeight="1">
      <c r="A18" s="148" t="s">
        <v>93</v>
      </c>
      <c r="B18" s="148" t="s">
        <v>94</v>
      </c>
      <c r="C18" s="151" t="s">
        <v>95</v>
      </c>
      <c r="D18" s="148" t="s">
        <v>88</v>
      </c>
      <c r="E18" s="149"/>
      <c r="F18" s="149"/>
      <c r="G18" s="149"/>
      <c r="H18" s="170">
        <v>636</v>
      </c>
      <c r="I18" s="159">
        <v>15</v>
      </c>
      <c r="J18" s="56">
        <v>0</v>
      </c>
      <c r="K18" s="12">
        <f t="shared" si="0"/>
        <v>0</v>
      </c>
      <c r="L18" s="10">
        <v>0</v>
      </c>
      <c r="M18" s="10">
        <v>0</v>
      </c>
      <c r="N18" s="12">
        <f t="shared" si="1"/>
        <v>0</v>
      </c>
      <c r="O18" s="12">
        <f t="shared" si="2"/>
        <v>0</v>
      </c>
      <c r="P18" s="56">
        <v>0</v>
      </c>
      <c r="Q18" s="12">
        <f t="shared" si="3"/>
        <v>0</v>
      </c>
      <c r="R18" s="10">
        <v>0</v>
      </c>
      <c r="S18" s="56">
        <v>0</v>
      </c>
      <c r="T18" s="12">
        <f t="shared" si="4"/>
        <v>0</v>
      </c>
      <c r="U18" s="12">
        <f t="shared" si="5"/>
        <v>0</v>
      </c>
      <c r="V18" s="56">
        <v>0</v>
      </c>
      <c r="W18" s="12">
        <f t="shared" si="6"/>
        <v>0</v>
      </c>
      <c r="X18" s="10">
        <v>0</v>
      </c>
      <c r="Y18" s="10">
        <v>0</v>
      </c>
      <c r="Z18" s="12">
        <f t="shared" si="7"/>
        <v>0</v>
      </c>
      <c r="AA18" s="12">
        <f t="shared" si="8"/>
        <v>0</v>
      </c>
      <c r="AB18" s="80">
        <v>636</v>
      </c>
      <c r="AC18" s="117">
        <f t="shared" si="31"/>
        <v>9540</v>
      </c>
      <c r="AD18" s="10">
        <v>0</v>
      </c>
      <c r="AE18" s="10">
        <v>0</v>
      </c>
      <c r="AF18" s="117">
        <f t="shared" si="32"/>
        <v>0</v>
      </c>
      <c r="AG18" s="118">
        <f t="shared" si="33"/>
        <v>0</v>
      </c>
      <c r="AH18" s="80">
        <f t="shared" si="34"/>
        <v>636</v>
      </c>
      <c r="AI18" s="112">
        <f t="shared" si="35"/>
        <v>9540</v>
      </c>
      <c r="AJ18" s="111">
        <v>11</v>
      </c>
      <c r="AK18" s="111">
        <v>0</v>
      </c>
      <c r="AL18" s="112">
        <f t="shared" ca="1" si="36"/>
        <v>0</v>
      </c>
      <c r="AM18" s="112">
        <f t="shared" si="37"/>
        <v>-165</v>
      </c>
      <c r="AN18" s="80">
        <f t="shared" si="38"/>
        <v>625</v>
      </c>
      <c r="AO18" s="12">
        <f t="shared" si="39"/>
        <v>9375</v>
      </c>
      <c r="AP18" s="10">
        <v>0</v>
      </c>
      <c r="AQ18" s="10">
        <v>0</v>
      </c>
      <c r="AR18" s="12">
        <f t="shared" si="40"/>
        <v>0</v>
      </c>
      <c r="AS18" s="12">
        <f t="shared" si="41"/>
        <v>0</v>
      </c>
      <c r="AT18" s="13">
        <f t="shared" si="42"/>
        <v>625</v>
      </c>
      <c r="AU18" s="12">
        <f t="shared" si="43"/>
        <v>9375</v>
      </c>
      <c r="AV18" s="10">
        <v>2</v>
      </c>
      <c r="AW18" s="10">
        <v>0</v>
      </c>
      <c r="AX18" s="12">
        <f t="shared" si="44"/>
        <v>0</v>
      </c>
      <c r="AY18" s="12">
        <f t="shared" si="45"/>
        <v>30</v>
      </c>
      <c r="AZ18" s="32">
        <f t="shared" si="46"/>
        <v>623</v>
      </c>
      <c r="BA18" s="12">
        <f t="shared" si="47"/>
        <v>9345</v>
      </c>
      <c r="BB18" s="10">
        <v>0</v>
      </c>
      <c r="BC18" s="10">
        <v>0</v>
      </c>
      <c r="BD18" s="12">
        <f t="shared" si="48"/>
        <v>0</v>
      </c>
      <c r="BE18" s="12">
        <f t="shared" si="49"/>
        <v>0</v>
      </c>
      <c r="BF18" s="13">
        <f t="shared" si="50"/>
        <v>623</v>
      </c>
      <c r="BG18" s="12">
        <f t="shared" si="18"/>
        <v>9345</v>
      </c>
      <c r="BH18" s="10">
        <v>0</v>
      </c>
      <c r="BI18" s="10">
        <v>0</v>
      </c>
      <c r="BJ18" s="12">
        <f t="shared" si="19"/>
        <v>0</v>
      </c>
      <c r="BK18" s="12">
        <f t="shared" si="20"/>
        <v>0</v>
      </c>
      <c r="BL18" s="13">
        <f t="shared" si="51"/>
        <v>623</v>
      </c>
      <c r="BM18" s="12">
        <f t="shared" si="21"/>
        <v>9345</v>
      </c>
      <c r="BN18" s="10">
        <v>0</v>
      </c>
      <c r="BO18" s="10">
        <v>0</v>
      </c>
      <c r="BP18" s="12">
        <f t="shared" si="22"/>
        <v>0</v>
      </c>
      <c r="BQ18" s="12">
        <f t="shared" si="23"/>
        <v>0</v>
      </c>
      <c r="BR18" s="13">
        <f t="shared" si="52"/>
        <v>623</v>
      </c>
      <c r="BS18" s="12">
        <f t="shared" si="24"/>
        <v>9345</v>
      </c>
      <c r="BT18" s="10">
        <v>0</v>
      </c>
      <c r="BU18" s="10">
        <v>0</v>
      </c>
      <c r="BV18" s="12">
        <f t="shared" si="25"/>
        <v>0</v>
      </c>
      <c r="BW18" s="12">
        <f t="shared" si="26"/>
        <v>0</v>
      </c>
      <c r="BX18" s="13">
        <f t="shared" si="53"/>
        <v>623</v>
      </c>
      <c r="BY18" s="12">
        <f t="shared" si="27"/>
        <v>9345</v>
      </c>
      <c r="BZ18" s="10">
        <v>0</v>
      </c>
      <c r="CA18" s="10">
        <v>0</v>
      </c>
      <c r="CB18" s="12">
        <f t="shared" si="28"/>
        <v>0</v>
      </c>
      <c r="CC18" s="12">
        <f t="shared" si="29"/>
        <v>0</v>
      </c>
      <c r="CD18" s="31" t="s">
        <v>96</v>
      </c>
      <c r="CE18" s="12">
        <f t="shared" si="30"/>
        <v>9375</v>
      </c>
      <c r="CF18" s="5"/>
    </row>
    <row r="19" spans="1:84" ht="80.25" customHeight="1">
      <c r="A19" s="148"/>
      <c r="B19" s="148" t="s">
        <v>97</v>
      </c>
      <c r="C19" s="180" t="s">
        <v>98</v>
      </c>
      <c r="D19" s="148"/>
      <c r="E19" s="149"/>
      <c r="F19" s="149"/>
      <c r="G19" s="149"/>
      <c r="H19" s="170"/>
      <c r="I19" s="159"/>
      <c r="J19" s="56"/>
      <c r="K19" s="12"/>
      <c r="L19" s="10"/>
      <c r="M19" s="10"/>
      <c r="N19" s="12"/>
      <c r="O19" s="12"/>
      <c r="P19" s="56"/>
      <c r="Q19" s="12"/>
      <c r="R19" s="10"/>
      <c r="S19" s="56"/>
      <c r="T19" s="12"/>
      <c r="U19" s="12"/>
      <c r="V19" s="56"/>
      <c r="W19" s="12"/>
      <c r="X19" s="10"/>
      <c r="Y19" s="10"/>
      <c r="Z19" s="12"/>
      <c r="AA19" s="12"/>
      <c r="AB19" s="80"/>
      <c r="AC19" s="117"/>
      <c r="AD19" s="10"/>
      <c r="AE19" s="10"/>
      <c r="AF19" s="117"/>
      <c r="AG19" s="118"/>
      <c r="AH19" s="80"/>
      <c r="AI19" s="112"/>
      <c r="AJ19" s="111"/>
      <c r="AK19" s="111"/>
      <c r="AL19" s="112"/>
      <c r="AM19" s="112"/>
      <c r="AN19" s="80"/>
      <c r="AO19" s="12"/>
      <c r="AP19" s="10"/>
      <c r="AQ19" s="10"/>
      <c r="AR19" s="12"/>
      <c r="AS19" s="12"/>
      <c r="AT19" s="13"/>
      <c r="AU19" s="12"/>
      <c r="AV19" s="10"/>
      <c r="AW19" s="10">
        <v>15</v>
      </c>
      <c r="AX19" s="12"/>
      <c r="AY19" s="12"/>
      <c r="AZ19" s="32"/>
      <c r="BA19" s="12"/>
      <c r="BB19" s="10"/>
      <c r="BC19" s="10"/>
      <c r="BD19" s="12"/>
      <c r="BE19" s="12"/>
      <c r="BF19" s="13"/>
      <c r="BG19" s="12"/>
      <c r="BH19" s="10"/>
      <c r="BI19" s="10"/>
      <c r="BJ19" s="12"/>
      <c r="BK19" s="12"/>
      <c r="BL19" s="13"/>
      <c r="BM19" s="12"/>
      <c r="BN19" s="10"/>
      <c r="BO19" s="10"/>
      <c r="BP19" s="12"/>
      <c r="BQ19" s="12"/>
      <c r="BR19" s="13"/>
      <c r="BS19" s="12"/>
      <c r="BT19" s="10"/>
      <c r="BU19" s="10"/>
      <c r="BV19" s="12"/>
      <c r="BW19" s="12"/>
      <c r="BX19" s="13"/>
      <c r="BY19" s="12"/>
      <c r="BZ19" s="10"/>
      <c r="CA19" s="10"/>
      <c r="CB19" s="12"/>
      <c r="CC19" s="12"/>
      <c r="CD19" s="31"/>
      <c r="CE19" s="12"/>
      <c r="CF19" s="5"/>
    </row>
    <row r="20" spans="1:84" ht="80.25" customHeight="1">
      <c r="A20" s="148" t="s">
        <v>99</v>
      </c>
      <c r="B20" s="148" t="s">
        <v>100</v>
      </c>
      <c r="C20" s="151" t="s">
        <v>101</v>
      </c>
      <c r="D20" s="148" t="s">
        <v>102</v>
      </c>
      <c r="E20" s="149"/>
      <c r="F20" s="149"/>
      <c r="G20" s="149"/>
      <c r="H20" s="170">
        <v>3</v>
      </c>
      <c r="I20" s="159">
        <v>1</v>
      </c>
      <c r="J20" s="56">
        <v>0</v>
      </c>
      <c r="K20" s="12">
        <f t="shared" ref="K20:K51" si="54">I20*J20</f>
        <v>0</v>
      </c>
      <c r="L20" s="10">
        <v>0</v>
      </c>
      <c r="M20" s="10">
        <v>0</v>
      </c>
      <c r="N20" s="12">
        <f t="shared" ref="N20:N51" si="55">M20*I20</f>
        <v>0</v>
      </c>
      <c r="O20" s="12">
        <f t="shared" ref="O20:O51" si="56">L20*I20</f>
        <v>0</v>
      </c>
      <c r="P20" s="56">
        <v>0</v>
      </c>
      <c r="Q20" s="12">
        <f t="shared" ref="Q20:Q51" si="57">P20*I20</f>
        <v>0</v>
      </c>
      <c r="R20" s="10">
        <v>0</v>
      </c>
      <c r="S20" s="56">
        <v>0</v>
      </c>
      <c r="T20" s="12">
        <f t="shared" ref="T20:T51" si="58">S20*O20</f>
        <v>0</v>
      </c>
      <c r="U20" s="12">
        <f t="shared" ref="U20:U51" si="59">R20*O20</f>
        <v>0</v>
      </c>
      <c r="V20" s="56">
        <v>0</v>
      </c>
      <c r="W20" s="12">
        <f t="shared" ref="W20:W51" si="60">V20*O20</f>
        <v>0</v>
      </c>
      <c r="X20" s="10">
        <v>0</v>
      </c>
      <c r="Y20" s="10">
        <v>0</v>
      </c>
      <c r="Z20" s="12">
        <f t="shared" ref="Z20:Z51" si="61">Y20*U20</f>
        <v>0</v>
      </c>
      <c r="AA20" s="12">
        <f t="shared" ref="AA20:AA51" si="62">X20*U20</f>
        <v>0</v>
      </c>
      <c r="AB20" s="80">
        <v>3</v>
      </c>
      <c r="AC20" s="117">
        <f t="shared" si="31"/>
        <v>3</v>
      </c>
      <c r="AD20" s="10">
        <v>0</v>
      </c>
      <c r="AE20" s="10">
        <v>0</v>
      </c>
      <c r="AF20" s="117">
        <f t="shared" si="32"/>
        <v>0</v>
      </c>
      <c r="AG20" s="118">
        <f t="shared" si="33"/>
        <v>0</v>
      </c>
      <c r="AH20" s="80">
        <f t="shared" si="34"/>
        <v>3</v>
      </c>
      <c r="AI20" s="112">
        <f t="shared" ref="AI20:AI51" si="63">AH20*I20</f>
        <v>3</v>
      </c>
      <c r="AJ20" s="111">
        <v>0</v>
      </c>
      <c r="AK20" s="111">
        <v>0</v>
      </c>
      <c r="AL20" s="112">
        <f t="shared" ref="AL20:AL40" ca="1" si="64">AL20*I20</f>
        <v>0</v>
      </c>
      <c r="AM20" s="112">
        <f t="shared" ref="AM20:AM40" si="65">-AJ20*I20</f>
        <v>0</v>
      </c>
      <c r="AN20" s="80">
        <f t="shared" si="38"/>
        <v>3</v>
      </c>
      <c r="AO20" s="12">
        <f t="shared" si="39"/>
        <v>3</v>
      </c>
      <c r="AP20" s="10">
        <v>0</v>
      </c>
      <c r="AQ20" s="10">
        <v>0</v>
      </c>
      <c r="AR20" s="12">
        <f t="shared" si="40"/>
        <v>0</v>
      </c>
      <c r="AS20" s="12">
        <f t="shared" si="41"/>
        <v>0</v>
      </c>
      <c r="AT20" s="13">
        <f t="shared" si="42"/>
        <v>3</v>
      </c>
      <c r="AU20" s="12">
        <f t="shared" si="43"/>
        <v>3</v>
      </c>
      <c r="AV20" s="10">
        <v>0</v>
      </c>
      <c r="AW20" s="10">
        <v>0</v>
      </c>
      <c r="AX20" s="12">
        <f t="shared" si="44"/>
        <v>0</v>
      </c>
      <c r="AY20" s="12">
        <f t="shared" si="45"/>
        <v>0</v>
      </c>
      <c r="AZ20" s="32">
        <f t="shared" si="46"/>
        <v>3</v>
      </c>
      <c r="BA20" s="12">
        <f t="shared" si="47"/>
        <v>3</v>
      </c>
      <c r="BB20" s="10">
        <v>0</v>
      </c>
      <c r="BC20" s="10">
        <v>0</v>
      </c>
      <c r="BD20" s="12">
        <f t="shared" si="48"/>
        <v>0</v>
      </c>
      <c r="BE20" s="12">
        <f t="shared" si="49"/>
        <v>0</v>
      </c>
      <c r="BF20" s="13">
        <f t="shared" ref="BF20:BF33" si="66">AZ20-BB20+BC20</f>
        <v>3</v>
      </c>
      <c r="BG20" s="12">
        <f t="shared" ref="BG20:BG33" si="67">BF20*I20</f>
        <v>3</v>
      </c>
      <c r="BH20" s="10">
        <v>0</v>
      </c>
      <c r="BI20" s="10">
        <v>0</v>
      </c>
      <c r="BJ20" s="12">
        <f t="shared" ref="BJ20:BJ33" si="68">BI20*I20</f>
        <v>0</v>
      </c>
      <c r="BK20" s="12">
        <f t="shared" ref="BK20:BK33" si="69">BH20*I20</f>
        <v>0</v>
      </c>
      <c r="BL20" s="13">
        <f t="shared" ref="BL20:BL33" si="70">BF20-BH20+BI20</f>
        <v>3</v>
      </c>
      <c r="BM20" s="12">
        <f t="shared" ref="BM20:BM33" si="71">BL20*I20</f>
        <v>3</v>
      </c>
      <c r="BN20" s="10">
        <v>0</v>
      </c>
      <c r="BO20" s="10">
        <v>0</v>
      </c>
      <c r="BP20" s="12">
        <f t="shared" ref="BP20:BP33" si="72">BO20*I20</f>
        <v>0</v>
      </c>
      <c r="BQ20" s="12">
        <f t="shared" ref="BQ20:BQ33" si="73">BN20*I20</f>
        <v>0</v>
      </c>
      <c r="BR20" s="13">
        <f t="shared" ref="BR20:BR33" si="74">BL20-BN20+BO20</f>
        <v>3</v>
      </c>
      <c r="BS20" s="12">
        <f t="shared" ref="BS20:BS33" si="75">BR20*I20</f>
        <v>3</v>
      </c>
      <c r="BT20" s="10">
        <v>0</v>
      </c>
      <c r="BU20" s="10">
        <v>0</v>
      </c>
      <c r="BV20" s="12">
        <f t="shared" ref="BV20:BV33" si="76">BU20*I20</f>
        <v>0</v>
      </c>
      <c r="BW20" s="12">
        <f t="shared" ref="BW20:BW33" si="77">BT20*I20</f>
        <v>0</v>
      </c>
      <c r="BX20" s="13">
        <f t="shared" ref="BX20:BX33" si="78">BR20-BT20+BU20</f>
        <v>3</v>
      </c>
      <c r="BY20" s="12">
        <f t="shared" ref="BY20:BY33" si="79">BX20*I20</f>
        <v>3</v>
      </c>
      <c r="BZ20" s="10">
        <v>0</v>
      </c>
      <c r="CA20" s="10">
        <v>0</v>
      </c>
      <c r="CB20" s="12">
        <f t="shared" ref="CB20:CB33" si="80">CA20*I20</f>
        <v>0</v>
      </c>
      <c r="CC20" s="12">
        <f t="shared" ref="CC20:CC33" si="81">BZ20*I20</f>
        <v>0</v>
      </c>
      <c r="CD20" s="31" t="s">
        <v>43</v>
      </c>
      <c r="CE20" s="12">
        <f t="shared" ref="CE20:CE36" si="82">AN20*I20</f>
        <v>3</v>
      </c>
      <c r="CF20" s="5"/>
    </row>
    <row r="21" spans="1:84" ht="80.25" customHeight="1">
      <c r="A21" s="148" t="s">
        <v>103</v>
      </c>
      <c r="B21" s="148" t="s">
        <v>104</v>
      </c>
      <c r="C21" s="151" t="s">
        <v>105</v>
      </c>
      <c r="D21" s="148" t="s">
        <v>63</v>
      </c>
      <c r="E21" s="149"/>
      <c r="F21" s="149"/>
      <c r="G21" s="149"/>
      <c r="H21" s="170">
        <v>435</v>
      </c>
      <c r="I21" s="159">
        <v>1</v>
      </c>
      <c r="J21" s="56">
        <v>0</v>
      </c>
      <c r="K21" s="12">
        <f t="shared" si="54"/>
        <v>0</v>
      </c>
      <c r="L21" s="10">
        <v>0</v>
      </c>
      <c r="M21" s="10">
        <v>0</v>
      </c>
      <c r="N21" s="12">
        <f t="shared" si="55"/>
        <v>0</v>
      </c>
      <c r="O21" s="12">
        <f t="shared" si="56"/>
        <v>0</v>
      </c>
      <c r="P21" s="56">
        <v>0</v>
      </c>
      <c r="Q21" s="12">
        <f t="shared" si="57"/>
        <v>0</v>
      </c>
      <c r="R21" s="10">
        <v>0</v>
      </c>
      <c r="S21" s="56">
        <v>0</v>
      </c>
      <c r="T21" s="12">
        <f t="shared" si="58"/>
        <v>0</v>
      </c>
      <c r="U21" s="12">
        <f t="shared" si="59"/>
        <v>0</v>
      </c>
      <c r="V21" s="56">
        <v>0</v>
      </c>
      <c r="W21" s="12">
        <f t="shared" si="60"/>
        <v>0</v>
      </c>
      <c r="X21" s="10">
        <v>0</v>
      </c>
      <c r="Y21" s="10">
        <v>0</v>
      </c>
      <c r="Z21" s="12">
        <f t="shared" si="61"/>
        <v>0</v>
      </c>
      <c r="AA21" s="12">
        <f t="shared" si="62"/>
        <v>0</v>
      </c>
      <c r="AB21" s="80">
        <v>435</v>
      </c>
      <c r="AC21" s="117">
        <f t="shared" si="31"/>
        <v>435</v>
      </c>
      <c r="AD21" s="10">
        <v>0</v>
      </c>
      <c r="AE21" s="10">
        <v>0</v>
      </c>
      <c r="AF21" s="117">
        <f t="shared" si="32"/>
        <v>0</v>
      </c>
      <c r="AG21" s="118">
        <f t="shared" si="33"/>
        <v>0</v>
      </c>
      <c r="AH21" s="80">
        <f t="shared" si="34"/>
        <v>435</v>
      </c>
      <c r="AI21" s="112">
        <f t="shared" si="63"/>
        <v>435</v>
      </c>
      <c r="AJ21" s="111">
        <v>0</v>
      </c>
      <c r="AK21" s="111">
        <v>0</v>
      </c>
      <c r="AL21" s="112">
        <f t="shared" ca="1" si="64"/>
        <v>0</v>
      </c>
      <c r="AM21" s="112">
        <f t="shared" si="65"/>
        <v>0</v>
      </c>
      <c r="AN21" s="80">
        <f t="shared" si="38"/>
        <v>435</v>
      </c>
      <c r="AO21" s="12">
        <f t="shared" si="39"/>
        <v>435</v>
      </c>
      <c r="AP21" s="10">
        <v>0</v>
      </c>
      <c r="AQ21" s="10">
        <v>0</v>
      </c>
      <c r="AR21" s="12">
        <f t="shared" si="40"/>
        <v>0</v>
      </c>
      <c r="AS21" s="12">
        <f t="shared" si="41"/>
        <v>0</v>
      </c>
      <c r="AT21" s="13">
        <f t="shared" si="42"/>
        <v>435</v>
      </c>
      <c r="AU21" s="12">
        <f t="shared" si="43"/>
        <v>435</v>
      </c>
      <c r="AV21" s="10">
        <v>0</v>
      </c>
      <c r="AW21" s="10">
        <v>0</v>
      </c>
      <c r="AX21" s="12">
        <f t="shared" si="44"/>
        <v>0</v>
      </c>
      <c r="AY21" s="12">
        <f t="shared" si="45"/>
        <v>0</v>
      </c>
      <c r="AZ21" s="32">
        <f t="shared" si="46"/>
        <v>435</v>
      </c>
      <c r="BA21" s="12">
        <f t="shared" si="47"/>
        <v>435</v>
      </c>
      <c r="BB21" s="10">
        <v>0</v>
      </c>
      <c r="BC21" s="10">
        <v>0</v>
      </c>
      <c r="BD21" s="12">
        <f t="shared" si="48"/>
        <v>0</v>
      </c>
      <c r="BE21" s="12">
        <f t="shared" si="49"/>
        <v>0</v>
      </c>
      <c r="BF21" s="13">
        <f t="shared" si="66"/>
        <v>435</v>
      </c>
      <c r="BG21" s="12">
        <f t="shared" si="67"/>
        <v>435</v>
      </c>
      <c r="BH21" s="10">
        <v>0</v>
      </c>
      <c r="BI21" s="10">
        <v>0</v>
      </c>
      <c r="BJ21" s="12">
        <f t="shared" si="68"/>
        <v>0</v>
      </c>
      <c r="BK21" s="12">
        <f t="shared" si="69"/>
        <v>0</v>
      </c>
      <c r="BL21" s="13">
        <f t="shared" si="70"/>
        <v>435</v>
      </c>
      <c r="BM21" s="12">
        <f t="shared" si="71"/>
        <v>435</v>
      </c>
      <c r="BN21" s="10">
        <v>0</v>
      </c>
      <c r="BO21" s="10">
        <v>0</v>
      </c>
      <c r="BP21" s="12">
        <f t="shared" si="72"/>
        <v>0</v>
      </c>
      <c r="BQ21" s="12">
        <f t="shared" si="73"/>
        <v>0</v>
      </c>
      <c r="BR21" s="13">
        <f t="shared" si="74"/>
        <v>435</v>
      </c>
      <c r="BS21" s="12">
        <f t="shared" si="75"/>
        <v>435</v>
      </c>
      <c r="BT21" s="10">
        <v>0</v>
      </c>
      <c r="BU21" s="10">
        <v>0</v>
      </c>
      <c r="BV21" s="12">
        <f t="shared" si="76"/>
        <v>0</v>
      </c>
      <c r="BW21" s="12">
        <f t="shared" si="77"/>
        <v>0</v>
      </c>
      <c r="BX21" s="13">
        <f t="shared" si="78"/>
        <v>435</v>
      </c>
      <c r="BY21" s="12">
        <f t="shared" si="79"/>
        <v>435</v>
      </c>
      <c r="BZ21" s="10">
        <v>0</v>
      </c>
      <c r="CA21" s="10">
        <v>0</v>
      </c>
      <c r="CB21" s="12">
        <f t="shared" si="80"/>
        <v>0</v>
      </c>
      <c r="CC21" s="12">
        <f t="shared" si="81"/>
        <v>0</v>
      </c>
      <c r="CD21" s="31" t="s">
        <v>106</v>
      </c>
      <c r="CE21" s="12">
        <f t="shared" si="82"/>
        <v>435</v>
      </c>
      <c r="CF21" s="5"/>
    </row>
    <row r="22" spans="1:84" ht="80.25" customHeight="1">
      <c r="A22" s="148" t="s">
        <v>107</v>
      </c>
      <c r="B22" s="148" t="s">
        <v>108</v>
      </c>
      <c r="C22" s="151" t="s">
        <v>109</v>
      </c>
      <c r="D22" s="148" t="s">
        <v>110</v>
      </c>
      <c r="E22" s="149"/>
      <c r="F22" s="149"/>
      <c r="G22" s="149"/>
      <c r="H22" s="170">
        <v>35</v>
      </c>
      <c r="I22" s="159">
        <v>1</v>
      </c>
      <c r="J22" s="56">
        <v>0</v>
      </c>
      <c r="K22" s="12">
        <f t="shared" si="54"/>
        <v>0</v>
      </c>
      <c r="L22" s="10">
        <v>0</v>
      </c>
      <c r="M22" s="10">
        <v>0</v>
      </c>
      <c r="N22" s="12">
        <f t="shared" si="55"/>
        <v>0</v>
      </c>
      <c r="O22" s="12">
        <f t="shared" si="56"/>
        <v>0</v>
      </c>
      <c r="P22" s="56">
        <v>0</v>
      </c>
      <c r="Q22" s="12">
        <f t="shared" si="57"/>
        <v>0</v>
      </c>
      <c r="R22" s="10">
        <v>0</v>
      </c>
      <c r="S22" s="56">
        <v>0</v>
      </c>
      <c r="T22" s="12">
        <f t="shared" si="58"/>
        <v>0</v>
      </c>
      <c r="U22" s="12">
        <f t="shared" si="59"/>
        <v>0</v>
      </c>
      <c r="V22" s="56">
        <v>0</v>
      </c>
      <c r="W22" s="12">
        <f t="shared" si="60"/>
        <v>0</v>
      </c>
      <c r="X22" s="10">
        <v>0</v>
      </c>
      <c r="Y22" s="10">
        <v>0</v>
      </c>
      <c r="Z22" s="12">
        <f t="shared" si="61"/>
        <v>0</v>
      </c>
      <c r="AA22" s="12">
        <f t="shared" si="62"/>
        <v>0</v>
      </c>
      <c r="AB22" s="80">
        <v>35</v>
      </c>
      <c r="AC22" s="117">
        <f t="shared" si="31"/>
        <v>35</v>
      </c>
      <c r="AD22" s="10">
        <v>0</v>
      </c>
      <c r="AE22" s="10">
        <v>0</v>
      </c>
      <c r="AF22" s="117">
        <f t="shared" si="32"/>
        <v>0</v>
      </c>
      <c r="AG22" s="118">
        <f t="shared" si="33"/>
        <v>0</v>
      </c>
      <c r="AH22" s="80">
        <f t="shared" si="34"/>
        <v>35</v>
      </c>
      <c r="AI22" s="112">
        <f t="shared" si="63"/>
        <v>35</v>
      </c>
      <c r="AJ22" s="111">
        <v>0</v>
      </c>
      <c r="AK22" s="111">
        <v>0</v>
      </c>
      <c r="AL22" s="112">
        <f t="shared" ca="1" si="64"/>
        <v>0</v>
      </c>
      <c r="AM22" s="112">
        <f t="shared" si="65"/>
        <v>0</v>
      </c>
      <c r="AN22" s="80">
        <f t="shared" si="38"/>
        <v>35</v>
      </c>
      <c r="AO22" s="12">
        <f t="shared" si="39"/>
        <v>35</v>
      </c>
      <c r="AP22" s="10">
        <v>0</v>
      </c>
      <c r="AQ22" s="10">
        <v>0</v>
      </c>
      <c r="AR22" s="12">
        <f t="shared" si="40"/>
        <v>0</v>
      </c>
      <c r="AS22" s="12">
        <f t="shared" si="41"/>
        <v>0</v>
      </c>
      <c r="AT22" s="13">
        <f t="shared" si="42"/>
        <v>35</v>
      </c>
      <c r="AU22" s="12">
        <f t="shared" si="43"/>
        <v>35</v>
      </c>
      <c r="AV22" s="10">
        <v>0</v>
      </c>
      <c r="AW22" s="10">
        <v>0</v>
      </c>
      <c r="AX22" s="12">
        <f t="shared" si="44"/>
        <v>0</v>
      </c>
      <c r="AY22" s="12">
        <f t="shared" si="45"/>
        <v>0</v>
      </c>
      <c r="AZ22" s="32">
        <f t="shared" si="46"/>
        <v>35</v>
      </c>
      <c r="BA22" s="12">
        <f t="shared" si="47"/>
        <v>35</v>
      </c>
      <c r="BB22" s="10">
        <v>0</v>
      </c>
      <c r="BC22" s="10">
        <v>0</v>
      </c>
      <c r="BD22" s="12">
        <f t="shared" si="48"/>
        <v>0</v>
      </c>
      <c r="BE22" s="12">
        <f t="shared" si="49"/>
        <v>0</v>
      </c>
      <c r="BF22" s="13">
        <f t="shared" si="66"/>
        <v>35</v>
      </c>
      <c r="BG22" s="12">
        <f t="shared" si="67"/>
        <v>35</v>
      </c>
      <c r="BH22" s="10">
        <v>0</v>
      </c>
      <c r="BI22" s="10">
        <v>0</v>
      </c>
      <c r="BJ22" s="12">
        <f t="shared" si="68"/>
        <v>0</v>
      </c>
      <c r="BK22" s="12">
        <f t="shared" si="69"/>
        <v>0</v>
      </c>
      <c r="BL22" s="13">
        <f t="shared" si="70"/>
        <v>35</v>
      </c>
      <c r="BM22" s="12">
        <f t="shared" si="71"/>
        <v>35</v>
      </c>
      <c r="BN22" s="10">
        <v>0</v>
      </c>
      <c r="BO22" s="10">
        <v>0</v>
      </c>
      <c r="BP22" s="12">
        <f t="shared" si="72"/>
        <v>0</v>
      </c>
      <c r="BQ22" s="12">
        <f t="shared" si="73"/>
        <v>0</v>
      </c>
      <c r="BR22" s="13">
        <f t="shared" si="74"/>
        <v>35</v>
      </c>
      <c r="BS22" s="12">
        <f t="shared" si="75"/>
        <v>35</v>
      </c>
      <c r="BT22" s="10">
        <v>0</v>
      </c>
      <c r="BU22" s="10">
        <v>0</v>
      </c>
      <c r="BV22" s="12">
        <f t="shared" si="76"/>
        <v>0</v>
      </c>
      <c r="BW22" s="12">
        <f t="shared" si="77"/>
        <v>0</v>
      </c>
      <c r="BX22" s="13">
        <f t="shared" si="78"/>
        <v>35</v>
      </c>
      <c r="BY22" s="12">
        <f t="shared" si="79"/>
        <v>35</v>
      </c>
      <c r="BZ22" s="10">
        <v>0</v>
      </c>
      <c r="CA22" s="10">
        <v>0</v>
      </c>
      <c r="CB22" s="12">
        <f t="shared" si="80"/>
        <v>0</v>
      </c>
      <c r="CC22" s="12">
        <f t="shared" si="81"/>
        <v>0</v>
      </c>
      <c r="CD22" s="31" t="s">
        <v>111</v>
      </c>
      <c r="CE22" s="12">
        <f t="shared" si="82"/>
        <v>35</v>
      </c>
      <c r="CF22" s="5"/>
    </row>
    <row r="23" spans="1:84" ht="80.25" customHeight="1">
      <c r="A23" s="148" t="s">
        <v>112</v>
      </c>
      <c r="B23" s="148" t="s">
        <v>113</v>
      </c>
      <c r="C23" s="151" t="s">
        <v>114</v>
      </c>
      <c r="D23" s="151" t="s">
        <v>110</v>
      </c>
      <c r="E23" s="149"/>
      <c r="F23" s="149"/>
      <c r="G23" s="149"/>
      <c r="H23" s="170">
        <v>105</v>
      </c>
      <c r="I23" s="159">
        <v>1</v>
      </c>
      <c r="J23" s="56">
        <v>0</v>
      </c>
      <c r="K23" s="12">
        <f t="shared" si="54"/>
        <v>0</v>
      </c>
      <c r="L23" s="10">
        <v>0</v>
      </c>
      <c r="M23" s="10">
        <v>0</v>
      </c>
      <c r="N23" s="12">
        <f t="shared" si="55"/>
        <v>0</v>
      </c>
      <c r="O23" s="12">
        <f t="shared" si="56"/>
        <v>0</v>
      </c>
      <c r="P23" s="56">
        <v>0</v>
      </c>
      <c r="Q23" s="12">
        <f t="shared" si="57"/>
        <v>0</v>
      </c>
      <c r="R23" s="10">
        <v>0</v>
      </c>
      <c r="S23" s="56">
        <v>0</v>
      </c>
      <c r="T23" s="12">
        <f t="shared" si="58"/>
        <v>0</v>
      </c>
      <c r="U23" s="12">
        <f t="shared" si="59"/>
        <v>0</v>
      </c>
      <c r="V23" s="56">
        <v>0</v>
      </c>
      <c r="W23" s="12">
        <f t="shared" si="60"/>
        <v>0</v>
      </c>
      <c r="X23" s="10">
        <v>0</v>
      </c>
      <c r="Y23" s="10">
        <v>0</v>
      </c>
      <c r="Z23" s="12">
        <f t="shared" si="61"/>
        <v>0</v>
      </c>
      <c r="AA23" s="12">
        <f t="shared" si="62"/>
        <v>0</v>
      </c>
      <c r="AB23" s="80">
        <v>105</v>
      </c>
      <c r="AC23" s="117">
        <f t="shared" si="31"/>
        <v>105</v>
      </c>
      <c r="AD23" s="10">
        <v>0</v>
      </c>
      <c r="AE23" s="10">
        <v>0</v>
      </c>
      <c r="AF23" s="117">
        <f t="shared" si="32"/>
        <v>0</v>
      </c>
      <c r="AG23" s="118">
        <f t="shared" si="33"/>
        <v>0</v>
      </c>
      <c r="AH23" s="80">
        <f t="shared" si="34"/>
        <v>105</v>
      </c>
      <c r="AI23" s="112">
        <f t="shared" si="63"/>
        <v>105</v>
      </c>
      <c r="AJ23" s="111">
        <v>0</v>
      </c>
      <c r="AK23" s="111">
        <v>0</v>
      </c>
      <c r="AL23" s="112">
        <f t="shared" ca="1" si="64"/>
        <v>0</v>
      </c>
      <c r="AM23" s="112">
        <f t="shared" si="65"/>
        <v>0</v>
      </c>
      <c r="AN23" s="80">
        <f t="shared" si="38"/>
        <v>105</v>
      </c>
      <c r="AO23" s="12">
        <f t="shared" si="39"/>
        <v>105</v>
      </c>
      <c r="AP23" s="10">
        <v>0</v>
      </c>
      <c r="AQ23" s="10">
        <v>0</v>
      </c>
      <c r="AR23" s="12">
        <f t="shared" si="40"/>
        <v>0</v>
      </c>
      <c r="AS23" s="12">
        <f t="shared" si="41"/>
        <v>0</v>
      </c>
      <c r="AT23" s="13">
        <f t="shared" si="42"/>
        <v>105</v>
      </c>
      <c r="AU23" s="12">
        <f t="shared" si="43"/>
        <v>105</v>
      </c>
      <c r="AV23" s="10">
        <v>0</v>
      </c>
      <c r="AW23" s="10">
        <v>0</v>
      </c>
      <c r="AX23" s="12">
        <f t="shared" si="44"/>
        <v>0</v>
      </c>
      <c r="AY23" s="12">
        <f t="shared" si="45"/>
        <v>0</v>
      </c>
      <c r="AZ23" s="32">
        <f t="shared" si="46"/>
        <v>105</v>
      </c>
      <c r="BA23" s="12">
        <f t="shared" si="47"/>
        <v>105</v>
      </c>
      <c r="BB23" s="10">
        <v>0</v>
      </c>
      <c r="BC23" s="10">
        <v>0</v>
      </c>
      <c r="BD23" s="12">
        <f t="shared" si="48"/>
        <v>0</v>
      </c>
      <c r="BE23" s="12">
        <f t="shared" si="49"/>
        <v>0</v>
      </c>
      <c r="BF23" s="13">
        <f t="shared" si="66"/>
        <v>105</v>
      </c>
      <c r="BG23" s="12">
        <f t="shared" si="67"/>
        <v>105</v>
      </c>
      <c r="BH23" s="10">
        <v>0</v>
      </c>
      <c r="BI23" s="10">
        <v>0</v>
      </c>
      <c r="BJ23" s="12">
        <f t="shared" si="68"/>
        <v>0</v>
      </c>
      <c r="BK23" s="12">
        <f t="shared" si="69"/>
        <v>0</v>
      </c>
      <c r="BL23" s="13">
        <f t="shared" si="70"/>
        <v>105</v>
      </c>
      <c r="BM23" s="12">
        <f t="shared" si="71"/>
        <v>105</v>
      </c>
      <c r="BN23" s="10">
        <v>0</v>
      </c>
      <c r="BO23" s="10">
        <v>0</v>
      </c>
      <c r="BP23" s="12">
        <f t="shared" si="72"/>
        <v>0</v>
      </c>
      <c r="BQ23" s="12">
        <f t="shared" si="73"/>
        <v>0</v>
      </c>
      <c r="BR23" s="13">
        <f t="shared" si="74"/>
        <v>105</v>
      </c>
      <c r="BS23" s="12">
        <f t="shared" si="75"/>
        <v>105</v>
      </c>
      <c r="BT23" s="10">
        <v>0</v>
      </c>
      <c r="BU23" s="10">
        <v>0</v>
      </c>
      <c r="BV23" s="12">
        <f t="shared" si="76"/>
        <v>0</v>
      </c>
      <c r="BW23" s="12">
        <f t="shared" si="77"/>
        <v>0</v>
      </c>
      <c r="BX23" s="13">
        <f t="shared" si="78"/>
        <v>105</v>
      </c>
      <c r="BY23" s="12">
        <f t="shared" si="79"/>
        <v>105</v>
      </c>
      <c r="BZ23" s="10">
        <v>0</v>
      </c>
      <c r="CA23" s="10">
        <v>0</v>
      </c>
      <c r="CB23" s="12">
        <f t="shared" si="80"/>
        <v>0</v>
      </c>
      <c r="CC23" s="12">
        <f t="shared" si="81"/>
        <v>0</v>
      </c>
      <c r="CD23" s="18" t="s">
        <v>115</v>
      </c>
      <c r="CE23" s="12">
        <f t="shared" si="82"/>
        <v>105</v>
      </c>
      <c r="CF23" s="5"/>
    </row>
    <row r="24" spans="1:84" ht="80.25" customHeight="1">
      <c r="A24" s="148" t="s">
        <v>116</v>
      </c>
      <c r="B24" s="148" t="s">
        <v>117</v>
      </c>
      <c r="C24" s="151" t="s">
        <v>118</v>
      </c>
      <c r="D24" s="151" t="s">
        <v>110</v>
      </c>
      <c r="E24" s="149"/>
      <c r="F24" s="149"/>
      <c r="G24" s="149"/>
      <c r="H24" s="170">
        <v>32</v>
      </c>
      <c r="I24" s="159">
        <v>1</v>
      </c>
      <c r="J24" s="56">
        <v>0</v>
      </c>
      <c r="K24" s="12">
        <f t="shared" si="54"/>
        <v>0</v>
      </c>
      <c r="L24" s="10">
        <v>0</v>
      </c>
      <c r="M24" s="10">
        <v>0</v>
      </c>
      <c r="N24" s="12">
        <f t="shared" si="55"/>
        <v>0</v>
      </c>
      <c r="O24" s="12">
        <f t="shared" si="56"/>
        <v>0</v>
      </c>
      <c r="P24" s="56">
        <v>0</v>
      </c>
      <c r="Q24" s="12">
        <f t="shared" si="57"/>
        <v>0</v>
      </c>
      <c r="R24" s="10">
        <v>0</v>
      </c>
      <c r="S24" s="56">
        <v>0</v>
      </c>
      <c r="T24" s="12">
        <f t="shared" si="58"/>
        <v>0</v>
      </c>
      <c r="U24" s="12">
        <f t="shared" si="59"/>
        <v>0</v>
      </c>
      <c r="V24" s="56">
        <v>0</v>
      </c>
      <c r="W24" s="12">
        <f t="shared" si="60"/>
        <v>0</v>
      </c>
      <c r="X24" s="10">
        <v>0</v>
      </c>
      <c r="Y24" s="10">
        <v>0</v>
      </c>
      <c r="Z24" s="12">
        <f t="shared" si="61"/>
        <v>0</v>
      </c>
      <c r="AA24" s="12">
        <f t="shared" si="62"/>
        <v>0</v>
      </c>
      <c r="AB24" s="80">
        <v>32</v>
      </c>
      <c r="AC24" s="117">
        <f t="shared" si="31"/>
        <v>32</v>
      </c>
      <c r="AD24" s="10">
        <v>0</v>
      </c>
      <c r="AE24" s="10">
        <v>0</v>
      </c>
      <c r="AF24" s="117">
        <f t="shared" si="32"/>
        <v>0</v>
      </c>
      <c r="AG24" s="118">
        <f t="shared" si="33"/>
        <v>0</v>
      </c>
      <c r="AH24" s="80">
        <f t="shared" si="34"/>
        <v>32</v>
      </c>
      <c r="AI24" s="112">
        <f t="shared" si="63"/>
        <v>32</v>
      </c>
      <c r="AJ24" s="111">
        <v>0</v>
      </c>
      <c r="AK24" s="111">
        <v>0</v>
      </c>
      <c r="AL24" s="112">
        <f t="shared" ca="1" si="64"/>
        <v>0</v>
      </c>
      <c r="AM24" s="112">
        <f t="shared" si="65"/>
        <v>0</v>
      </c>
      <c r="AN24" s="80">
        <f t="shared" si="38"/>
        <v>32</v>
      </c>
      <c r="AO24" s="12">
        <f t="shared" si="39"/>
        <v>32</v>
      </c>
      <c r="AP24" s="10">
        <v>0</v>
      </c>
      <c r="AQ24" s="10">
        <v>0</v>
      </c>
      <c r="AR24" s="12">
        <f t="shared" si="40"/>
        <v>0</v>
      </c>
      <c r="AS24" s="12">
        <f t="shared" si="41"/>
        <v>0</v>
      </c>
      <c r="AT24" s="13">
        <f t="shared" si="42"/>
        <v>32</v>
      </c>
      <c r="AU24" s="12">
        <f t="shared" si="43"/>
        <v>32</v>
      </c>
      <c r="AV24" s="10">
        <v>0</v>
      </c>
      <c r="AW24" s="10">
        <v>0</v>
      </c>
      <c r="AX24" s="12">
        <f t="shared" si="44"/>
        <v>0</v>
      </c>
      <c r="AY24" s="12">
        <f t="shared" si="45"/>
        <v>0</v>
      </c>
      <c r="AZ24" s="32">
        <f t="shared" si="46"/>
        <v>32</v>
      </c>
      <c r="BA24" s="12">
        <f t="shared" si="47"/>
        <v>32</v>
      </c>
      <c r="BB24" s="10">
        <v>0</v>
      </c>
      <c r="BC24" s="10">
        <v>0</v>
      </c>
      <c r="BD24" s="12">
        <f t="shared" si="48"/>
        <v>0</v>
      </c>
      <c r="BE24" s="12">
        <f t="shared" si="49"/>
        <v>0</v>
      </c>
      <c r="BF24" s="13">
        <f t="shared" si="66"/>
        <v>32</v>
      </c>
      <c r="BG24" s="12">
        <f t="shared" si="67"/>
        <v>32</v>
      </c>
      <c r="BH24" s="10">
        <v>0</v>
      </c>
      <c r="BI24" s="10">
        <v>0</v>
      </c>
      <c r="BJ24" s="12">
        <f t="shared" si="68"/>
        <v>0</v>
      </c>
      <c r="BK24" s="12">
        <f t="shared" si="69"/>
        <v>0</v>
      </c>
      <c r="BL24" s="13">
        <f t="shared" si="70"/>
        <v>32</v>
      </c>
      <c r="BM24" s="12">
        <f t="shared" si="71"/>
        <v>32</v>
      </c>
      <c r="BN24" s="10">
        <v>0</v>
      </c>
      <c r="BO24" s="10">
        <v>0</v>
      </c>
      <c r="BP24" s="12">
        <f t="shared" si="72"/>
        <v>0</v>
      </c>
      <c r="BQ24" s="12">
        <f t="shared" si="73"/>
        <v>0</v>
      </c>
      <c r="BR24" s="13">
        <f t="shared" si="74"/>
        <v>32</v>
      </c>
      <c r="BS24" s="12">
        <f t="shared" si="75"/>
        <v>32</v>
      </c>
      <c r="BT24" s="10">
        <v>0</v>
      </c>
      <c r="BU24" s="10">
        <v>0</v>
      </c>
      <c r="BV24" s="12">
        <f t="shared" si="76"/>
        <v>0</v>
      </c>
      <c r="BW24" s="12">
        <f t="shared" si="77"/>
        <v>0</v>
      </c>
      <c r="BX24" s="13">
        <f t="shared" si="78"/>
        <v>32</v>
      </c>
      <c r="BY24" s="12">
        <f t="shared" si="79"/>
        <v>32</v>
      </c>
      <c r="BZ24" s="10">
        <v>0</v>
      </c>
      <c r="CA24" s="10">
        <v>0</v>
      </c>
      <c r="CB24" s="12">
        <f t="shared" si="80"/>
        <v>0</v>
      </c>
      <c r="CC24" s="12">
        <f t="shared" si="81"/>
        <v>0</v>
      </c>
      <c r="CD24" s="31" t="s">
        <v>59</v>
      </c>
      <c r="CE24" s="12">
        <f t="shared" si="82"/>
        <v>32</v>
      </c>
      <c r="CF24" s="5"/>
    </row>
    <row r="25" spans="1:84" ht="80.25" customHeight="1">
      <c r="A25" s="148" t="s">
        <v>119</v>
      </c>
      <c r="B25" s="148" t="s">
        <v>120</v>
      </c>
      <c r="C25" s="151" t="s">
        <v>121</v>
      </c>
      <c r="D25" s="151" t="s">
        <v>110</v>
      </c>
      <c r="E25" s="181"/>
      <c r="F25" s="181"/>
      <c r="G25" s="181"/>
      <c r="H25" s="170">
        <v>32</v>
      </c>
      <c r="I25" s="159">
        <v>1</v>
      </c>
      <c r="J25" s="56">
        <v>0</v>
      </c>
      <c r="K25" s="12">
        <f t="shared" si="54"/>
        <v>0</v>
      </c>
      <c r="L25" s="10">
        <v>0</v>
      </c>
      <c r="M25" s="10">
        <v>0</v>
      </c>
      <c r="N25" s="12">
        <f t="shared" si="55"/>
        <v>0</v>
      </c>
      <c r="O25" s="12">
        <f t="shared" si="56"/>
        <v>0</v>
      </c>
      <c r="P25" s="56">
        <v>0</v>
      </c>
      <c r="Q25" s="12">
        <f t="shared" si="57"/>
        <v>0</v>
      </c>
      <c r="R25" s="10">
        <v>0</v>
      </c>
      <c r="S25" s="56">
        <v>0</v>
      </c>
      <c r="T25" s="12">
        <f t="shared" si="58"/>
        <v>0</v>
      </c>
      <c r="U25" s="12">
        <f t="shared" si="59"/>
        <v>0</v>
      </c>
      <c r="V25" s="56">
        <v>0</v>
      </c>
      <c r="W25" s="12">
        <f t="shared" si="60"/>
        <v>0</v>
      </c>
      <c r="X25" s="10">
        <v>0</v>
      </c>
      <c r="Y25" s="10">
        <v>0</v>
      </c>
      <c r="Z25" s="12">
        <f t="shared" si="61"/>
        <v>0</v>
      </c>
      <c r="AA25" s="12">
        <f t="shared" si="62"/>
        <v>0</v>
      </c>
      <c r="AB25" s="80">
        <v>32</v>
      </c>
      <c r="AC25" s="117">
        <f t="shared" si="31"/>
        <v>32</v>
      </c>
      <c r="AD25" s="10">
        <v>0</v>
      </c>
      <c r="AE25" s="10">
        <v>0</v>
      </c>
      <c r="AF25" s="117">
        <f t="shared" si="32"/>
        <v>0</v>
      </c>
      <c r="AG25" s="118">
        <f t="shared" si="33"/>
        <v>0</v>
      </c>
      <c r="AH25" s="80">
        <f t="shared" si="34"/>
        <v>32</v>
      </c>
      <c r="AI25" s="112">
        <f t="shared" si="63"/>
        <v>32</v>
      </c>
      <c r="AJ25" s="111">
        <v>0</v>
      </c>
      <c r="AK25" s="111">
        <v>0</v>
      </c>
      <c r="AL25" s="112">
        <f t="shared" ca="1" si="64"/>
        <v>0</v>
      </c>
      <c r="AM25" s="112">
        <f t="shared" si="65"/>
        <v>0</v>
      </c>
      <c r="AN25" s="80">
        <f t="shared" si="38"/>
        <v>32</v>
      </c>
      <c r="AO25" s="12">
        <f t="shared" si="39"/>
        <v>32</v>
      </c>
      <c r="AP25" s="10">
        <v>0</v>
      </c>
      <c r="AQ25" s="10">
        <v>0</v>
      </c>
      <c r="AR25" s="12">
        <f t="shared" si="40"/>
        <v>0</v>
      </c>
      <c r="AS25" s="12">
        <f t="shared" si="41"/>
        <v>0</v>
      </c>
      <c r="AT25" s="13">
        <f t="shared" si="42"/>
        <v>32</v>
      </c>
      <c r="AU25" s="12">
        <f t="shared" si="43"/>
        <v>32</v>
      </c>
      <c r="AV25" s="10">
        <v>0</v>
      </c>
      <c r="AW25" s="10">
        <v>0</v>
      </c>
      <c r="AX25" s="12">
        <f t="shared" si="44"/>
        <v>0</v>
      </c>
      <c r="AY25" s="12">
        <f t="shared" si="45"/>
        <v>0</v>
      </c>
      <c r="AZ25" s="32">
        <f t="shared" si="46"/>
        <v>32</v>
      </c>
      <c r="BA25" s="12">
        <f t="shared" si="47"/>
        <v>32</v>
      </c>
      <c r="BB25" s="10">
        <v>0</v>
      </c>
      <c r="BC25" s="10">
        <v>0</v>
      </c>
      <c r="BD25" s="12">
        <f t="shared" si="48"/>
        <v>0</v>
      </c>
      <c r="BE25" s="12">
        <f t="shared" si="49"/>
        <v>0</v>
      </c>
      <c r="BF25" s="13">
        <f t="shared" si="66"/>
        <v>32</v>
      </c>
      <c r="BG25" s="12">
        <f t="shared" si="67"/>
        <v>32</v>
      </c>
      <c r="BH25" s="10">
        <v>0</v>
      </c>
      <c r="BI25" s="10">
        <v>0</v>
      </c>
      <c r="BJ25" s="12">
        <f t="shared" si="68"/>
        <v>0</v>
      </c>
      <c r="BK25" s="12">
        <f t="shared" si="69"/>
        <v>0</v>
      </c>
      <c r="BL25" s="13">
        <f t="shared" si="70"/>
        <v>32</v>
      </c>
      <c r="BM25" s="12">
        <f t="shared" si="71"/>
        <v>32</v>
      </c>
      <c r="BN25" s="10">
        <v>0</v>
      </c>
      <c r="BO25" s="10">
        <v>0</v>
      </c>
      <c r="BP25" s="12">
        <f t="shared" si="72"/>
        <v>0</v>
      </c>
      <c r="BQ25" s="12">
        <f t="shared" si="73"/>
        <v>0</v>
      </c>
      <c r="BR25" s="13">
        <f t="shared" si="74"/>
        <v>32</v>
      </c>
      <c r="BS25" s="12">
        <f t="shared" si="75"/>
        <v>32</v>
      </c>
      <c r="BT25" s="10">
        <v>0</v>
      </c>
      <c r="BU25" s="10">
        <v>0</v>
      </c>
      <c r="BV25" s="12">
        <f t="shared" si="76"/>
        <v>0</v>
      </c>
      <c r="BW25" s="12">
        <f t="shared" si="77"/>
        <v>0</v>
      </c>
      <c r="BX25" s="13">
        <f t="shared" si="78"/>
        <v>32</v>
      </c>
      <c r="BY25" s="12">
        <f t="shared" si="79"/>
        <v>32</v>
      </c>
      <c r="BZ25" s="10">
        <v>0</v>
      </c>
      <c r="CA25" s="10">
        <v>0</v>
      </c>
      <c r="CB25" s="12">
        <f t="shared" si="80"/>
        <v>0</v>
      </c>
      <c r="CC25" s="12">
        <f t="shared" si="81"/>
        <v>0</v>
      </c>
      <c r="CD25" s="18" t="s">
        <v>59</v>
      </c>
      <c r="CE25" s="12">
        <f t="shared" si="82"/>
        <v>32</v>
      </c>
      <c r="CF25" s="5"/>
    </row>
    <row r="26" spans="1:84" ht="80.25" customHeight="1">
      <c r="A26" s="148" t="s">
        <v>122</v>
      </c>
      <c r="B26" s="148" t="s">
        <v>123</v>
      </c>
      <c r="C26" s="151" t="s">
        <v>124</v>
      </c>
      <c r="D26" s="151" t="s">
        <v>110</v>
      </c>
      <c r="E26" s="181"/>
      <c r="F26" s="181"/>
      <c r="G26" s="181"/>
      <c r="H26" s="170">
        <v>68</v>
      </c>
      <c r="I26" s="159">
        <v>1</v>
      </c>
      <c r="J26" s="56">
        <v>0</v>
      </c>
      <c r="K26" s="12">
        <f t="shared" si="54"/>
        <v>0</v>
      </c>
      <c r="L26" s="10">
        <v>0</v>
      </c>
      <c r="M26" s="10">
        <v>0</v>
      </c>
      <c r="N26" s="12">
        <f t="shared" si="55"/>
        <v>0</v>
      </c>
      <c r="O26" s="12">
        <f t="shared" si="56"/>
        <v>0</v>
      </c>
      <c r="P26" s="56">
        <v>0</v>
      </c>
      <c r="Q26" s="12">
        <f t="shared" si="57"/>
        <v>0</v>
      </c>
      <c r="R26" s="10">
        <v>0</v>
      </c>
      <c r="S26" s="56">
        <v>0</v>
      </c>
      <c r="T26" s="12">
        <f t="shared" si="58"/>
        <v>0</v>
      </c>
      <c r="U26" s="12">
        <f t="shared" si="59"/>
        <v>0</v>
      </c>
      <c r="V26" s="56">
        <v>0</v>
      </c>
      <c r="W26" s="12">
        <f t="shared" si="60"/>
        <v>0</v>
      </c>
      <c r="X26" s="10">
        <v>0</v>
      </c>
      <c r="Y26" s="10">
        <v>0</v>
      </c>
      <c r="Z26" s="12">
        <f t="shared" si="61"/>
        <v>0</v>
      </c>
      <c r="AA26" s="12">
        <f t="shared" si="62"/>
        <v>0</v>
      </c>
      <c r="AB26" s="80">
        <v>68</v>
      </c>
      <c r="AC26" s="117">
        <f t="shared" si="31"/>
        <v>68</v>
      </c>
      <c r="AD26" s="10">
        <v>0</v>
      </c>
      <c r="AE26" s="10">
        <v>0</v>
      </c>
      <c r="AF26" s="117">
        <f t="shared" si="32"/>
        <v>0</v>
      </c>
      <c r="AG26" s="118">
        <f t="shared" si="33"/>
        <v>0</v>
      </c>
      <c r="AH26" s="80">
        <f t="shared" si="34"/>
        <v>68</v>
      </c>
      <c r="AI26" s="112">
        <f t="shared" si="63"/>
        <v>68</v>
      </c>
      <c r="AJ26" s="111">
        <v>0</v>
      </c>
      <c r="AK26" s="111">
        <v>0</v>
      </c>
      <c r="AL26" s="112">
        <f t="shared" ca="1" si="64"/>
        <v>0</v>
      </c>
      <c r="AM26" s="112">
        <f t="shared" si="65"/>
        <v>0</v>
      </c>
      <c r="AN26" s="80">
        <f t="shared" si="38"/>
        <v>68</v>
      </c>
      <c r="AO26" s="12">
        <f t="shared" si="39"/>
        <v>68</v>
      </c>
      <c r="AP26" s="10">
        <v>0</v>
      </c>
      <c r="AQ26" s="10">
        <v>0</v>
      </c>
      <c r="AR26" s="12">
        <f t="shared" si="40"/>
        <v>0</v>
      </c>
      <c r="AS26" s="12">
        <f t="shared" si="41"/>
        <v>0</v>
      </c>
      <c r="AT26" s="13">
        <f t="shared" si="42"/>
        <v>68</v>
      </c>
      <c r="AU26" s="12">
        <f t="shared" si="43"/>
        <v>68</v>
      </c>
      <c r="AV26" s="10">
        <v>0</v>
      </c>
      <c r="AW26" s="10">
        <v>0</v>
      </c>
      <c r="AX26" s="12">
        <f t="shared" si="44"/>
        <v>0</v>
      </c>
      <c r="AY26" s="12">
        <f t="shared" si="45"/>
        <v>0</v>
      </c>
      <c r="AZ26" s="32">
        <f t="shared" si="46"/>
        <v>68</v>
      </c>
      <c r="BA26" s="12">
        <f t="shared" si="47"/>
        <v>68</v>
      </c>
      <c r="BB26" s="10">
        <v>0</v>
      </c>
      <c r="BC26" s="10">
        <v>0</v>
      </c>
      <c r="BD26" s="12">
        <f t="shared" si="48"/>
        <v>0</v>
      </c>
      <c r="BE26" s="12">
        <f t="shared" si="49"/>
        <v>0</v>
      </c>
      <c r="BF26" s="13">
        <f t="shared" si="66"/>
        <v>68</v>
      </c>
      <c r="BG26" s="12">
        <f t="shared" si="67"/>
        <v>68</v>
      </c>
      <c r="BH26" s="10">
        <v>0</v>
      </c>
      <c r="BI26" s="10">
        <v>0</v>
      </c>
      <c r="BJ26" s="12">
        <f t="shared" si="68"/>
        <v>0</v>
      </c>
      <c r="BK26" s="12">
        <f t="shared" si="69"/>
        <v>0</v>
      </c>
      <c r="BL26" s="13">
        <f t="shared" si="70"/>
        <v>68</v>
      </c>
      <c r="BM26" s="12">
        <f t="shared" si="71"/>
        <v>68</v>
      </c>
      <c r="BN26" s="10">
        <v>0</v>
      </c>
      <c r="BO26" s="10">
        <v>0</v>
      </c>
      <c r="BP26" s="12">
        <f t="shared" si="72"/>
        <v>0</v>
      </c>
      <c r="BQ26" s="12">
        <f t="shared" si="73"/>
        <v>0</v>
      </c>
      <c r="BR26" s="13">
        <f t="shared" si="74"/>
        <v>68</v>
      </c>
      <c r="BS26" s="12">
        <f t="shared" si="75"/>
        <v>68</v>
      </c>
      <c r="BT26" s="10">
        <v>0</v>
      </c>
      <c r="BU26" s="10">
        <v>0</v>
      </c>
      <c r="BV26" s="12">
        <f t="shared" si="76"/>
        <v>0</v>
      </c>
      <c r="BW26" s="12">
        <f t="shared" si="77"/>
        <v>0</v>
      </c>
      <c r="BX26" s="13">
        <f t="shared" si="78"/>
        <v>68</v>
      </c>
      <c r="BY26" s="12">
        <f t="shared" si="79"/>
        <v>68</v>
      </c>
      <c r="BZ26" s="10">
        <v>0</v>
      </c>
      <c r="CA26" s="10">
        <v>0</v>
      </c>
      <c r="CB26" s="12">
        <f t="shared" si="80"/>
        <v>0</v>
      </c>
      <c r="CC26" s="12">
        <f t="shared" si="81"/>
        <v>0</v>
      </c>
      <c r="CD26" s="31" t="s">
        <v>125</v>
      </c>
      <c r="CE26" s="12">
        <f t="shared" si="82"/>
        <v>68</v>
      </c>
      <c r="CF26" s="5"/>
    </row>
    <row r="27" spans="1:84" ht="80.25" customHeight="1">
      <c r="A27" s="148" t="s">
        <v>126</v>
      </c>
      <c r="B27" s="148" t="s">
        <v>127</v>
      </c>
      <c r="C27" s="151" t="s">
        <v>128</v>
      </c>
      <c r="D27" s="151" t="s">
        <v>110</v>
      </c>
      <c r="E27" s="181"/>
      <c r="F27" s="181"/>
      <c r="G27" s="181"/>
      <c r="H27" s="170">
        <v>89</v>
      </c>
      <c r="I27" s="159">
        <v>1</v>
      </c>
      <c r="J27" s="56">
        <v>0</v>
      </c>
      <c r="K27" s="12">
        <f t="shared" si="54"/>
        <v>0</v>
      </c>
      <c r="L27" s="10">
        <v>0</v>
      </c>
      <c r="M27" s="10">
        <v>0</v>
      </c>
      <c r="N27" s="12">
        <f t="shared" si="55"/>
        <v>0</v>
      </c>
      <c r="O27" s="12">
        <f t="shared" si="56"/>
        <v>0</v>
      </c>
      <c r="P27" s="56">
        <v>0</v>
      </c>
      <c r="Q27" s="12">
        <f t="shared" si="57"/>
        <v>0</v>
      </c>
      <c r="R27" s="10">
        <v>0</v>
      </c>
      <c r="S27" s="56">
        <v>0</v>
      </c>
      <c r="T27" s="12">
        <f t="shared" si="58"/>
        <v>0</v>
      </c>
      <c r="U27" s="12">
        <f t="shared" si="59"/>
        <v>0</v>
      </c>
      <c r="V27" s="56">
        <v>0</v>
      </c>
      <c r="W27" s="12">
        <f t="shared" si="60"/>
        <v>0</v>
      </c>
      <c r="X27" s="10">
        <v>0</v>
      </c>
      <c r="Y27" s="10">
        <v>0</v>
      </c>
      <c r="Z27" s="12">
        <f t="shared" si="61"/>
        <v>0</v>
      </c>
      <c r="AA27" s="12">
        <f t="shared" si="62"/>
        <v>0</v>
      </c>
      <c r="AB27" s="80">
        <v>89</v>
      </c>
      <c r="AC27" s="117">
        <f t="shared" si="31"/>
        <v>89</v>
      </c>
      <c r="AD27" s="10">
        <v>0</v>
      </c>
      <c r="AE27" s="10">
        <v>0</v>
      </c>
      <c r="AF27" s="117">
        <f t="shared" si="32"/>
        <v>0</v>
      </c>
      <c r="AG27" s="118">
        <f t="shared" si="33"/>
        <v>0</v>
      </c>
      <c r="AH27" s="80">
        <f t="shared" si="34"/>
        <v>89</v>
      </c>
      <c r="AI27" s="112">
        <f t="shared" si="63"/>
        <v>89</v>
      </c>
      <c r="AJ27" s="111">
        <v>0</v>
      </c>
      <c r="AK27" s="111">
        <v>0</v>
      </c>
      <c r="AL27" s="112">
        <f t="shared" ca="1" si="64"/>
        <v>0</v>
      </c>
      <c r="AM27" s="112">
        <f t="shared" si="65"/>
        <v>0</v>
      </c>
      <c r="AN27" s="80">
        <f t="shared" si="38"/>
        <v>89</v>
      </c>
      <c r="AO27" s="12">
        <f t="shared" si="39"/>
        <v>89</v>
      </c>
      <c r="AP27" s="10">
        <v>0</v>
      </c>
      <c r="AQ27" s="10">
        <v>0</v>
      </c>
      <c r="AR27" s="12">
        <f t="shared" si="40"/>
        <v>0</v>
      </c>
      <c r="AS27" s="12">
        <f t="shared" si="41"/>
        <v>0</v>
      </c>
      <c r="AT27" s="13">
        <f t="shared" si="42"/>
        <v>89</v>
      </c>
      <c r="AU27" s="12">
        <f t="shared" si="43"/>
        <v>89</v>
      </c>
      <c r="AV27" s="10">
        <v>0</v>
      </c>
      <c r="AW27" s="10">
        <v>0</v>
      </c>
      <c r="AX27" s="12">
        <f t="shared" si="44"/>
        <v>0</v>
      </c>
      <c r="AY27" s="12">
        <f t="shared" si="45"/>
        <v>0</v>
      </c>
      <c r="AZ27" s="32">
        <f t="shared" si="46"/>
        <v>89</v>
      </c>
      <c r="BA27" s="12">
        <f t="shared" si="47"/>
        <v>89</v>
      </c>
      <c r="BB27" s="10">
        <v>0</v>
      </c>
      <c r="BC27" s="10">
        <v>0</v>
      </c>
      <c r="BD27" s="12">
        <f t="shared" si="48"/>
        <v>0</v>
      </c>
      <c r="BE27" s="12">
        <f t="shared" si="49"/>
        <v>0</v>
      </c>
      <c r="BF27" s="13">
        <f t="shared" si="66"/>
        <v>89</v>
      </c>
      <c r="BG27" s="12">
        <f t="shared" si="67"/>
        <v>89</v>
      </c>
      <c r="BH27" s="10">
        <v>0</v>
      </c>
      <c r="BI27" s="10">
        <v>0</v>
      </c>
      <c r="BJ27" s="12">
        <f t="shared" si="68"/>
        <v>0</v>
      </c>
      <c r="BK27" s="12">
        <f t="shared" si="69"/>
        <v>0</v>
      </c>
      <c r="BL27" s="13">
        <f t="shared" si="70"/>
        <v>89</v>
      </c>
      <c r="BM27" s="12">
        <f t="shared" si="71"/>
        <v>89</v>
      </c>
      <c r="BN27" s="10">
        <v>0</v>
      </c>
      <c r="BO27" s="10">
        <v>0</v>
      </c>
      <c r="BP27" s="12">
        <f t="shared" si="72"/>
        <v>0</v>
      </c>
      <c r="BQ27" s="12">
        <f t="shared" si="73"/>
        <v>0</v>
      </c>
      <c r="BR27" s="13">
        <f t="shared" si="74"/>
        <v>89</v>
      </c>
      <c r="BS27" s="12">
        <f t="shared" si="75"/>
        <v>89</v>
      </c>
      <c r="BT27" s="10">
        <v>0</v>
      </c>
      <c r="BU27" s="10">
        <v>0</v>
      </c>
      <c r="BV27" s="12">
        <f t="shared" si="76"/>
        <v>0</v>
      </c>
      <c r="BW27" s="12">
        <f t="shared" si="77"/>
        <v>0</v>
      </c>
      <c r="BX27" s="13">
        <f t="shared" si="78"/>
        <v>89</v>
      </c>
      <c r="BY27" s="12">
        <f t="shared" si="79"/>
        <v>89</v>
      </c>
      <c r="BZ27" s="10">
        <v>0</v>
      </c>
      <c r="CA27" s="10">
        <v>0</v>
      </c>
      <c r="CB27" s="12">
        <f t="shared" si="80"/>
        <v>0</v>
      </c>
      <c r="CC27" s="12">
        <f t="shared" si="81"/>
        <v>0</v>
      </c>
      <c r="CD27" s="31" t="s">
        <v>129</v>
      </c>
      <c r="CE27" s="12">
        <f t="shared" si="82"/>
        <v>89</v>
      </c>
      <c r="CF27" s="5"/>
    </row>
    <row r="28" spans="1:84" ht="80.25" customHeight="1">
      <c r="A28" s="148" t="s">
        <v>130</v>
      </c>
      <c r="B28" s="148" t="s">
        <v>131</v>
      </c>
      <c r="C28" s="151" t="s">
        <v>132</v>
      </c>
      <c r="D28" s="151" t="s">
        <v>54</v>
      </c>
      <c r="E28" s="181"/>
      <c r="F28" s="181"/>
      <c r="G28" s="181"/>
      <c r="H28" s="170">
        <v>6</v>
      </c>
      <c r="I28" s="159">
        <v>1</v>
      </c>
      <c r="J28" s="56">
        <v>0</v>
      </c>
      <c r="K28" s="12">
        <f t="shared" si="54"/>
        <v>0</v>
      </c>
      <c r="L28" s="10">
        <v>0</v>
      </c>
      <c r="M28" s="10">
        <v>0</v>
      </c>
      <c r="N28" s="12">
        <f t="shared" si="55"/>
        <v>0</v>
      </c>
      <c r="O28" s="12">
        <f t="shared" si="56"/>
        <v>0</v>
      </c>
      <c r="P28" s="56">
        <v>0</v>
      </c>
      <c r="Q28" s="12">
        <f t="shared" si="57"/>
        <v>0</v>
      </c>
      <c r="R28" s="10">
        <v>0</v>
      </c>
      <c r="S28" s="56">
        <v>0</v>
      </c>
      <c r="T28" s="12">
        <f t="shared" si="58"/>
        <v>0</v>
      </c>
      <c r="U28" s="12">
        <f t="shared" si="59"/>
        <v>0</v>
      </c>
      <c r="V28" s="56">
        <v>0</v>
      </c>
      <c r="W28" s="12">
        <f t="shared" si="60"/>
        <v>0</v>
      </c>
      <c r="X28" s="10">
        <v>0</v>
      </c>
      <c r="Y28" s="10">
        <v>0</v>
      </c>
      <c r="Z28" s="12">
        <f t="shared" si="61"/>
        <v>0</v>
      </c>
      <c r="AA28" s="12">
        <f t="shared" si="62"/>
        <v>0</v>
      </c>
      <c r="AB28" s="80">
        <v>6</v>
      </c>
      <c r="AC28" s="117">
        <f t="shared" si="31"/>
        <v>6</v>
      </c>
      <c r="AD28" s="10">
        <v>0</v>
      </c>
      <c r="AE28" s="10">
        <v>0</v>
      </c>
      <c r="AF28" s="117">
        <f t="shared" si="32"/>
        <v>0</v>
      </c>
      <c r="AG28" s="118">
        <f t="shared" si="33"/>
        <v>0</v>
      </c>
      <c r="AH28" s="80">
        <f t="shared" si="34"/>
        <v>6</v>
      </c>
      <c r="AI28" s="112">
        <f t="shared" si="63"/>
        <v>6</v>
      </c>
      <c r="AJ28" s="111">
        <v>0</v>
      </c>
      <c r="AK28" s="111">
        <v>0</v>
      </c>
      <c r="AL28" s="112">
        <f t="shared" ca="1" si="64"/>
        <v>0</v>
      </c>
      <c r="AM28" s="112">
        <f t="shared" si="65"/>
        <v>0</v>
      </c>
      <c r="AN28" s="80">
        <f t="shared" si="38"/>
        <v>6</v>
      </c>
      <c r="AO28" s="12">
        <f t="shared" si="39"/>
        <v>6</v>
      </c>
      <c r="AP28" s="10">
        <v>0</v>
      </c>
      <c r="AQ28" s="10">
        <v>0</v>
      </c>
      <c r="AR28" s="12">
        <f t="shared" si="40"/>
        <v>0</v>
      </c>
      <c r="AS28" s="12">
        <f t="shared" si="41"/>
        <v>0</v>
      </c>
      <c r="AT28" s="13">
        <f t="shared" si="42"/>
        <v>6</v>
      </c>
      <c r="AU28" s="12">
        <f t="shared" si="43"/>
        <v>6</v>
      </c>
      <c r="AV28" s="10">
        <v>0</v>
      </c>
      <c r="AW28" s="10">
        <v>0</v>
      </c>
      <c r="AX28" s="12">
        <f t="shared" si="44"/>
        <v>0</v>
      </c>
      <c r="AY28" s="12">
        <f t="shared" si="45"/>
        <v>0</v>
      </c>
      <c r="AZ28" s="32">
        <f t="shared" si="46"/>
        <v>6</v>
      </c>
      <c r="BA28" s="12">
        <f t="shared" si="47"/>
        <v>6</v>
      </c>
      <c r="BB28" s="10">
        <v>0</v>
      </c>
      <c r="BC28" s="10">
        <v>0</v>
      </c>
      <c r="BD28" s="12">
        <f t="shared" si="48"/>
        <v>0</v>
      </c>
      <c r="BE28" s="12">
        <f t="shared" si="49"/>
        <v>0</v>
      </c>
      <c r="BF28" s="13">
        <f t="shared" si="66"/>
        <v>6</v>
      </c>
      <c r="BG28" s="12">
        <f t="shared" si="67"/>
        <v>6</v>
      </c>
      <c r="BH28" s="10">
        <v>0</v>
      </c>
      <c r="BI28" s="10">
        <v>0</v>
      </c>
      <c r="BJ28" s="12">
        <f t="shared" si="68"/>
        <v>0</v>
      </c>
      <c r="BK28" s="12">
        <f t="shared" si="69"/>
        <v>0</v>
      </c>
      <c r="BL28" s="13">
        <f t="shared" si="70"/>
        <v>6</v>
      </c>
      <c r="BM28" s="12">
        <f t="shared" si="71"/>
        <v>6</v>
      </c>
      <c r="BN28" s="10">
        <v>0</v>
      </c>
      <c r="BO28" s="10">
        <v>0</v>
      </c>
      <c r="BP28" s="12">
        <f t="shared" si="72"/>
        <v>0</v>
      </c>
      <c r="BQ28" s="12">
        <f t="shared" si="73"/>
        <v>0</v>
      </c>
      <c r="BR28" s="13">
        <f t="shared" si="74"/>
        <v>6</v>
      </c>
      <c r="BS28" s="12">
        <f t="shared" si="75"/>
        <v>6</v>
      </c>
      <c r="BT28" s="10">
        <v>0</v>
      </c>
      <c r="BU28" s="10">
        <v>0</v>
      </c>
      <c r="BV28" s="12">
        <f t="shared" si="76"/>
        <v>0</v>
      </c>
      <c r="BW28" s="12">
        <f t="shared" si="77"/>
        <v>0</v>
      </c>
      <c r="BX28" s="13">
        <f t="shared" si="78"/>
        <v>6</v>
      </c>
      <c r="BY28" s="12">
        <f t="shared" si="79"/>
        <v>6</v>
      </c>
      <c r="BZ28" s="10">
        <v>0</v>
      </c>
      <c r="CA28" s="10">
        <v>0</v>
      </c>
      <c r="CB28" s="12">
        <f t="shared" si="80"/>
        <v>0</v>
      </c>
      <c r="CC28" s="12">
        <f t="shared" si="81"/>
        <v>0</v>
      </c>
      <c r="CD28" s="31" t="s">
        <v>55</v>
      </c>
      <c r="CE28" s="12">
        <f t="shared" si="82"/>
        <v>6</v>
      </c>
      <c r="CF28" s="5"/>
    </row>
    <row r="29" spans="1:84" ht="80.25" customHeight="1">
      <c r="A29" s="148" t="s">
        <v>133</v>
      </c>
      <c r="B29" s="148" t="s">
        <v>134</v>
      </c>
      <c r="C29" s="151" t="s">
        <v>135</v>
      </c>
      <c r="D29" s="151" t="s">
        <v>68</v>
      </c>
      <c r="E29" s="181"/>
      <c r="F29" s="181"/>
      <c r="G29" s="181"/>
      <c r="H29" s="170">
        <v>90</v>
      </c>
      <c r="I29" s="159">
        <v>63</v>
      </c>
      <c r="J29" s="56">
        <v>0</v>
      </c>
      <c r="K29" s="12">
        <f t="shared" si="54"/>
        <v>0</v>
      </c>
      <c r="L29" s="10">
        <v>0</v>
      </c>
      <c r="M29" s="10">
        <v>0</v>
      </c>
      <c r="N29" s="12">
        <f t="shared" si="55"/>
        <v>0</v>
      </c>
      <c r="O29" s="12">
        <f t="shared" si="56"/>
        <v>0</v>
      </c>
      <c r="P29" s="56">
        <v>0</v>
      </c>
      <c r="Q29" s="12">
        <f t="shared" si="57"/>
        <v>0</v>
      </c>
      <c r="R29" s="10">
        <v>0</v>
      </c>
      <c r="S29" s="56">
        <v>0</v>
      </c>
      <c r="T29" s="12">
        <f t="shared" si="58"/>
        <v>0</v>
      </c>
      <c r="U29" s="12">
        <f t="shared" si="59"/>
        <v>0</v>
      </c>
      <c r="V29" s="56">
        <v>0</v>
      </c>
      <c r="W29" s="12">
        <f t="shared" si="60"/>
        <v>0</v>
      </c>
      <c r="X29" s="10">
        <v>0</v>
      </c>
      <c r="Y29" s="10">
        <v>0</v>
      </c>
      <c r="Z29" s="12">
        <f t="shared" si="61"/>
        <v>0</v>
      </c>
      <c r="AA29" s="12">
        <f t="shared" si="62"/>
        <v>0</v>
      </c>
      <c r="AB29" s="80">
        <v>90</v>
      </c>
      <c r="AC29" s="117">
        <f t="shared" si="31"/>
        <v>5670</v>
      </c>
      <c r="AD29" s="10">
        <v>0</v>
      </c>
      <c r="AE29" s="10">
        <v>0</v>
      </c>
      <c r="AF29" s="117">
        <f t="shared" si="32"/>
        <v>0</v>
      </c>
      <c r="AG29" s="118">
        <f t="shared" si="33"/>
        <v>0</v>
      </c>
      <c r="AH29" s="80">
        <f t="shared" si="34"/>
        <v>90</v>
      </c>
      <c r="AI29" s="112">
        <f t="shared" si="63"/>
        <v>5670</v>
      </c>
      <c r="AJ29" s="111">
        <v>0</v>
      </c>
      <c r="AK29" s="111">
        <v>0</v>
      </c>
      <c r="AL29" s="112">
        <f t="shared" ca="1" si="64"/>
        <v>0</v>
      </c>
      <c r="AM29" s="112">
        <f t="shared" si="65"/>
        <v>0</v>
      </c>
      <c r="AN29" s="80">
        <f t="shared" si="38"/>
        <v>90</v>
      </c>
      <c r="AO29" s="12">
        <f t="shared" si="39"/>
        <v>5670</v>
      </c>
      <c r="AP29" s="10">
        <v>0</v>
      </c>
      <c r="AQ29" s="10">
        <v>0</v>
      </c>
      <c r="AR29" s="12">
        <f t="shared" si="40"/>
        <v>0</v>
      </c>
      <c r="AS29" s="12">
        <f t="shared" si="41"/>
        <v>0</v>
      </c>
      <c r="AT29" s="13">
        <f t="shared" si="42"/>
        <v>90</v>
      </c>
      <c r="AU29" s="12">
        <f t="shared" si="43"/>
        <v>5670</v>
      </c>
      <c r="AV29" s="10">
        <v>0</v>
      </c>
      <c r="AW29" s="10">
        <v>0</v>
      </c>
      <c r="AX29" s="12">
        <f t="shared" si="44"/>
        <v>0</v>
      </c>
      <c r="AY29" s="12">
        <f t="shared" si="45"/>
        <v>0</v>
      </c>
      <c r="AZ29" s="32">
        <f t="shared" si="46"/>
        <v>90</v>
      </c>
      <c r="BA29" s="12">
        <f t="shared" si="47"/>
        <v>5670</v>
      </c>
      <c r="BB29" s="10">
        <v>0</v>
      </c>
      <c r="BC29" s="10">
        <v>0</v>
      </c>
      <c r="BD29" s="12">
        <f t="shared" si="48"/>
        <v>0</v>
      </c>
      <c r="BE29" s="12">
        <f t="shared" si="49"/>
        <v>0</v>
      </c>
      <c r="BF29" s="13">
        <f t="shared" si="66"/>
        <v>90</v>
      </c>
      <c r="BG29" s="12">
        <f t="shared" si="67"/>
        <v>5670</v>
      </c>
      <c r="BH29" s="10">
        <v>0</v>
      </c>
      <c r="BI29" s="10">
        <v>0</v>
      </c>
      <c r="BJ29" s="12">
        <f t="shared" si="68"/>
        <v>0</v>
      </c>
      <c r="BK29" s="12">
        <f t="shared" si="69"/>
        <v>0</v>
      </c>
      <c r="BL29" s="13">
        <f t="shared" si="70"/>
        <v>90</v>
      </c>
      <c r="BM29" s="12">
        <f t="shared" si="71"/>
        <v>5670</v>
      </c>
      <c r="BN29" s="10">
        <v>0</v>
      </c>
      <c r="BO29" s="10">
        <v>0</v>
      </c>
      <c r="BP29" s="12">
        <f t="shared" si="72"/>
        <v>0</v>
      </c>
      <c r="BQ29" s="12">
        <f t="shared" si="73"/>
        <v>0</v>
      </c>
      <c r="BR29" s="13">
        <f t="shared" si="74"/>
        <v>90</v>
      </c>
      <c r="BS29" s="12">
        <f t="shared" si="75"/>
        <v>5670</v>
      </c>
      <c r="BT29" s="10">
        <v>0</v>
      </c>
      <c r="BU29" s="10">
        <v>0</v>
      </c>
      <c r="BV29" s="12">
        <f t="shared" si="76"/>
        <v>0</v>
      </c>
      <c r="BW29" s="12">
        <f t="shared" si="77"/>
        <v>0</v>
      </c>
      <c r="BX29" s="13">
        <f t="shared" si="78"/>
        <v>90</v>
      </c>
      <c r="BY29" s="12">
        <f t="shared" si="79"/>
        <v>5670</v>
      </c>
      <c r="BZ29" s="10">
        <v>0</v>
      </c>
      <c r="CA29" s="10">
        <v>0</v>
      </c>
      <c r="CB29" s="12">
        <f t="shared" si="80"/>
        <v>0</v>
      </c>
      <c r="CC29" s="12">
        <f t="shared" si="81"/>
        <v>0</v>
      </c>
      <c r="CD29" s="31" t="s">
        <v>136</v>
      </c>
      <c r="CE29" s="12">
        <f t="shared" si="82"/>
        <v>5670</v>
      </c>
      <c r="CF29" s="5"/>
    </row>
    <row r="30" spans="1:84" ht="80.25" customHeight="1">
      <c r="A30" s="148" t="s">
        <v>137</v>
      </c>
      <c r="B30" s="148" t="s">
        <v>138</v>
      </c>
      <c r="C30" s="151" t="s">
        <v>139</v>
      </c>
      <c r="D30" s="151" t="s">
        <v>73</v>
      </c>
      <c r="E30" s="181"/>
      <c r="F30" s="181"/>
      <c r="G30" s="181"/>
      <c r="H30" s="170">
        <v>9</v>
      </c>
      <c r="I30" s="159">
        <v>98</v>
      </c>
      <c r="J30" s="56">
        <v>0</v>
      </c>
      <c r="K30" s="12">
        <f t="shared" si="54"/>
        <v>0</v>
      </c>
      <c r="L30" s="10">
        <v>0</v>
      </c>
      <c r="M30" s="10">
        <v>0</v>
      </c>
      <c r="N30" s="12">
        <f t="shared" si="55"/>
        <v>0</v>
      </c>
      <c r="O30" s="12">
        <f t="shared" si="56"/>
        <v>0</v>
      </c>
      <c r="P30" s="56">
        <v>0</v>
      </c>
      <c r="Q30" s="12">
        <f t="shared" si="57"/>
        <v>0</v>
      </c>
      <c r="R30" s="10">
        <v>0</v>
      </c>
      <c r="S30" s="56">
        <v>0</v>
      </c>
      <c r="T30" s="12">
        <f t="shared" si="58"/>
        <v>0</v>
      </c>
      <c r="U30" s="12">
        <f t="shared" si="59"/>
        <v>0</v>
      </c>
      <c r="V30" s="56">
        <v>0</v>
      </c>
      <c r="W30" s="12">
        <f t="shared" si="60"/>
        <v>0</v>
      </c>
      <c r="X30" s="10">
        <v>0</v>
      </c>
      <c r="Y30" s="10">
        <v>0</v>
      </c>
      <c r="Z30" s="12">
        <f t="shared" si="61"/>
        <v>0</v>
      </c>
      <c r="AA30" s="12">
        <f t="shared" si="62"/>
        <v>0</v>
      </c>
      <c r="AB30" s="80">
        <v>9</v>
      </c>
      <c r="AC30" s="117">
        <f t="shared" si="31"/>
        <v>882</v>
      </c>
      <c r="AD30" s="10">
        <v>0</v>
      </c>
      <c r="AE30" s="10">
        <v>0</v>
      </c>
      <c r="AF30" s="117">
        <f t="shared" si="32"/>
        <v>0</v>
      </c>
      <c r="AG30" s="118">
        <f t="shared" si="33"/>
        <v>0</v>
      </c>
      <c r="AH30" s="80">
        <f t="shared" si="34"/>
        <v>9</v>
      </c>
      <c r="AI30" s="112">
        <f t="shared" si="63"/>
        <v>882</v>
      </c>
      <c r="AJ30" s="111">
        <v>0</v>
      </c>
      <c r="AK30" s="111">
        <v>0</v>
      </c>
      <c r="AL30" s="112">
        <f t="shared" ca="1" si="64"/>
        <v>0</v>
      </c>
      <c r="AM30" s="112">
        <f t="shared" si="65"/>
        <v>0</v>
      </c>
      <c r="AN30" s="80">
        <f t="shared" si="38"/>
        <v>9</v>
      </c>
      <c r="AO30" s="12">
        <f t="shared" si="39"/>
        <v>882</v>
      </c>
      <c r="AP30" s="10">
        <v>0</v>
      </c>
      <c r="AQ30" s="10">
        <v>0</v>
      </c>
      <c r="AR30" s="12">
        <f t="shared" si="40"/>
        <v>0</v>
      </c>
      <c r="AS30" s="12">
        <f t="shared" si="41"/>
        <v>0</v>
      </c>
      <c r="AT30" s="13">
        <f t="shared" si="42"/>
        <v>9</v>
      </c>
      <c r="AU30" s="12">
        <f t="shared" si="43"/>
        <v>882</v>
      </c>
      <c r="AV30" s="10">
        <v>0</v>
      </c>
      <c r="AW30" s="10">
        <v>0</v>
      </c>
      <c r="AX30" s="12">
        <f t="shared" si="44"/>
        <v>0</v>
      </c>
      <c r="AY30" s="12">
        <f t="shared" si="45"/>
        <v>0</v>
      </c>
      <c r="AZ30" s="32">
        <f t="shared" si="46"/>
        <v>9</v>
      </c>
      <c r="BA30" s="12">
        <f t="shared" si="47"/>
        <v>882</v>
      </c>
      <c r="BB30" s="10">
        <v>0</v>
      </c>
      <c r="BC30" s="10">
        <v>0</v>
      </c>
      <c r="BD30" s="12">
        <f t="shared" si="48"/>
        <v>0</v>
      </c>
      <c r="BE30" s="12">
        <f t="shared" si="49"/>
        <v>0</v>
      </c>
      <c r="BF30" s="13">
        <f t="shared" si="66"/>
        <v>9</v>
      </c>
      <c r="BG30" s="12">
        <f t="shared" si="67"/>
        <v>882</v>
      </c>
      <c r="BH30" s="10">
        <v>0</v>
      </c>
      <c r="BI30" s="10">
        <v>0</v>
      </c>
      <c r="BJ30" s="12">
        <f t="shared" si="68"/>
        <v>0</v>
      </c>
      <c r="BK30" s="12">
        <f t="shared" si="69"/>
        <v>0</v>
      </c>
      <c r="BL30" s="13">
        <f t="shared" si="70"/>
        <v>9</v>
      </c>
      <c r="BM30" s="12">
        <f t="shared" si="71"/>
        <v>882</v>
      </c>
      <c r="BN30" s="10">
        <v>0</v>
      </c>
      <c r="BO30" s="10">
        <v>0</v>
      </c>
      <c r="BP30" s="12">
        <f t="shared" si="72"/>
        <v>0</v>
      </c>
      <c r="BQ30" s="12">
        <f t="shared" si="73"/>
        <v>0</v>
      </c>
      <c r="BR30" s="13">
        <f t="shared" si="74"/>
        <v>9</v>
      </c>
      <c r="BS30" s="12">
        <f t="shared" si="75"/>
        <v>882</v>
      </c>
      <c r="BT30" s="10">
        <v>0</v>
      </c>
      <c r="BU30" s="10">
        <v>0</v>
      </c>
      <c r="BV30" s="12">
        <f t="shared" si="76"/>
        <v>0</v>
      </c>
      <c r="BW30" s="12">
        <f t="shared" si="77"/>
        <v>0</v>
      </c>
      <c r="BX30" s="13">
        <f t="shared" si="78"/>
        <v>9</v>
      </c>
      <c r="BY30" s="12">
        <f t="shared" si="79"/>
        <v>882</v>
      </c>
      <c r="BZ30" s="10">
        <v>0</v>
      </c>
      <c r="CA30" s="10">
        <v>0</v>
      </c>
      <c r="CB30" s="12">
        <f t="shared" si="80"/>
        <v>0</v>
      </c>
      <c r="CC30" s="12">
        <f t="shared" si="81"/>
        <v>0</v>
      </c>
      <c r="CD30" s="31" t="s">
        <v>70</v>
      </c>
      <c r="CE30" s="12">
        <f t="shared" si="82"/>
        <v>882</v>
      </c>
      <c r="CF30" s="5"/>
    </row>
    <row r="31" spans="1:84" ht="80.25" customHeight="1">
      <c r="A31" s="148" t="s">
        <v>140</v>
      </c>
      <c r="B31" s="148" t="s">
        <v>141</v>
      </c>
      <c r="C31" s="151" t="s">
        <v>142</v>
      </c>
      <c r="D31" s="148" t="s">
        <v>83</v>
      </c>
      <c r="E31" s="181"/>
      <c r="F31" s="181"/>
      <c r="G31" s="181"/>
      <c r="H31" s="170">
        <v>105</v>
      </c>
      <c r="I31" s="159">
        <v>50.2</v>
      </c>
      <c r="J31" s="56">
        <v>0</v>
      </c>
      <c r="K31" s="12">
        <f t="shared" si="54"/>
        <v>0</v>
      </c>
      <c r="L31" s="10">
        <v>0</v>
      </c>
      <c r="M31" s="10">
        <v>0</v>
      </c>
      <c r="N31" s="12">
        <f t="shared" si="55"/>
        <v>0</v>
      </c>
      <c r="O31" s="12">
        <f t="shared" si="56"/>
        <v>0</v>
      </c>
      <c r="P31" s="56">
        <v>0</v>
      </c>
      <c r="Q31" s="12">
        <f t="shared" si="57"/>
        <v>0</v>
      </c>
      <c r="R31" s="10">
        <v>0</v>
      </c>
      <c r="S31" s="56">
        <v>0</v>
      </c>
      <c r="T31" s="12">
        <f t="shared" si="58"/>
        <v>0</v>
      </c>
      <c r="U31" s="12">
        <f t="shared" si="59"/>
        <v>0</v>
      </c>
      <c r="V31" s="56">
        <v>0</v>
      </c>
      <c r="W31" s="12">
        <f t="shared" si="60"/>
        <v>0</v>
      </c>
      <c r="X31" s="10">
        <v>0</v>
      </c>
      <c r="Y31" s="10">
        <v>0</v>
      </c>
      <c r="Z31" s="12">
        <f t="shared" si="61"/>
        <v>0</v>
      </c>
      <c r="AA31" s="12">
        <f t="shared" si="62"/>
        <v>0</v>
      </c>
      <c r="AB31" s="80">
        <v>105</v>
      </c>
      <c r="AC31" s="117">
        <f t="shared" si="31"/>
        <v>5271</v>
      </c>
      <c r="AD31" s="10">
        <v>0</v>
      </c>
      <c r="AE31" s="10">
        <v>0</v>
      </c>
      <c r="AF31" s="117">
        <f t="shared" si="32"/>
        <v>0</v>
      </c>
      <c r="AG31" s="118">
        <f t="shared" si="33"/>
        <v>0</v>
      </c>
      <c r="AH31" s="80">
        <f t="shared" si="34"/>
        <v>105</v>
      </c>
      <c r="AI31" s="112">
        <f t="shared" si="63"/>
        <v>5271</v>
      </c>
      <c r="AJ31" s="111">
        <v>0</v>
      </c>
      <c r="AK31" s="111">
        <v>0</v>
      </c>
      <c r="AL31" s="112">
        <f t="shared" ca="1" si="64"/>
        <v>0</v>
      </c>
      <c r="AM31" s="112">
        <f t="shared" si="65"/>
        <v>0</v>
      </c>
      <c r="AN31" s="80">
        <f t="shared" si="38"/>
        <v>105</v>
      </c>
      <c r="AO31" s="12">
        <f t="shared" si="39"/>
        <v>5271</v>
      </c>
      <c r="AP31" s="10">
        <v>0</v>
      </c>
      <c r="AQ31" s="10">
        <v>0</v>
      </c>
      <c r="AR31" s="12">
        <f t="shared" si="40"/>
        <v>0</v>
      </c>
      <c r="AS31" s="12">
        <f t="shared" si="41"/>
        <v>0</v>
      </c>
      <c r="AT31" s="13">
        <f t="shared" si="42"/>
        <v>105</v>
      </c>
      <c r="AU31" s="12">
        <f t="shared" si="43"/>
        <v>5271</v>
      </c>
      <c r="AV31" s="10">
        <v>0</v>
      </c>
      <c r="AW31" s="10">
        <v>0</v>
      </c>
      <c r="AX31" s="12">
        <f t="shared" si="44"/>
        <v>0</v>
      </c>
      <c r="AY31" s="12">
        <f t="shared" si="45"/>
        <v>0</v>
      </c>
      <c r="AZ31" s="32">
        <f t="shared" si="46"/>
        <v>105</v>
      </c>
      <c r="BA31" s="12">
        <f t="shared" si="47"/>
        <v>5271</v>
      </c>
      <c r="BB31" s="10">
        <v>0</v>
      </c>
      <c r="BC31" s="10">
        <v>0</v>
      </c>
      <c r="BD31" s="12">
        <f t="shared" si="48"/>
        <v>0</v>
      </c>
      <c r="BE31" s="12">
        <f t="shared" si="49"/>
        <v>0</v>
      </c>
      <c r="BF31" s="13">
        <f t="shared" si="66"/>
        <v>105</v>
      </c>
      <c r="BG31" s="12">
        <f t="shared" si="67"/>
        <v>5271</v>
      </c>
      <c r="BH31" s="10">
        <v>0</v>
      </c>
      <c r="BI31" s="10">
        <v>0</v>
      </c>
      <c r="BJ31" s="12">
        <f t="shared" si="68"/>
        <v>0</v>
      </c>
      <c r="BK31" s="12">
        <f t="shared" si="69"/>
        <v>0</v>
      </c>
      <c r="BL31" s="13">
        <f t="shared" si="70"/>
        <v>105</v>
      </c>
      <c r="BM31" s="12">
        <f t="shared" si="71"/>
        <v>5271</v>
      </c>
      <c r="BN31" s="10">
        <v>0</v>
      </c>
      <c r="BO31" s="10">
        <v>0</v>
      </c>
      <c r="BP31" s="12">
        <f t="shared" si="72"/>
        <v>0</v>
      </c>
      <c r="BQ31" s="12">
        <f t="shared" si="73"/>
        <v>0</v>
      </c>
      <c r="BR31" s="13">
        <f t="shared" si="74"/>
        <v>105</v>
      </c>
      <c r="BS31" s="12">
        <f t="shared" si="75"/>
        <v>5271</v>
      </c>
      <c r="BT31" s="10">
        <v>0</v>
      </c>
      <c r="BU31" s="10">
        <v>0</v>
      </c>
      <c r="BV31" s="12">
        <f t="shared" si="76"/>
        <v>0</v>
      </c>
      <c r="BW31" s="12">
        <f t="shared" si="77"/>
        <v>0</v>
      </c>
      <c r="BX31" s="13">
        <f t="shared" si="78"/>
        <v>105</v>
      </c>
      <c r="BY31" s="12">
        <f t="shared" si="79"/>
        <v>5271</v>
      </c>
      <c r="BZ31" s="10">
        <v>0</v>
      </c>
      <c r="CA31" s="10">
        <v>0</v>
      </c>
      <c r="CB31" s="12">
        <f t="shared" si="80"/>
        <v>0</v>
      </c>
      <c r="CC31" s="12">
        <f t="shared" si="81"/>
        <v>0</v>
      </c>
      <c r="CD31" s="31" t="s">
        <v>115</v>
      </c>
      <c r="CE31" s="12">
        <f t="shared" si="82"/>
        <v>5271</v>
      </c>
      <c r="CF31" s="5"/>
    </row>
    <row r="32" spans="1:84" ht="80.25" customHeight="1">
      <c r="A32" s="148" t="s">
        <v>89</v>
      </c>
      <c r="B32" s="148" t="s">
        <v>143</v>
      </c>
      <c r="C32" s="151" t="s">
        <v>144</v>
      </c>
      <c r="D32" s="148" t="s">
        <v>54</v>
      </c>
      <c r="E32" s="181"/>
      <c r="F32" s="181"/>
      <c r="G32" s="181"/>
      <c r="H32" s="170">
        <v>4</v>
      </c>
      <c r="I32" s="159">
        <v>1</v>
      </c>
      <c r="J32" s="56">
        <v>0</v>
      </c>
      <c r="K32" s="12">
        <f t="shared" si="54"/>
        <v>0</v>
      </c>
      <c r="L32" s="10">
        <v>0</v>
      </c>
      <c r="M32" s="10">
        <v>0</v>
      </c>
      <c r="N32" s="12">
        <f t="shared" si="55"/>
        <v>0</v>
      </c>
      <c r="O32" s="12">
        <f t="shared" si="56"/>
        <v>0</v>
      </c>
      <c r="P32" s="56">
        <v>0</v>
      </c>
      <c r="Q32" s="12">
        <f t="shared" si="57"/>
        <v>0</v>
      </c>
      <c r="R32" s="10">
        <v>0</v>
      </c>
      <c r="S32" s="56">
        <v>0</v>
      </c>
      <c r="T32" s="12">
        <f t="shared" si="58"/>
        <v>0</v>
      </c>
      <c r="U32" s="12">
        <f t="shared" si="59"/>
        <v>0</v>
      </c>
      <c r="V32" s="56">
        <v>0</v>
      </c>
      <c r="W32" s="12">
        <f t="shared" si="60"/>
        <v>0</v>
      </c>
      <c r="X32" s="10">
        <v>0</v>
      </c>
      <c r="Y32" s="10">
        <v>0</v>
      </c>
      <c r="Z32" s="12">
        <f t="shared" si="61"/>
        <v>0</v>
      </c>
      <c r="AA32" s="12">
        <f t="shared" si="62"/>
        <v>0</v>
      </c>
      <c r="AB32" s="80">
        <v>4</v>
      </c>
      <c r="AC32" s="117">
        <f t="shared" si="31"/>
        <v>4</v>
      </c>
      <c r="AD32" s="10">
        <v>0</v>
      </c>
      <c r="AE32" s="10">
        <v>0</v>
      </c>
      <c r="AF32" s="117">
        <f t="shared" si="32"/>
        <v>0</v>
      </c>
      <c r="AG32" s="118">
        <f t="shared" si="33"/>
        <v>0</v>
      </c>
      <c r="AH32" s="80">
        <f t="shared" si="34"/>
        <v>4</v>
      </c>
      <c r="AI32" s="112">
        <f t="shared" si="63"/>
        <v>4</v>
      </c>
      <c r="AJ32" s="111">
        <v>0</v>
      </c>
      <c r="AK32" s="111">
        <v>0</v>
      </c>
      <c r="AL32" s="112">
        <f t="shared" ca="1" si="64"/>
        <v>0</v>
      </c>
      <c r="AM32" s="112">
        <f t="shared" si="65"/>
        <v>0</v>
      </c>
      <c r="AN32" s="80">
        <f t="shared" si="38"/>
        <v>4</v>
      </c>
      <c r="AO32" s="12">
        <f t="shared" si="39"/>
        <v>4</v>
      </c>
      <c r="AP32" s="10">
        <v>0</v>
      </c>
      <c r="AQ32" s="10">
        <v>0</v>
      </c>
      <c r="AR32" s="12">
        <f t="shared" si="40"/>
        <v>0</v>
      </c>
      <c r="AS32" s="12">
        <f t="shared" si="41"/>
        <v>0</v>
      </c>
      <c r="AT32" s="13">
        <f t="shared" si="42"/>
        <v>4</v>
      </c>
      <c r="AU32" s="12">
        <f t="shared" si="43"/>
        <v>4</v>
      </c>
      <c r="AV32" s="10">
        <v>0</v>
      </c>
      <c r="AW32" s="10">
        <v>0</v>
      </c>
      <c r="AX32" s="12">
        <f t="shared" si="44"/>
        <v>0</v>
      </c>
      <c r="AY32" s="12">
        <f t="shared" si="45"/>
        <v>0</v>
      </c>
      <c r="AZ32" s="32">
        <f t="shared" si="46"/>
        <v>4</v>
      </c>
      <c r="BA32" s="12">
        <f t="shared" si="47"/>
        <v>4</v>
      </c>
      <c r="BB32" s="10">
        <v>0</v>
      </c>
      <c r="BC32" s="10">
        <v>0</v>
      </c>
      <c r="BD32" s="12">
        <f t="shared" si="48"/>
        <v>0</v>
      </c>
      <c r="BE32" s="12">
        <f t="shared" si="49"/>
        <v>0</v>
      </c>
      <c r="BF32" s="13">
        <f t="shared" si="66"/>
        <v>4</v>
      </c>
      <c r="BG32" s="12">
        <f t="shared" si="67"/>
        <v>4</v>
      </c>
      <c r="BH32" s="10">
        <v>0</v>
      </c>
      <c r="BI32" s="10">
        <v>0</v>
      </c>
      <c r="BJ32" s="12">
        <f t="shared" si="68"/>
        <v>0</v>
      </c>
      <c r="BK32" s="12">
        <f t="shared" si="69"/>
        <v>0</v>
      </c>
      <c r="BL32" s="13">
        <f t="shared" si="70"/>
        <v>4</v>
      </c>
      <c r="BM32" s="12">
        <f t="shared" si="71"/>
        <v>4</v>
      </c>
      <c r="BN32" s="10">
        <v>0</v>
      </c>
      <c r="BO32" s="10">
        <v>0</v>
      </c>
      <c r="BP32" s="12">
        <f t="shared" si="72"/>
        <v>0</v>
      </c>
      <c r="BQ32" s="12">
        <f t="shared" si="73"/>
        <v>0</v>
      </c>
      <c r="BR32" s="13">
        <f t="shared" si="74"/>
        <v>4</v>
      </c>
      <c r="BS32" s="12">
        <f t="shared" si="75"/>
        <v>4</v>
      </c>
      <c r="BT32" s="10">
        <v>0</v>
      </c>
      <c r="BU32" s="10">
        <v>0</v>
      </c>
      <c r="BV32" s="12">
        <f t="shared" si="76"/>
        <v>0</v>
      </c>
      <c r="BW32" s="12">
        <f t="shared" si="77"/>
        <v>0</v>
      </c>
      <c r="BX32" s="13">
        <f t="shared" si="78"/>
        <v>4</v>
      </c>
      <c r="BY32" s="12">
        <f t="shared" si="79"/>
        <v>4</v>
      </c>
      <c r="BZ32" s="10">
        <v>0</v>
      </c>
      <c r="CA32" s="10">
        <v>0</v>
      </c>
      <c r="CB32" s="12">
        <f t="shared" si="80"/>
        <v>0</v>
      </c>
      <c r="CC32" s="12">
        <f t="shared" si="81"/>
        <v>0</v>
      </c>
      <c r="CD32" s="31" t="s">
        <v>48</v>
      </c>
      <c r="CE32" s="12">
        <f t="shared" si="82"/>
        <v>4</v>
      </c>
      <c r="CF32" s="5"/>
    </row>
    <row r="33" spans="1:84" ht="80.25" customHeight="1">
      <c r="A33" s="148" t="s">
        <v>84</v>
      </c>
      <c r="B33" s="148" t="s">
        <v>145</v>
      </c>
      <c r="C33" s="151" t="s">
        <v>146</v>
      </c>
      <c r="D33" s="148" t="s">
        <v>78</v>
      </c>
      <c r="E33" s="149"/>
      <c r="F33" s="149"/>
      <c r="G33" s="149"/>
      <c r="H33" s="170">
        <v>1</v>
      </c>
      <c r="I33" s="159">
        <v>1</v>
      </c>
      <c r="J33" s="56">
        <v>0</v>
      </c>
      <c r="K33" s="12">
        <f t="shared" si="54"/>
        <v>0</v>
      </c>
      <c r="L33" s="10">
        <v>0</v>
      </c>
      <c r="M33" s="10">
        <v>0</v>
      </c>
      <c r="N33" s="12">
        <f t="shared" si="55"/>
        <v>0</v>
      </c>
      <c r="O33" s="12">
        <f t="shared" si="56"/>
        <v>0</v>
      </c>
      <c r="P33" s="56">
        <v>0</v>
      </c>
      <c r="Q33" s="12">
        <f t="shared" si="57"/>
        <v>0</v>
      </c>
      <c r="R33" s="10">
        <v>0</v>
      </c>
      <c r="S33" s="56">
        <v>0</v>
      </c>
      <c r="T33" s="12">
        <f t="shared" si="58"/>
        <v>0</v>
      </c>
      <c r="U33" s="12">
        <f t="shared" si="59"/>
        <v>0</v>
      </c>
      <c r="V33" s="56">
        <v>0</v>
      </c>
      <c r="W33" s="12">
        <f t="shared" si="60"/>
        <v>0</v>
      </c>
      <c r="X33" s="10">
        <v>0</v>
      </c>
      <c r="Y33" s="10">
        <v>0</v>
      </c>
      <c r="Z33" s="12">
        <f t="shared" si="61"/>
        <v>0</v>
      </c>
      <c r="AA33" s="12">
        <f t="shared" si="62"/>
        <v>0</v>
      </c>
      <c r="AB33" s="80">
        <v>1</v>
      </c>
      <c r="AC33" s="117">
        <f t="shared" si="31"/>
        <v>1</v>
      </c>
      <c r="AD33" s="10">
        <v>0</v>
      </c>
      <c r="AE33" s="10">
        <v>0</v>
      </c>
      <c r="AF33" s="117">
        <f t="shared" si="32"/>
        <v>0</v>
      </c>
      <c r="AG33" s="118">
        <f t="shared" si="33"/>
        <v>0</v>
      </c>
      <c r="AH33" s="80">
        <f t="shared" si="34"/>
        <v>1</v>
      </c>
      <c r="AI33" s="112">
        <f t="shared" si="63"/>
        <v>1</v>
      </c>
      <c r="AJ33" s="111">
        <v>0</v>
      </c>
      <c r="AK33" s="111">
        <v>0</v>
      </c>
      <c r="AL33" s="112">
        <f t="shared" ca="1" si="64"/>
        <v>0</v>
      </c>
      <c r="AM33" s="112">
        <f t="shared" si="65"/>
        <v>0</v>
      </c>
      <c r="AN33" s="80">
        <f t="shared" si="38"/>
        <v>1</v>
      </c>
      <c r="AO33" s="12">
        <f t="shared" si="39"/>
        <v>1</v>
      </c>
      <c r="AP33" s="10">
        <v>0</v>
      </c>
      <c r="AQ33" s="10">
        <v>0</v>
      </c>
      <c r="AR33" s="12">
        <f t="shared" si="40"/>
        <v>0</v>
      </c>
      <c r="AS33" s="12">
        <f t="shared" si="41"/>
        <v>0</v>
      </c>
      <c r="AT33" s="13">
        <f t="shared" si="42"/>
        <v>1</v>
      </c>
      <c r="AU33" s="12">
        <f t="shared" si="43"/>
        <v>1</v>
      </c>
      <c r="AV33" s="10">
        <v>0</v>
      </c>
      <c r="AW33" s="10">
        <v>0</v>
      </c>
      <c r="AX33" s="12">
        <f t="shared" si="44"/>
        <v>0</v>
      </c>
      <c r="AY33" s="12">
        <f t="shared" si="45"/>
        <v>0</v>
      </c>
      <c r="AZ33" s="32">
        <f t="shared" si="46"/>
        <v>1</v>
      </c>
      <c r="BA33" s="12">
        <f t="shared" si="47"/>
        <v>1</v>
      </c>
      <c r="BB33" s="10">
        <v>0</v>
      </c>
      <c r="BC33" s="10">
        <v>0</v>
      </c>
      <c r="BD33" s="12">
        <f t="shared" si="48"/>
        <v>0</v>
      </c>
      <c r="BE33" s="12">
        <f t="shared" si="49"/>
        <v>0</v>
      </c>
      <c r="BF33" s="13">
        <f t="shared" si="66"/>
        <v>1</v>
      </c>
      <c r="BG33" s="12">
        <f t="shared" si="67"/>
        <v>1</v>
      </c>
      <c r="BH33" s="10">
        <v>0</v>
      </c>
      <c r="BI33" s="10">
        <v>0</v>
      </c>
      <c r="BJ33" s="12">
        <f t="shared" si="68"/>
        <v>0</v>
      </c>
      <c r="BK33" s="12">
        <f t="shared" si="69"/>
        <v>0</v>
      </c>
      <c r="BL33" s="13">
        <f t="shared" si="70"/>
        <v>1</v>
      </c>
      <c r="BM33" s="12">
        <f t="shared" si="71"/>
        <v>1</v>
      </c>
      <c r="BN33" s="10">
        <v>0</v>
      </c>
      <c r="BO33" s="10">
        <v>0</v>
      </c>
      <c r="BP33" s="12">
        <f t="shared" si="72"/>
        <v>0</v>
      </c>
      <c r="BQ33" s="12">
        <f t="shared" si="73"/>
        <v>0</v>
      </c>
      <c r="BR33" s="13">
        <f t="shared" si="74"/>
        <v>1</v>
      </c>
      <c r="BS33" s="12">
        <f t="shared" si="75"/>
        <v>1</v>
      </c>
      <c r="BT33" s="10">
        <v>0</v>
      </c>
      <c r="BU33" s="10">
        <v>0</v>
      </c>
      <c r="BV33" s="12">
        <f t="shared" si="76"/>
        <v>0</v>
      </c>
      <c r="BW33" s="12">
        <f t="shared" si="77"/>
        <v>0</v>
      </c>
      <c r="BX33" s="13">
        <f t="shared" si="78"/>
        <v>1</v>
      </c>
      <c r="BY33" s="12">
        <f t="shared" si="79"/>
        <v>1</v>
      </c>
      <c r="BZ33" s="10">
        <v>0</v>
      </c>
      <c r="CA33" s="10">
        <v>0</v>
      </c>
      <c r="CB33" s="12">
        <f t="shared" si="80"/>
        <v>0</v>
      </c>
      <c r="CC33" s="12">
        <f t="shared" si="81"/>
        <v>0</v>
      </c>
      <c r="CD33" s="31" t="s">
        <v>33</v>
      </c>
      <c r="CE33" s="12">
        <f t="shared" si="82"/>
        <v>1</v>
      </c>
      <c r="CF33" s="5"/>
    </row>
    <row r="34" spans="1:84" ht="80.25" customHeight="1">
      <c r="A34" s="148" t="s">
        <v>147</v>
      </c>
      <c r="B34" s="148" t="s">
        <v>148</v>
      </c>
      <c r="C34" s="151" t="s">
        <v>149</v>
      </c>
      <c r="D34" s="148" t="s">
        <v>83</v>
      </c>
      <c r="E34" s="152"/>
      <c r="F34" s="152"/>
      <c r="G34" s="152"/>
      <c r="H34" s="170">
        <v>8</v>
      </c>
      <c r="I34" s="159">
        <v>65</v>
      </c>
      <c r="J34" s="56">
        <v>0</v>
      </c>
      <c r="K34" s="12">
        <f t="shared" si="54"/>
        <v>0</v>
      </c>
      <c r="L34" s="10">
        <v>0</v>
      </c>
      <c r="M34" s="10">
        <v>0</v>
      </c>
      <c r="N34" s="33">
        <f t="shared" si="55"/>
        <v>0</v>
      </c>
      <c r="O34" s="33">
        <f t="shared" si="56"/>
        <v>0</v>
      </c>
      <c r="P34" s="56">
        <v>0</v>
      </c>
      <c r="Q34" s="33">
        <f t="shared" si="57"/>
        <v>0</v>
      </c>
      <c r="R34" s="56">
        <v>0</v>
      </c>
      <c r="S34" s="56">
        <v>0</v>
      </c>
      <c r="T34" s="33">
        <f t="shared" si="58"/>
        <v>0</v>
      </c>
      <c r="U34" s="33">
        <f t="shared" si="59"/>
        <v>0</v>
      </c>
      <c r="V34" s="56">
        <v>0</v>
      </c>
      <c r="W34" s="33">
        <f t="shared" si="60"/>
        <v>0</v>
      </c>
      <c r="X34" s="56">
        <v>0</v>
      </c>
      <c r="Y34" s="56">
        <v>0</v>
      </c>
      <c r="Z34" s="33">
        <f t="shared" si="61"/>
        <v>0</v>
      </c>
      <c r="AA34" s="33">
        <f t="shared" si="62"/>
        <v>0</v>
      </c>
      <c r="AB34" s="80">
        <v>8</v>
      </c>
      <c r="AC34" s="117">
        <f t="shared" si="31"/>
        <v>520</v>
      </c>
      <c r="AD34" s="10">
        <v>0</v>
      </c>
      <c r="AE34" s="10">
        <v>0</v>
      </c>
      <c r="AF34" s="117">
        <f t="shared" si="32"/>
        <v>0</v>
      </c>
      <c r="AG34" s="118">
        <f t="shared" si="33"/>
        <v>0</v>
      </c>
      <c r="AH34" s="80">
        <f t="shared" si="34"/>
        <v>8</v>
      </c>
      <c r="AI34" s="112">
        <f t="shared" si="63"/>
        <v>520</v>
      </c>
      <c r="AJ34" s="111">
        <v>0</v>
      </c>
      <c r="AK34" s="111">
        <v>0</v>
      </c>
      <c r="AL34" s="112">
        <f t="shared" ca="1" si="64"/>
        <v>0</v>
      </c>
      <c r="AM34" s="112">
        <f t="shared" si="65"/>
        <v>0</v>
      </c>
      <c r="AN34" s="80">
        <f t="shared" si="38"/>
        <v>8</v>
      </c>
      <c r="AO34" s="12">
        <f t="shared" si="39"/>
        <v>520</v>
      </c>
      <c r="AP34" s="10">
        <v>0</v>
      </c>
      <c r="AQ34" s="10">
        <v>0</v>
      </c>
      <c r="AR34" s="12">
        <f t="shared" si="40"/>
        <v>0</v>
      </c>
      <c r="AS34" s="12">
        <f t="shared" si="41"/>
        <v>0</v>
      </c>
      <c r="AT34" s="13">
        <f t="shared" si="42"/>
        <v>8</v>
      </c>
      <c r="AU34" s="12">
        <f t="shared" si="43"/>
        <v>520</v>
      </c>
      <c r="AV34" s="10">
        <v>0</v>
      </c>
      <c r="AW34" s="10">
        <v>0</v>
      </c>
      <c r="AX34" s="12">
        <f t="shared" si="44"/>
        <v>0</v>
      </c>
      <c r="AY34" s="12">
        <f t="shared" si="45"/>
        <v>0</v>
      </c>
      <c r="AZ34" s="32">
        <f t="shared" si="46"/>
        <v>8</v>
      </c>
      <c r="BA34" s="12">
        <f t="shared" si="47"/>
        <v>520</v>
      </c>
      <c r="BB34" s="10">
        <v>0</v>
      </c>
      <c r="BC34" s="10">
        <v>0</v>
      </c>
      <c r="BD34" s="12">
        <f t="shared" si="48"/>
        <v>0</v>
      </c>
      <c r="BE34" s="12">
        <f t="shared" si="49"/>
        <v>0</v>
      </c>
      <c r="BF34" s="18" t="s">
        <v>65</v>
      </c>
      <c r="BG34" s="12">
        <f t="shared" ref="BG34:BG73" si="83">AN34*I34</f>
        <v>520</v>
      </c>
      <c r="BH34" s="10">
        <v>0</v>
      </c>
      <c r="BI34" s="10">
        <v>0</v>
      </c>
      <c r="BJ34" s="12">
        <f t="shared" ref="BJ34:BJ73" si="84">BI34*AA34</f>
        <v>0</v>
      </c>
      <c r="BK34" s="12">
        <f t="shared" ref="BK34:BK73" si="85">BJ34*AB34</f>
        <v>0</v>
      </c>
      <c r="BL34" s="18" t="s">
        <v>65</v>
      </c>
      <c r="BM34" s="12">
        <f t="shared" ref="BM34:BM73" si="86">AN34*I34</f>
        <v>520</v>
      </c>
      <c r="BN34" s="10">
        <v>0</v>
      </c>
      <c r="BO34" s="10">
        <v>0</v>
      </c>
      <c r="BP34" s="12">
        <f t="shared" ref="BP34:BP73" si="87">BO34*AG34</f>
        <v>0</v>
      </c>
      <c r="BQ34" s="12">
        <f t="shared" ref="BQ34:BQ73" si="88">BP34*AH34</f>
        <v>0</v>
      </c>
      <c r="BR34" s="18" t="s">
        <v>65</v>
      </c>
      <c r="BS34" s="12">
        <f t="shared" ref="BS34:BS73" si="89">AN34*I34</f>
        <v>520</v>
      </c>
      <c r="BT34" s="10">
        <v>0</v>
      </c>
      <c r="BU34" s="10">
        <v>0</v>
      </c>
      <c r="BV34" s="12">
        <f t="shared" ref="BV34:BV73" si="90">BU34*AM34</f>
        <v>0</v>
      </c>
      <c r="BW34" s="12">
        <f t="shared" ref="BW34:BW73" si="91">BV34*AN34</f>
        <v>0</v>
      </c>
      <c r="BX34" s="18" t="s">
        <v>65</v>
      </c>
      <c r="BY34" s="12">
        <f t="shared" ref="BY34:BY73" si="92">AN34*I34</f>
        <v>520</v>
      </c>
      <c r="BZ34" s="10">
        <v>0</v>
      </c>
      <c r="CA34" s="10">
        <v>0</v>
      </c>
      <c r="CB34" s="12">
        <f t="shared" ref="CB34:CB73" si="93">CA34*AS34</f>
        <v>0</v>
      </c>
      <c r="CC34" s="12">
        <f t="shared" ref="CC34:CC73" si="94">CB34*AT34</f>
        <v>0</v>
      </c>
      <c r="CD34" s="31" t="s">
        <v>65</v>
      </c>
      <c r="CE34" s="12">
        <f t="shared" si="82"/>
        <v>520</v>
      </c>
      <c r="CF34" s="16"/>
    </row>
    <row r="35" spans="1:84" ht="80.25" customHeight="1">
      <c r="A35" s="148" t="s">
        <v>150</v>
      </c>
      <c r="B35" s="148" t="s">
        <v>151</v>
      </c>
      <c r="C35" s="151" t="s">
        <v>152</v>
      </c>
      <c r="D35" s="148" t="s">
        <v>83</v>
      </c>
      <c r="E35" s="152"/>
      <c r="F35" s="152"/>
      <c r="G35" s="152"/>
      <c r="H35" s="170">
        <v>8</v>
      </c>
      <c r="I35" s="159">
        <v>230</v>
      </c>
      <c r="J35" s="56">
        <v>0</v>
      </c>
      <c r="K35" s="12">
        <f t="shared" si="54"/>
        <v>0</v>
      </c>
      <c r="L35" s="10">
        <v>0</v>
      </c>
      <c r="M35" s="10">
        <v>0</v>
      </c>
      <c r="N35" s="33">
        <f t="shared" si="55"/>
        <v>0</v>
      </c>
      <c r="O35" s="33">
        <f t="shared" si="56"/>
        <v>0</v>
      </c>
      <c r="P35" s="56">
        <v>0</v>
      </c>
      <c r="Q35" s="33">
        <f t="shared" si="57"/>
        <v>0</v>
      </c>
      <c r="R35" s="56">
        <v>0</v>
      </c>
      <c r="S35" s="56">
        <v>0</v>
      </c>
      <c r="T35" s="33">
        <f t="shared" si="58"/>
        <v>0</v>
      </c>
      <c r="U35" s="33">
        <f t="shared" si="59"/>
        <v>0</v>
      </c>
      <c r="V35" s="56">
        <v>0</v>
      </c>
      <c r="W35" s="33">
        <f t="shared" si="60"/>
        <v>0</v>
      </c>
      <c r="X35" s="56">
        <v>0</v>
      </c>
      <c r="Y35" s="56">
        <v>0</v>
      </c>
      <c r="Z35" s="33">
        <f t="shared" si="61"/>
        <v>0</v>
      </c>
      <c r="AA35" s="33">
        <f t="shared" si="62"/>
        <v>0</v>
      </c>
      <c r="AB35" s="80">
        <v>8</v>
      </c>
      <c r="AC35" s="117">
        <f t="shared" si="31"/>
        <v>1840</v>
      </c>
      <c r="AD35" s="10">
        <v>0</v>
      </c>
      <c r="AE35" s="10">
        <v>0</v>
      </c>
      <c r="AF35" s="117">
        <f t="shared" si="32"/>
        <v>0</v>
      </c>
      <c r="AG35" s="118">
        <f t="shared" si="33"/>
        <v>0</v>
      </c>
      <c r="AH35" s="80">
        <f t="shared" si="34"/>
        <v>8</v>
      </c>
      <c r="AI35" s="112">
        <f t="shared" si="63"/>
        <v>1840</v>
      </c>
      <c r="AJ35" s="111">
        <v>0</v>
      </c>
      <c r="AK35" s="111">
        <v>0</v>
      </c>
      <c r="AL35" s="112">
        <f t="shared" ca="1" si="64"/>
        <v>0</v>
      </c>
      <c r="AM35" s="112">
        <f t="shared" si="65"/>
        <v>0</v>
      </c>
      <c r="AN35" s="80">
        <f t="shared" si="38"/>
        <v>8</v>
      </c>
      <c r="AO35" s="12">
        <f t="shared" si="39"/>
        <v>1840</v>
      </c>
      <c r="AP35" s="10">
        <v>0</v>
      </c>
      <c r="AQ35" s="10">
        <v>0</v>
      </c>
      <c r="AR35" s="12">
        <f t="shared" si="40"/>
        <v>0</v>
      </c>
      <c r="AS35" s="12">
        <f t="shared" si="41"/>
        <v>0</v>
      </c>
      <c r="AT35" s="13">
        <f t="shared" si="42"/>
        <v>8</v>
      </c>
      <c r="AU35" s="12">
        <f t="shared" si="43"/>
        <v>1840</v>
      </c>
      <c r="AV35" s="10">
        <v>0</v>
      </c>
      <c r="AW35" s="10">
        <v>0</v>
      </c>
      <c r="AX35" s="12">
        <f t="shared" si="44"/>
        <v>0</v>
      </c>
      <c r="AY35" s="12">
        <f t="shared" si="45"/>
        <v>0</v>
      </c>
      <c r="AZ35" s="32">
        <f t="shared" si="46"/>
        <v>8</v>
      </c>
      <c r="BA35" s="12">
        <f t="shared" si="47"/>
        <v>1840</v>
      </c>
      <c r="BB35" s="10">
        <v>0</v>
      </c>
      <c r="BC35" s="10">
        <v>0</v>
      </c>
      <c r="BD35" s="12">
        <f t="shared" si="48"/>
        <v>0</v>
      </c>
      <c r="BE35" s="12">
        <f t="shared" si="49"/>
        <v>0</v>
      </c>
      <c r="BF35" s="31" t="s">
        <v>65</v>
      </c>
      <c r="BG35" s="12">
        <f t="shared" si="83"/>
        <v>1840</v>
      </c>
      <c r="BH35" s="10">
        <v>0</v>
      </c>
      <c r="BI35" s="10">
        <v>0</v>
      </c>
      <c r="BJ35" s="12">
        <f t="shared" si="84"/>
        <v>0</v>
      </c>
      <c r="BK35" s="12">
        <f t="shared" si="85"/>
        <v>0</v>
      </c>
      <c r="BL35" s="31" t="s">
        <v>65</v>
      </c>
      <c r="BM35" s="12">
        <f t="shared" si="86"/>
        <v>1840</v>
      </c>
      <c r="BN35" s="10">
        <v>0</v>
      </c>
      <c r="BO35" s="10">
        <v>0</v>
      </c>
      <c r="BP35" s="12">
        <f t="shared" si="87"/>
        <v>0</v>
      </c>
      <c r="BQ35" s="12">
        <f t="shared" si="88"/>
        <v>0</v>
      </c>
      <c r="BR35" s="31" t="s">
        <v>65</v>
      </c>
      <c r="BS35" s="12">
        <f t="shared" si="89"/>
        <v>1840</v>
      </c>
      <c r="BT35" s="10">
        <v>0</v>
      </c>
      <c r="BU35" s="10">
        <v>0</v>
      </c>
      <c r="BV35" s="12">
        <f t="shared" si="90"/>
        <v>0</v>
      </c>
      <c r="BW35" s="12">
        <f t="shared" si="91"/>
        <v>0</v>
      </c>
      <c r="BX35" s="31" t="s">
        <v>65</v>
      </c>
      <c r="BY35" s="12">
        <f t="shared" si="92"/>
        <v>1840</v>
      </c>
      <c r="BZ35" s="10">
        <v>0</v>
      </c>
      <c r="CA35" s="10">
        <v>0</v>
      </c>
      <c r="CB35" s="12">
        <f t="shared" si="93"/>
        <v>0</v>
      </c>
      <c r="CC35" s="12">
        <f t="shared" si="94"/>
        <v>0</v>
      </c>
      <c r="CD35" s="31" t="s">
        <v>65</v>
      </c>
      <c r="CE35" s="12">
        <f t="shared" si="82"/>
        <v>1840</v>
      </c>
      <c r="CF35" s="16"/>
    </row>
    <row r="36" spans="1:84" ht="80.25" customHeight="1">
      <c r="A36" s="148" t="s">
        <v>153</v>
      </c>
      <c r="B36" s="148" t="s">
        <v>154</v>
      </c>
      <c r="C36" s="151" t="s">
        <v>155</v>
      </c>
      <c r="D36" s="148" t="s">
        <v>54</v>
      </c>
      <c r="E36" s="150"/>
      <c r="F36" s="150"/>
      <c r="G36" s="150"/>
      <c r="H36" s="170">
        <v>1</v>
      </c>
      <c r="I36" s="159">
        <v>1</v>
      </c>
      <c r="J36" s="56">
        <v>0</v>
      </c>
      <c r="K36" s="12">
        <f t="shared" si="54"/>
        <v>0</v>
      </c>
      <c r="L36" s="10">
        <v>0</v>
      </c>
      <c r="M36" s="10">
        <v>0</v>
      </c>
      <c r="N36" s="33">
        <f t="shared" si="55"/>
        <v>0</v>
      </c>
      <c r="O36" s="33">
        <f t="shared" si="56"/>
        <v>0</v>
      </c>
      <c r="P36" s="56">
        <v>0</v>
      </c>
      <c r="Q36" s="33">
        <f t="shared" si="57"/>
        <v>0</v>
      </c>
      <c r="R36" s="56">
        <v>0</v>
      </c>
      <c r="S36" s="56">
        <v>0</v>
      </c>
      <c r="T36" s="33">
        <f t="shared" si="58"/>
        <v>0</v>
      </c>
      <c r="U36" s="33">
        <f t="shared" si="59"/>
        <v>0</v>
      </c>
      <c r="V36" s="56">
        <v>0</v>
      </c>
      <c r="W36" s="33">
        <f t="shared" si="60"/>
        <v>0</v>
      </c>
      <c r="X36" s="56">
        <v>0</v>
      </c>
      <c r="Y36" s="56">
        <v>0</v>
      </c>
      <c r="Z36" s="33">
        <f t="shared" si="61"/>
        <v>0</v>
      </c>
      <c r="AA36" s="33">
        <f t="shared" si="62"/>
        <v>0</v>
      </c>
      <c r="AB36" s="80">
        <v>1</v>
      </c>
      <c r="AC36" s="117">
        <f t="shared" si="31"/>
        <v>1</v>
      </c>
      <c r="AD36" s="10">
        <v>0</v>
      </c>
      <c r="AE36" s="10">
        <v>0</v>
      </c>
      <c r="AF36" s="117">
        <f t="shared" si="32"/>
        <v>0</v>
      </c>
      <c r="AG36" s="118">
        <f t="shared" si="33"/>
        <v>0</v>
      </c>
      <c r="AH36" s="80">
        <f t="shared" si="34"/>
        <v>1</v>
      </c>
      <c r="AI36" s="112">
        <f t="shared" si="63"/>
        <v>1</v>
      </c>
      <c r="AJ36" s="111">
        <v>0</v>
      </c>
      <c r="AK36" s="111">
        <v>0</v>
      </c>
      <c r="AL36" s="112">
        <f t="shared" ca="1" si="64"/>
        <v>0</v>
      </c>
      <c r="AM36" s="112">
        <f t="shared" si="65"/>
        <v>0</v>
      </c>
      <c r="AN36" s="80">
        <f t="shared" si="38"/>
        <v>1</v>
      </c>
      <c r="AO36" s="12">
        <f t="shared" si="39"/>
        <v>1</v>
      </c>
      <c r="AP36" s="10">
        <v>0</v>
      </c>
      <c r="AQ36" s="10">
        <v>0</v>
      </c>
      <c r="AR36" s="12">
        <f t="shared" si="40"/>
        <v>0</v>
      </c>
      <c r="AS36" s="12">
        <f t="shared" si="41"/>
        <v>0</v>
      </c>
      <c r="AT36" s="13">
        <f t="shared" si="42"/>
        <v>1</v>
      </c>
      <c r="AU36" s="12">
        <f t="shared" si="43"/>
        <v>1</v>
      </c>
      <c r="AV36" s="10">
        <v>0</v>
      </c>
      <c r="AW36" s="10">
        <v>0</v>
      </c>
      <c r="AX36" s="12">
        <f t="shared" si="44"/>
        <v>0</v>
      </c>
      <c r="AY36" s="12">
        <f t="shared" si="45"/>
        <v>0</v>
      </c>
      <c r="AZ36" s="32">
        <f t="shared" si="46"/>
        <v>1</v>
      </c>
      <c r="BA36" s="12">
        <f t="shared" si="47"/>
        <v>1</v>
      </c>
      <c r="BB36" s="10">
        <v>0</v>
      </c>
      <c r="BC36" s="10">
        <v>0</v>
      </c>
      <c r="BD36" s="12">
        <f t="shared" si="48"/>
        <v>0</v>
      </c>
      <c r="BE36" s="12">
        <f t="shared" si="49"/>
        <v>0</v>
      </c>
      <c r="BF36" s="31" t="s">
        <v>33</v>
      </c>
      <c r="BG36" s="12">
        <f t="shared" si="83"/>
        <v>1</v>
      </c>
      <c r="BH36" s="10">
        <v>0</v>
      </c>
      <c r="BI36" s="10">
        <v>0</v>
      </c>
      <c r="BJ36" s="12">
        <f t="shared" si="84"/>
        <v>0</v>
      </c>
      <c r="BK36" s="12">
        <f t="shared" si="85"/>
        <v>0</v>
      </c>
      <c r="BL36" s="31" t="s">
        <v>33</v>
      </c>
      <c r="BM36" s="12">
        <f t="shared" si="86"/>
        <v>1</v>
      </c>
      <c r="BN36" s="10">
        <v>0</v>
      </c>
      <c r="BO36" s="10">
        <v>0</v>
      </c>
      <c r="BP36" s="12">
        <f t="shared" si="87"/>
        <v>0</v>
      </c>
      <c r="BQ36" s="12">
        <f t="shared" si="88"/>
        <v>0</v>
      </c>
      <c r="BR36" s="31" t="s">
        <v>33</v>
      </c>
      <c r="BS36" s="12">
        <f t="shared" si="89"/>
        <v>1</v>
      </c>
      <c r="BT36" s="10">
        <v>0</v>
      </c>
      <c r="BU36" s="10">
        <v>0</v>
      </c>
      <c r="BV36" s="12">
        <f t="shared" si="90"/>
        <v>0</v>
      </c>
      <c r="BW36" s="12">
        <f t="shared" si="91"/>
        <v>0</v>
      </c>
      <c r="BX36" s="31" t="s">
        <v>33</v>
      </c>
      <c r="BY36" s="12">
        <f t="shared" si="92"/>
        <v>1</v>
      </c>
      <c r="BZ36" s="10">
        <v>0</v>
      </c>
      <c r="CA36" s="10">
        <v>0</v>
      </c>
      <c r="CB36" s="12">
        <f t="shared" si="93"/>
        <v>0</v>
      </c>
      <c r="CC36" s="12">
        <f t="shared" si="94"/>
        <v>0</v>
      </c>
      <c r="CD36" s="31" t="s">
        <v>33</v>
      </c>
      <c r="CE36" s="12">
        <f t="shared" si="82"/>
        <v>1</v>
      </c>
      <c r="CF36" s="5"/>
    </row>
    <row r="37" spans="1:84" ht="80.25" customHeight="1">
      <c r="A37" s="148" t="s">
        <v>59</v>
      </c>
      <c r="B37" s="148" t="s">
        <v>156</v>
      </c>
      <c r="C37" s="151" t="s">
        <v>157</v>
      </c>
      <c r="D37" s="148" t="s">
        <v>78</v>
      </c>
      <c r="E37" s="150"/>
      <c r="F37" s="150"/>
      <c r="G37" s="150"/>
      <c r="H37" s="170">
        <v>23</v>
      </c>
      <c r="I37" s="159">
        <v>53</v>
      </c>
      <c r="J37" s="56">
        <v>0</v>
      </c>
      <c r="K37" s="12">
        <f t="shared" si="54"/>
        <v>0</v>
      </c>
      <c r="L37" s="10">
        <v>0</v>
      </c>
      <c r="M37" s="10">
        <v>0</v>
      </c>
      <c r="N37" s="33">
        <f t="shared" si="55"/>
        <v>0</v>
      </c>
      <c r="O37" s="33">
        <f t="shared" si="56"/>
        <v>0</v>
      </c>
      <c r="P37" s="56">
        <v>0</v>
      </c>
      <c r="Q37" s="33">
        <f t="shared" si="57"/>
        <v>0</v>
      </c>
      <c r="R37" s="56">
        <v>0</v>
      </c>
      <c r="S37" s="56">
        <v>0</v>
      </c>
      <c r="T37" s="33">
        <f t="shared" si="58"/>
        <v>0</v>
      </c>
      <c r="U37" s="33">
        <f t="shared" si="59"/>
        <v>0</v>
      </c>
      <c r="V37" s="56">
        <v>0</v>
      </c>
      <c r="W37" s="33">
        <f t="shared" si="60"/>
        <v>0</v>
      </c>
      <c r="X37" s="56">
        <v>0</v>
      </c>
      <c r="Y37" s="56">
        <v>0</v>
      </c>
      <c r="Z37" s="33">
        <f t="shared" si="61"/>
        <v>0</v>
      </c>
      <c r="AA37" s="33">
        <f t="shared" si="62"/>
        <v>0</v>
      </c>
      <c r="AB37" s="80">
        <v>23</v>
      </c>
      <c r="AC37" s="117">
        <f t="shared" si="31"/>
        <v>1219</v>
      </c>
      <c r="AD37" s="10">
        <v>0</v>
      </c>
      <c r="AE37" s="10">
        <v>0</v>
      </c>
      <c r="AF37" s="117">
        <f t="shared" si="32"/>
        <v>0</v>
      </c>
      <c r="AG37" s="118">
        <f t="shared" si="33"/>
        <v>0</v>
      </c>
      <c r="AH37" s="80">
        <f t="shared" si="34"/>
        <v>23</v>
      </c>
      <c r="AI37" s="112">
        <f t="shared" si="63"/>
        <v>1219</v>
      </c>
      <c r="AJ37" s="111">
        <v>0</v>
      </c>
      <c r="AK37" s="111">
        <v>0</v>
      </c>
      <c r="AL37" s="112">
        <f t="shared" ca="1" si="64"/>
        <v>0</v>
      </c>
      <c r="AM37" s="112">
        <f t="shared" si="65"/>
        <v>0</v>
      </c>
      <c r="AN37" s="80">
        <f t="shared" si="38"/>
        <v>23</v>
      </c>
      <c r="AO37" s="12">
        <f t="shared" si="39"/>
        <v>1219</v>
      </c>
      <c r="AP37" s="10">
        <v>0</v>
      </c>
      <c r="AQ37" s="10">
        <v>0</v>
      </c>
      <c r="AR37" s="12">
        <f t="shared" si="40"/>
        <v>0</v>
      </c>
      <c r="AS37" s="12">
        <f t="shared" si="41"/>
        <v>0</v>
      </c>
      <c r="AT37" s="13">
        <f t="shared" si="42"/>
        <v>23</v>
      </c>
      <c r="AU37" s="12">
        <f t="shared" si="43"/>
        <v>1219</v>
      </c>
      <c r="AV37" s="10">
        <v>0</v>
      </c>
      <c r="AW37" s="10">
        <v>0</v>
      </c>
      <c r="AX37" s="12">
        <f t="shared" si="44"/>
        <v>0</v>
      </c>
      <c r="AY37" s="12">
        <f t="shared" si="45"/>
        <v>0</v>
      </c>
      <c r="AZ37" s="32">
        <f t="shared" si="46"/>
        <v>23</v>
      </c>
      <c r="BA37" s="12">
        <f t="shared" si="47"/>
        <v>1219</v>
      </c>
      <c r="BB37" s="10">
        <v>0</v>
      </c>
      <c r="BC37" s="10">
        <v>0</v>
      </c>
      <c r="BD37" s="12">
        <f t="shared" si="48"/>
        <v>0</v>
      </c>
      <c r="BE37" s="12">
        <f t="shared" si="49"/>
        <v>0</v>
      </c>
      <c r="BF37" s="31" t="s">
        <v>130</v>
      </c>
      <c r="BG37" s="12">
        <f t="shared" si="83"/>
        <v>1219</v>
      </c>
      <c r="BH37" s="10">
        <v>0</v>
      </c>
      <c r="BI37" s="10">
        <v>0</v>
      </c>
      <c r="BJ37" s="12">
        <f t="shared" si="84"/>
        <v>0</v>
      </c>
      <c r="BK37" s="12">
        <f t="shared" si="85"/>
        <v>0</v>
      </c>
      <c r="BL37" s="31" t="s">
        <v>130</v>
      </c>
      <c r="BM37" s="12">
        <f t="shared" si="86"/>
        <v>1219</v>
      </c>
      <c r="BN37" s="10">
        <v>0</v>
      </c>
      <c r="BO37" s="10">
        <v>0</v>
      </c>
      <c r="BP37" s="12">
        <f t="shared" si="87"/>
        <v>0</v>
      </c>
      <c r="BQ37" s="12">
        <f t="shared" si="88"/>
        <v>0</v>
      </c>
      <c r="BR37" s="31" t="s">
        <v>130</v>
      </c>
      <c r="BS37" s="12">
        <f t="shared" si="89"/>
        <v>1219</v>
      </c>
      <c r="BT37" s="10">
        <v>0</v>
      </c>
      <c r="BU37" s="10">
        <v>0</v>
      </c>
      <c r="BV37" s="12">
        <f t="shared" si="90"/>
        <v>0</v>
      </c>
      <c r="BW37" s="12">
        <f t="shared" si="91"/>
        <v>0</v>
      </c>
      <c r="BX37" s="31" t="s">
        <v>130</v>
      </c>
      <c r="BY37" s="12">
        <f t="shared" si="92"/>
        <v>1219</v>
      </c>
      <c r="BZ37" s="10">
        <v>0</v>
      </c>
      <c r="CA37" s="10">
        <v>0</v>
      </c>
      <c r="CB37" s="12">
        <f t="shared" si="93"/>
        <v>0</v>
      </c>
      <c r="CC37" s="12">
        <f t="shared" si="94"/>
        <v>0</v>
      </c>
      <c r="CD37" s="31" t="s">
        <v>130</v>
      </c>
      <c r="CE37" s="12">
        <f t="shared" ref="CE37:CE73" si="95">AN37*I37</f>
        <v>1219</v>
      </c>
      <c r="CF37" s="5"/>
    </row>
    <row r="38" spans="1:84" ht="80.25" customHeight="1">
      <c r="A38" s="148" t="s">
        <v>158</v>
      </c>
      <c r="B38" s="148" t="s">
        <v>159</v>
      </c>
      <c r="C38" s="151" t="s">
        <v>160</v>
      </c>
      <c r="D38" s="151" t="s">
        <v>41</v>
      </c>
      <c r="E38" s="150"/>
      <c r="F38" s="150"/>
      <c r="G38" s="150"/>
      <c r="H38" s="170">
        <v>12</v>
      </c>
      <c r="I38" s="159">
        <v>1</v>
      </c>
      <c r="J38" s="56">
        <v>0</v>
      </c>
      <c r="K38" s="12">
        <f t="shared" si="54"/>
        <v>0</v>
      </c>
      <c r="L38" s="10">
        <v>0</v>
      </c>
      <c r="M38" s="10">
        <v>0</v>
      </c>
      <c r="N38" s="33">
        <f t="shared" si="55"/>
        <v>0</v>
      </c>
      <c r="O38" s="33">
        <f t="shared" si="56"/>
        <v>0</v>
      </c>
      <c r="P38" s="56">
        <v>0</v>
      </c>
      <c r="Q38" s="33">
        <f t="shared" si="57"/>
        <v>0</v>
      </c>
      <c r="R38" s="56">
        <v>0</v>
      </c>
      <c r="S38" s="56">
        <v>0</v>
      </c>
      <c r="T38" s="33">
        <f t="shared" si="58"/>
        <v>0</v>
      </c>
      <c r="U38" s="33">
        <f t="shared" si="59"/>
        <v>0</v>
      </c>
      <c r="V38" s="56">
        <v>0</v>
      </c>
      <c r="W38" s="33">
        <f t="shared" si="60"/>
        <v>0</v>
      </c>
      <c r="X38" s="56">
        <v>0</v>
      </c>
      <c r="Y38" s="56">
        <v>0</v>
      </c>
      <c r="Z38" s="33">
        <f t="shared" si="61"/>
        <v>0</v>
      </c>
      <c r="AA38" s="33">
        <f t="shared" si="62"/>
        <v>0</v>
      </c>
      <c r="AB38" s="80">
        <v>12</v>
      </c>
      <c r="AC38" s="117">
        <f t="shared" si="31"/>
        <v>12</v>
      </c>
      <c r="AD38" s="10">
        <v>0</v>
      </c>
      <c r="AE38" s="10">
        <v>0</v>
      </c>
      <c r="AF38" s="117">
        <f t="shared" si="32"/>
        <v>0</v>
      </c>
      <c r="AG38" s="118">
        <f t="shared" si="33"/>
        <v>0</v>
      </c>
      <c r="AH38" s="80">
        <f t="shared" si="34"/>
        <v>12</v>
      </c>
      <c r="AI38" s="112">
        <f t="shared" si="63"/>
        <v>12</v>
      </c>
      <c r="AJ38" s="111">
        <v>0</v>
      </c>
      <c r="AK38" s="111">
        <v>0</v>
      </c>
      <c r="AL38" s="112">
        <f t="shared" ca="1" si="64"/>
        <v>0</v>
      </c>
      <c r="AM38" s="112">
        <f t="shared" si="65"/>
        <v>0</v>
      </c>
      <c r="AN38" s="80">
        <f t="shared" si="38"/>
        <v>12</v>
      </c>
      <c r="AO38" s="12">
        <f t="shared" si="39"/>
        <v>12</v>
      </c>
      <c r="AP38" s="10">
        <v>0</v>
      </c>
      <c r="AQ38" s="10">
        <v>0</v>
      </c>
      <c r="AR38" s="12">
        <f t="shared" si="40"/>
        <v>0</v>
      </c>
      <c r="AS38" s="12">
        <f t="shared" si="41"/>
        <v>0</v>
      </c>
      <c r="AT38" s="13">
        <f t="shared" si="42"/>
        <v>12</v>
      </c>
      <c r="AU38" s="12">
        <f t="shared" si="43"/>
        <v>12</v>
      </c>
      <c r="AV38" s="10">
        <v>0</v>
      </c>
      <c r="AW38" s="10">
        <v>0</v>
      </c>
      <c r="AX38" s="12">
        <f t="shared" si="44"/>
        <v>0</v>
      </c>
      <c r="AY38" s="12">
        <f t="shared" si="45"/>
        <v>0</v>
      </c>
      <c r="AZ38" s="32">
        <f t="shared" si="46"/>
        <v>12</v>
      </c>
      <c r="BA38" s="12">
        <f t="shared" si="47"/>
        <v>12</v>
      </c>
      <c r="BB38" s="10">
        <v>0</v>
      </c>
      <c r="BC38" s="10">
        <v>0</v>
      </c>
      <c r="BD38" s="12">
        <f t="shared" si="48"/>
        <v>0</v>
      </c>
      <c r="BE38" s="12">
        <f t="shared" si="49"/>
        <v>0</v>
      </c>
      <c r="BF38" s="31" t="s">
        <v>85</v>
      </c>
      <c r="BG38" s="12">
        <f t="shared" si="83"/>
        <v>12</v>
      </c>
      <c r="BH38" s="10">
        <v>0</v>
      </c>
      <c r="BI38" s="10">
        <v>0</v>
      </c>
      <c r="BJ38" s="12">
        <f t="shared" si="84"/>
        <v>0</v>
      </c>
      <c r="BK38" s="12">
        <f t="shared" si="85"/>
        <v>0</v>
      </c>
      <c r="BL38" s="31" t="s">
        <v>85</v>
      </c>
      <c r="BM38" s="12">
        <f t="shared" si="86"/>
        <v>12</v>
      </c>
      <c r="BN38" s="10">
        <v>0</v>
      </c>
      <c r="BO38" s="10">
        <v>0</v>
      </c>
      <c r="BP38" s="12">
        <f t="shared" si="87"/>
        <v>0</v>
      </c>
      <c r="BQ38" s="12">
        <f t="shared" si="88"/>
        <v>0</v>
      </c>
      <c r="BR38" s="31" t="s">
        <v>85</v>
      </c>
      <c r="BS38" s="12">
        <f t="shared" si="89"/>
        <v>12</v>
      </c>
      <c r="BT38" s="10">
        <v>0</v>
      </c>
      <c r="BU38" s="10">
        <v>0</v>
      </c>
      <c r="BV38" s="12">
        <f t="shared" si="90"/>
        <v>0</v>
      </c>
      <c r="BW38" s="12">
        <f t="shared" si="91"/>
        <v>0</v>
      </c>
      <c r="BX38" s="31" t="s">
        <v>85</v>
      </c>
      <c r="BY38" s="12">
        <f t="shared" si="92"/>
        <v>12</v>
      </c>
      <c r="BZ38" s="10">
        <v>0</v>
      </c>
      <c r="CA38" s="10">
        <v>0</v>
      </c>
      <c r="CB38" s="12">
        <f t="shared" si="93"/>
        <v>0</v>
      </c>
      <c r="CC38" s="12">
        <f t="shared" si="94"/>
        <v>0</v>
      </c>
      <c r="CD38" s="31" t="s">
        <v>85</v>
      </c>
      <c r="CE38" s="12">
        <f t="shared" si="95"/>
        <v>12</v>
      </c>
      <c r="CF38" s="5"/>
    </row>
    <row r="39" spans="1:84" ht="80.25" customHeight="1">
      <c r="A39" s="148" t="s">
        <v>161</v>
      </c>
      <c r="B39" s="148" t="s">
        <v>162</v>
      </c>
      <c r="C39" s="151" t="s">
        <v>163</v>
      </c>
      <c r="D39" s="151" t="s">
        <v>58</v>
      </c>
      <c r="E39" s="153"/>
      <c r="F39" s="153"/>
      <c r="G39" s="153"/>
      <c r="H39" s="170">
        <v>100</v>
      </c>
      <c r="I39" s="159">
        <v>1</v>
      </c>
      <c r="J39" s="56">
        <v>0</v>
      </c>
      <c r="K39" s="12">
        <f t="shared" si="54"/>
        <v>0</v>
      </c>
      <c r="L39" s="10">
        <v>0</v>
      </c>
      <c r="M39" s="10">
        <v>0</v>
      </c>
      <c r="N39" s="33">
        <f t="shared" si="55"/>
        <v>0</v>
      </c>
      <c r="O39" s="33">
        <f t="shared" si="56"/>
        <v>0</v>
      </c>
      <c r="P39" s="56">
        <v>0</v>
      </c>
      <c r="Q39" s="33">
        <f t="shared" si="57"/>
        <v>0</v>
      </c>
      <c r="R39" s="56">
        <v>0</v>
      </c>
      <c r="S39" s="56">
        <v>0</v>
      </c>
      <c r="T39" s="33">
        <f t="shared" si="58"/>
        <v>0</v>
      </c>
      <c r="U39" s="33">
        <f t="shared" si="59"/>
        <v>0</v>
      </c>
      <c r="V39" s="56">
        <v>0</v>
      </c>
      <c r="W39" s="33">
        <f t="shared" si="60"/>
        <v>0</v>
      </c>
      <c r="X39" s="56">
        <v>0</v>
      </c>
      <c r="Y39" s="56">
        <v>0</v>
      </c>
      <c r="Z39" s="33">
        <f t="shared" si="61"/>
        <v>0</v>
      </c>
      <c r="AA39" s="33">
        <f t="shared" si="62"/>
        <v>0</v>
      </c>
      <c r="AB39" s="80">
        <v>100</v>
      </c>
      <c r="AC39" s="117">
        <f t="shared" si="31"/>
        <v>100</v>
      </c>
      <c r="AD39" s="10">
        <v>0</v>
      </c>
      <c r="AE39" s="10">
        <v>0</v>
      </c>
      <c r="AF39" s="117">
        <f t="shared" si="32"/>
        <v>0</v>
      </c>
      <c r="AG39" s="118">
        <f t="shared" si="33"/>
        <v>0</v>
      </c>
      <c r="AH39" s="80">
        <f t="shared" si="34"/>
        <v>100</v>
      </c>
      <c r="AI39" s="112">
        <f t="shared" si="63"/>
        <v>100</v>
      </c>
      <c r="AJ39" s="111">
        <v>0</v>
      </c>
      <c r="AK39" s="111">
        <v>0</v>
      </c>
      <c r="AL39" s="112">
        <f t="shared" ca="1" si="64"/>
        <v>0</v>
      </c>
      <c r="AM39" s="112">
        <f t="shared" si="65"/>
        <v>0</v>
      </c>
      <c r="AN39" s="80">
        <f t="shared" si="38"/>
        <v>100</v>
      </c>
      <c r="AO39" s="12">
        <f t="shared" si="39"/>
        <v>100</v>
      </c>
      <c r="AP39" s="10">
        <v>0</v>
      </c>
      <c r="AQ39" s="10">
        <v>0</v>
      </c>
      <c r="AR39" s="12">
        <f t="shared" si="40"/>
        <v>0</v>
      </c>
      <c r="AS39" s="12">
        <f t="shared" si="41"/>
        <v>0</v>
      </c>
      <c r="AT39" s="13">
        <f t="shared" si="42"/>
        <v>100</v>
      </c>
      <c r="AU39" s="12">
        <f t="shared" si="43"/>
        <v>100</v>
      </c>
      <c r="AV39" s="10">
        <v>0</v>
      </c>
      <c r="AW39" s="10">
        <v>0</v>
      </c>
      <c r="AX39" s="12">
        <f t="shared" si="44"/>
        <v>0</v>
      </c>
      <c r="AY39" s="12">
        <f t="shared" si="45"/>
        <v>0</v>
      </c>
      <c r="AZ39" s="32">
        <f t="shared" si="46"/>
        <v>100</v>
      </c>
      <c r="BA39" s="12">
        <f t="shared" si="47"/>
        <v>100</v>
      </c>
      <c r="BB39" s="10">
        <v>0</v>
      </c>
      <c r="BC39" s="10">
        <v>0</v>
      </c>
      <c r="BD39" s="12">
        <f t="shared" si="48"/>
        <v>0</v>
      </c>
      <c r="BE39" s="12">
        <f t="shared" si="49"/>
        <v>0</v>
      </c>
      <c r="BF39" s="31" t="s">
        <v>164</v>
      </c>
      <c r="BG39" s="12">
        <f t="shared" si="83"/>
        <v>100</v>
      </c>
      <c r="BH39" s="10">
        <v>0</v>
      </c>
      <c r="BI39" s="10">
        <v>0</v>
      </c>
      <c r="BJ39" s="12">
        <f t="shared" si="84"/>
        <v>0</v>
      </c>
      <c r="BK39" s="12">
        <f t="shared" si="85"/>
        <v>0</v>
      </c>
      <c r="BL39" s="31" t="s">
        <v>164</v>
      </c>
      <c r="BM39" s="12">
        <f t="shared" si="86"/>
        <v>100</v>
      </c>
      <c r="BN39" s="10">
        <v>0</v>
      </c>
      <c r="BO39" s="10">
        <v>0</v>
      </c>
      <c r="BP39" s="12">
        <f t="shared" si="87"/>
        <v>0</v>
      </c>
      <c r="BQ39" s="12">
        <f t="shared" si="88"/>
        <v>0</v>
      </c>
      <c r="BR39" s="31" t="s">
        <v>164</v>
      </c>
      <c r="BS39" s="12">
        <f t="shared" si="89"/>
        <v>100</v>
      </c>
      <c r="BT39" s="10">
        <v>0</v>
      </c>
      <c r="BU39" s="10">
        <v>0</v>
      </c>
      <c r="BV39" s="12">
        <f t="shared" si="90"/>
        <v>0</v>
      </c>
      <c r="BW39" s="12">
        <f t="shared" si="91"/>
        <v>0</v>
      </c>
      <c r="BX39" s="31" t="s">
        <v>164</v>
      </c>
      <c r="BY39" s="12">
        <f t="shared" si="92"/>
        <v>100</v>
      </c>
      <c r="BZ39" s="10">
        <v>0</v>
      </c>
      <c r="CA39" s="10">
        <v>0</v>
      </c>
      <c r="CB39" s="12">
        <f t="shared" si="93"/>
        <v>0</v>
      </c>
      <c r="CC39" s="12">
        <f t="shared" si="94"/>
        <v>0</v>
      </c>
      <c r="CD39" s="31" t="s">
        <v>164</v>
      </c>
      <c r="CE39" s="12">
        <f t="shared" si="95"/>
        <v>100</v>
      </c>
      <c r="CF39" s="5"/>
    </row>
    <row r="40" spans="1:84" ht="80.25" customHeight="1">
      <c r="A40" s="148" t="s">
        <v>111</v>
      </c>
      <c r="B40" s="148" t="s">
        <v>165</v>
      </c>
      <c r="C40" s="151" t="s">
        <v>166</v>
      </c>
      <c r="D40" s="151">
        <v>2024</v>
      </c>
      <c r="E40" s="150"/>
      <c r="F40" s="150"/>
      <c r="G40" s="153"/>
      <c r="H40" s="170">
        <v>112</v>
      </c>
      <c r="I40" s="159">
        <v>73</v>
      </c>
      <c r="J40" s="56">
        <v>0</v>
      </c>
      <c r="K40" s="12">
        <f t="shared" si="54"/>
        <v>0</v>
      </c>
      <c r="L40" s="10">
        <v>0</v>
      </c>
      <c r="M40" s="10">
        <v>0</v>
      </c>
      <c r="N40" s="33">
        <f t="shared" si="55"/>
        <v>0</v>
      </c>
      <c r="O40" s="33">
        <f t="shared" si="56"/>
        <v>0</v>
      </c>
      <c r="P40" s="56">
        <v>0</v>
      </c>
      <c r="Q40" s="33">
        <f t="shared" si="57"/>
        <v>0</v>
      </c>
      <c r="R40" s="56">
        <v>0</v>
      </c>
      <c r="S40" s="56">
        <v>0</v>
      </c>
      <c r="T40" s="33">
        <f t="shared" si="58"/>
        <v>0</v>
      </c>
      <c r="U40" s="33">
        <f t="shared" si="59"/>
        <v>0</v>
      </c>
      <c r="V40" s="56">
        <v>0</v>
      </c>
      <c r="W40" s="33">
        <f t="shared" si="60"/>
        <v>0</v>
      </c>
      <c r="X40" s="56">
        <v>0</v>
      </c>
      <c r="Y40" s="56">
        <v>0</v>
      </c>
      <c r="Z40" s="33">
        <f t="shared" si="61"/>
        <v>0</v>
      </c>
      <c r="AA40" s="33">
        <f t="shared" si="62"/>
        <v>0</v>
      </c>
      <c r="AB40" s="80">
        <v>112</v>
      </c>
      <c r="AC40" s="117">
        <f t="shared" si="31"/>
        <v>8176</v>
      </c>
      <c r="AD40" s="10">
        <v>0</v>
      </c>
      <c r="AE40" s="10">
        <v>0</v>
      </c>
      <c r="AF40" s="117">
        <f t="shared" si="32"/>
        <v>0</v>
      </c>
      <c r="AG40" s="118">
        <f t="shared" si="33"/>
        <v>0</v>
      </c>
      <c r="AH40" s="80">
        <f t="shared" si="34"/>
        <v>112</v>
      </c>
      <c r="AI40" s="112">
        <f t="shared" si="63"/>
        <v>8176</v>
      </c>
      <c r="AJ40" s="111">
        <v>0</v>
      </c>
      <c r="AK40" s="111">
        <v>0</v>
      </c>
      <c r="AL40" s="112">
        <f t="shared" ca="1" si="64"/>
        <v>0</v>
      </c>
      <c r="AM40" s="112">
        <f t="shared" si="65"/>
        <v>0</v>
      </c>
      <c r="AN40" s="80">
        <f t="shared" si="38"/>
        <v>112</v>
      </c>
      <c r="AO40" s="12">
        <f t="shared" si="39"/>
        <v>8176</v>
      </c>
      <c r="AP40" s="10">
        <v>0</v>
      </c>
      <c r="AQ40" s="10">
        <v>0</v>
      </c>
      <c r="AR40" s="12">
        <f t="shared" si="40"/>
        <v>0</v>
      </c>
      <c r="AS40" s="12">
        <f t="shared" si="41"/>
        <v>0</v>
      </c>
      <c r="AT40" s="13">
        <f t="shared" si="42"/>
        <v>112</v>
      </c>
      <c r="AU40" s="12">
        <f t="shared" si="43"/>
        <v>8176</v>
      </c>
      <c r="AV40" s="10">
        <v>0</v>
      </c>
      <c r="AW40" s="10">
        <v>0</v>
      </c>
      <c r="AX40" s="12">
        <f t="shared" si="44"/>
        <v>0</v>
      </c>
      <c r="AY40" s="12">
        <f t="shared" si="45"/>
        <v>0</v>
      </c>
      <c r="AZ40" s="32">
        <f t="shared" si="46"/>
        <v>112</v>
      </c>
      <c r="BA40" s="12">
        <f t="shared" si="47"/>
        <v>8176</v>
      </c>
      <c r="BB40" s="10">
        <v>0</v>
      </c>
      <c r="BC40" s="10">
        <v>0</v>
      </c>
      <c r="BD40" s="12">
        <f t="shared" si="48"/>
        <v>0</v>
      </c>
      <c r="BE40" s="12">
        <f t="shared" si="49"/>
        <v>0</v>
      </c>
      <c r="BF40" s="31" t="s">
        <v>167</v>
      </c>
      <c r="BG40" s="12">
        <f t="shared" si="83"/>
        <v>8176</v>
      </c>
      <c r="BH40" s="10">
        <v>0</v>
      </c>
      <c r="BI40" s="10">
        <v>0</v>
      </c>
      <c r="BJ40" s="12">
        <f t="shared" si="84"/>
        <v>0</v>
      </c>
      <c r="BK40" s="12">
        <f t="shared" si="85"/>
        <v>0</v>
      </c>
      <c r="BL40" s="31" t="s">
        <v>167</v>
      </c>
      <c r="BM40" s="12">
        <f t="shared" si="86"/>
        <v>8176</v>
      </c>
      <c r="BN40" s="10">
        <v>0</v>
      </c>
      <c r="BO40" s="10">
        <v>0</v>
      </c>
      <c r="BP40" s="12">
        <f t="shared" si="87"/>
        <v>0</v>
      </c>
      <c r="BQ40" s="12">
        <f t="shared" si="88"/>
        <v>0</v>
      </c>
      <c r="BR40" s="31" t="s">
        <v>167</v>
      </c>
      <c r="BS40" s="12">
        <f t="shared" si="89"/>
        <v>8176</v>
      </c>
      <c r="BT40" s="10">
        <v>0</v>
      </c>
      <c r="BU40" s="10">
        <v>0</v>
      </c>
      <c r="BV40" s="12">
        <f t="shared" si="90"/>
        <v>0</v>
      </c>
      <c r="BW40" s="12">
        <f t="shared" si="91"/>
        <v>0</v>
      </c>
      <c r="BX40" s="31" t="s">
        <v>167</v>
      </c>
      <c r="BY40" s="12">
        <f t="shared" si="92"/>
        <v>8176</v>
      </c>
      <c r="BZ40" s="10">
        <v>0</v>
      </c>
      <c r="CA40" s="10">
        <v>0</v>
      </c>
      <c r="CB40" s="12">
        <f t="shared" si="93"/>
        <v>0</v>
      </c>
      <c r="CC40" s="12">
        <f t="shared" si="94"/>
        <v>0</v>
      </c>
      <c r="CD40" s="31" t="s">
        <v>167</v>
      </c>
      <c r="CE40" s="12">
        <f t="shared" si="95"/>
        <v>8176</v>
      </c>
      <c r="CF40" s="5"/>
    </row>
    <row r="41" spans="1:84" ht="80.25" customHeight="1">
      <c r="A41" s="148" t="s">
        <v>168</v>
      </c>
      <c r="B41" s="148" t="s">
        <v>169</v>
      </c>
      <c r="C41" s="151" t="s">
        <v>170</v>
      </c>
      <c r="D41" s="151" t="s">
        <v>171</v>
      </c>
      <c r="E41" s="150"/>
      <c r="F41" s="150"/>
      <c r="G41" s="153"/>
      <c r="H41" s="170">
        <v>1</v>
      </c>
      <c r="I41" s="159">
        <v>1</v>
      </c>
      <c r="J41" s="56">
        <v>0</v>
      </c>
      <c r="K41" s="12">
        <f t="shared" si="54"/>
        <v>0</v>
      </c>
      <c r="L41" s="10">
        <v>0</v>
      </c>
      <c r="M41" s="10">
        <v>0</v>
      </c>
      <c r="N41" s="33">
        <f t="shared" si="55"/>
        <v>0</v>
      </c>
      <c r="O41" s="33">
        <f t="shared" si="56"/>
        <v>0</v>
      </c>
      <c r="P41" s="56">
        <v>0</v>
      </c>
      <c r="Q41" s="33">
        <f t="shared" si="57"/>
        <v>0</v>
      </c>
      <c r="R41" s="56">
        <v>0</v>
      </c>
      <c r="S41" s="56">
        <v>0</v>
      </c>
      <c r="T41" s="33">
        <f t="shared" si="58"/>
        <v>0</v>
      </c>
      <c r="U41" s="33">
        <f t="shared" si="59"/>
        <v>0</v>
      </c>
      <c r="V41" s="56">
        <v>0</v>
      </c>
      <c r="W41" s="33">
        <f t="shared" si="60"/>
        <v>0</v>
      </c>
      <c r="X41" s="56">
        <v>0</v>
      </c>
      <c r="Y41" s="56">
        <v>0</v>
      </c>
      <c r="Z41" s="33">
        <f t="shared" si="61"/>
        <v>0</v>
      </c>
      <c r="AA41" s="33">
        <f t="shared" si="62"/>
        <v>0</v>
      </c>
      <c r="AB41" s="80">
        <v>1</v>
      </c>
      <c r="AC41" s="117">
        <f t="shared" si="31"/>
        <v>1</v>
      </c>
      <c r="AD41" s="10">
        <v>0</v>
      </c>
      <c r="AE41" s="10">
        <v>0</v>
      </c>
      <c r="AF41" s="117">
        <f t="shared" si="32"/>
        <v>0</v>
      </c>
      <c r="AG41" s="118">
        <f t="shared" si="33"/>
        <v>0</v>
      </c>
      <c r="AH41" s="80">
        <f t="shared" si="34"/>
        <v>1</v>
      </c>
      <c r="AI41" s="112">
        <f t="shared" si="63"/>
        <v>1</v>
      </c>
      <c r="AJ41" s="111">
        <v>0</v>
      </c>
      <c r="AK41" s="111">
        <v>0</v>
      </c>
      <c r="AL41" s="112">
        <f t="shared" ref="AL41:AL104" ca="1" si="96">AL41*I41</f>
        <v>0</v>
      </c>
      <c r="AM41" s="112">
        <f t="shared" ref="AM41:AM104" si="97">-AJ41*I41</f>
        <v>0</v>
      </c>
      <c r="AN41" s="80">
        <f t="shared" si="38"/>
        <v>1</v>
      </c>
      <c r="AO41" s="12">
        <f t="shared" si="39"/>
        <v>1</v>
      </c>
      <c r="AP41" s="10">
        <v>0</v>
      </c>
      <c r="AQ41" s="10">
        <v>0</v>
      </c>
      <c r="AR41" s="12">
        <f t="shared" si="40"/>
        <v>0</v>
      </c>
      <c r="AS41" s="12">
        <f t="shared" si="41"/>
        <v>0</v>
      </c>
      <c r="AT41" s="13">
        <f t="shared" si="42"/>
        <v>1</v>
      </c>
      <c r="AU41" s="12">
        <f t="shared" si="43"/>
        <v>1</v>
      </c>
      <c r="AV41" s="10">
        <v>0</v>
      </c>
      <c r="AW41" s="10">
        <v>0</v>
      </c>
      <c r="AX41" s="12">
        <f t="shared" si="44"/>
        <v>0</v>
      </c>
      <c r="AY41" s="12">
        <f t="shared" si="45"/>
        <v>0</v>
      </c>
      <c r="AZ41" s="32">
        <f t="shared" si="46"/>
        <v>1</v>
      </c>
      <c r="BA41" s="12">
        <f t="shared" si="47"/>
        <v>1</v>
      </c>
      <c r="BB41" s="10">
        <v>0</v>
      </c>
      <c r="BC41" s="10">
        <v>0</v>
      </c>
      <c r="BD41" s="12">
        <f t="shared" si="48"/>
        <v>0</v>
      </c>
      <c r="BE41" s="12">
        <f t="shared" si="49"/>
        <v>0</v>
      </c>
      <c r="BF41" s="31" t="s">
        <v>33</v>
      </c>
      <c r="BG41" s="12">
        <f t="shared" si="83"/>
        <v>1</v>
      </c>
      <c r="BH41" s="10">
        <v>0</v>
      </c>
      <c r="BI41" s="10">
        <v>0</v>
      </c>
      <c r="BJ41" s="12">
        <f t="shared" si="84"/>
        <v>0</v>
      </c>
      <c r="BK41" s="12">
        <f t="shared" si="85"/>
        <v>0</v>
      </c>
      <c r="BL41" s="31" t="s">
        <v>33</v>
      </c>
      <c r="BM41" s="12">
        <f t="shared" si="86"/>
        <v>1</v>
      </c>
      <c r="BN41" s="10">
        <v>0</v>
      </c>
      <c r="BO41" s="10">
        <v>0</v>
      </c>
      <c r="BP41" s="12">
        <f t="shared" si="87"/>
        <v>0</v>
      </c>
      <c r="BQ41" s="12">
        <f t="shared" si="88"/>
        <v>0</v>
      </c>
      <c r="BR41" s="31" t="s">
        <v>33</v>
      </c>
      <c r="BS41" s="12">
        <f t="shared" si="89"/>
        <v>1</v>
      </c>
      <c r="BT41" s="10">
        <v>0</v>
      </c>
      <c r="BU41" s="10">
        <v>0</v>
      </c>
      <c r="BV41" s="12">
        <f t="shared" si="90"/>
        <v>0</v>
      </c>
      <c r="BW41" s="12">
        <f t="shared" si="91"/>
        <v>0</v>
      </c>
      <c r="BX41" s="31" t="s">
        <v>33</v>
      </c>
      <c r="BY41" s="12">
        <f t="shared" si="92"/>
        <v>1</v>
      </c>
      <c r="BZ41" s="10">
        <v>0</v>
      </c>
      <c r="CA41" s="10">
        <v>0</v>
      </c>
      <c r="CB41" s="12">
        <f t="shared" si="93"/>
        <v>0</v>
      </c>
      <c r="CC41" s="12">
        <f t="shared" si="94"/>
        <v>0</v>
      </c>
      <c r="CD41" s="31" t="s">
        <v>33</v>
      </c>
      <c r="CE41" s="12">
        <f t="shared" si="95"/>
        <v>1</v>
      </c>
      <c r="CF41" s="5"/>
    </row>
    <row r="42" spans="1:84" ht="80.25" customHeight="1">
      <c r="A42" s="148" t="s">
        <v>172</v>
      </c>
      <c r="B42" s="148" t="s">
        <v>173</v>
      </c>
      <c r="C42" s="151" t="s">
        <v>174</v>
      </c>
      <c r="D42" s="151" t="s">
        <v>41</v>
      </c>
      <c r="E42" s="154"/>
      <c r="F42" s="154"/>
      <c r="G42" s="154"/>
      <c r="H42" s="170">
        <v>9</v>
      </c>
      <c r="I42" s="159">
        <v>1</v>
      </c>
      <c r="J42" s="56">
        <v>0</v>
      </c>
      <c r="K42" s="12">
        <f t="shared" si="54"/>
        <v>0</v>
      </c>
      <c r="L42" s="10">
        <v>0</v>
      </c>
      <c r="M42" s="10">
        <v>0</v>
      </c>
      <c r="N42" s="33">
        <f t="shared" si="55"/>
        <v>0</v>
      </c>
      <c r="O42" s="33">
        <f t="shared" si="56"/>
        <v>0</v>
      </c>
      <c r="P42" s="56">
        <v>0</v>
      </c>
      <c r="Q42" s="33">
        <f t="shared" si="57"/>
        <v>0</v>
      </c>
      <c r="R42" s="56">
        <v>0</v>
      </c>
      <c r="S42" s="56">
        <v>0</v>
      </c>
      <c r="T42" s="33">
        <f t="shared" si="58"/>
        <v>0</v>
      </c>
      <c r="U42" s="33">
        <f t="shared" si="59"/>
        <v>0</v>
      </c>
      <c r="V42" s="56">
        <v>0</v>
      </c>
      <c r="W42" s="33">
        <f t="shared" si="60"/>
        <v>0</v>
      </c>
      <c r="X42" s="56">
        <v>0</v>
      </c>
      <c r="Y42" s="56">
        <v>0</v>
      </c>
      <c r="Z42" s="33">
        <f t="shared" si="61"/>
        <v>0</v>
      </c>
      <c r="AA42" s="33">
        <f t="shared" si="62"/>
        <v>0</v>
      </c>
      <c r="AB42" s="80">
        <v>9</v>
      </c>
      <c r="AC42" s="117">
        <f t="shared" si="31"/>
        <v>9</v>
      </c>
      <c r="AD42" s="10">
        <v>0</v>
      </c>
      <c r="AE42" s="10">
        <v>0</v>
      </c>
      <c r="AF42" s="117">
        <f t="shared" si="32"/>
        <v>0</v>
      </c>
      <c r="AG42" s="118">
        <f t="shared" si="33"/>
        <v>0</v>
      </c>
      <c r="AH42" s="80">
        <f t="shared" si="34"/>
        <v>9</v>
      </c>
      <c r="AI42" s="112">
        <f t="shared" si="63"/>
        <v>9</v>
      </c>
      <c r="AJ42" s="111">
        <v>0</v>
      </c>
      <c r="AK42" s="111">
        <v>0</v>
      </c>
      <c r="AL42" s="112">
        <f t="shared" ca="1" si="96"/>
        <v>0</v>
      </c>
      <c r="AM42" s="112">
        <f t="shared" si="97"/>
        <v>0</v>
      </c>
      <c r="AN42" s="80">
        <f t="shared" si="38"/>
        <v>9</v>
      </c>
      <c r="AO42" s="12">
        <f t="shared" si="39"/>
        <v>9</v>
      </c>
      <c r="AP42" s="10">
        <v>0</v>
      </c>
      <c r="AQ42" s="10">
        <v>0</v>
      </c>
      <c r="AR42" s="12">
        <f t="shared" si="40"/>
        <v>0</v>
      </c>
      <c r="AS42" s="12">
        <f t="shared" si="41"/>
        <v>0</v>
      </c>
      <c r="AT42" s="13">
        <f t="shared" si="42"/>
        <v>9</v>
      </c>
      <c r="AU42" s="12">
        <f t="shared" si="43"/>
        <v>9</v>
      </c>
      <c r="AV42" s="10">
        <v>0</v>
      </c>
      <c r="AW42" s="10">
        <v>0</v>
      </c>
      <c r="AX42" s="12">
        <f t="shared" si="44"/>
        <v>0</v>
      </c>
      <c r="AY42" s="12">
        <f t="shared" si="45"/>
        <v>0</v>
      </c>
      <c r="AZ42" s="32">
        <f t="shared" si="46"/>
        <v>9</v>
      </c>
      <c r="BA42" s="12">
        <f t="shared" si="47"/>
        <v>9</v>
      </c>
      <c r="BB42" s="10">
        <v>0</v>
      </c>
      <c r="BC42" s="10">
        <v>0</v>
      </c>
      <c r="BD42" s="12">
        <f t="shared" si="48"/>
        <v>0</v>
      </c>
      <c r="BE42" s="12">
        <f t="shared" si="49"/>
        <v>0</v>
      </c>
      <c r="BF42" s="31" t="s">
        <v>70</v>
      </c>
      <c r="BG42" s="12">
        <f t="shared" si="83"/>
        <v>9</v>
      </c>
      <c r="BH42" s="10">
        <v>0</v>
      </c>
      <c r="BI42" s="10">
        <v>0</v>
      </c>
      <c r="BJ42" s="12">
        <f t="shared" si="84"/>
        <v>0</v>
      </c>
      <c r="BK42" s="12">
        <f t="shared" si="85"/>
        <v>0</v>
      </c>
      <c r="BL42" s="31" t="s">
        <v>70</v>
      </c>
      <c r="BM42" s="12">
        <f t="shared" si="86"/>
        <v>9</v>
      </c>
      <c r="BN42" s="10">
        <v>0</v>
      </c>
      <c r="BO42" s="10">
        <v>0</v>
      </c>
      <c r="BP42" s="12">
        <f t="shared" si="87"/>
        <v>0</v>
      </c>
      <c r="BQ42" s="12">
        <f t="shared" si="88"/>
        <v>0</v>
      </c>
      <c r="BR42" s="31" t="s">
        <v>70</v>
      </c>
      <c r="BS42" s="12">
        <f t="shared" si="89"/>
        <v>9</v>
      </c>
      <c r="BT42" s="10">
        <v>0</v>
      </c>
      <c r="BU42" s="10">
        <v>0</v>
      </c>
      <c r="BV42" s="12">
        <f t="shared" si="90"/>
        <v>0</v>
      </c>
      <c r="BW42" s="12">
        <f t="shared" si="91"/>
        <v>0</v>
      </c>
      <c r="BX42" s="31" t="s">
        <v>70</v>
      </c>
      <c r="BY42" s="12">
        <f t="shared" si="92"/>
        <v>9</v>
      </c>
      <c r="BZ42" s="10">
        <v>0</v>
      </c>
      <c r="CA42" s="10">
        <v>0</v>
      </c>
      <c r="CB42" s="12">
        <f t="shared" si="93"/>
        <v>0</v>
      </c>
      <c r="CC42" s="12">
        <f t="shared" si="94"/>
        <v>0</v>
      </c>
      <c r="CD42" s="31" t="s">
        <v>70</v>
      </c>
      <c r="CE42" s="12">
        <f t="shared" si="95"/>
        <v>9</v>
      </c>
      <c r="CF42" s="17"/>
    </row>
    <row r="43" spans="1:84" ht="80.25" customHeight="1">
      <c r="A43" s="148" t="s">
        <v>175</v>
      </c>
      <c r="B43" s="148" t="s">
        <v>176</v>
      </c>
      <c r="C43" s="151" t="s">
        <v>177</v>
      </c>
      <c r="D43" s="151" t="s">
        <v>54</v>
      </c>
      <c r="E43" s="154"/>
      <c r="F43" s="154"/>
      <c r="G43" s="154"/>
      <c r="H43" s="170">
        <v>1</v>
      </c>
      <c r="I43" s="159">
        <v>1</v>
      </c>
      <c r="J43" s="56">
        <v>0</v>
      </c>
      <c r="K43" s="12">
        <f t="shared" si="54"/>
        <v>0</v>
      </c>
      <c r="L43" s="10">
        <v>0</v>
      </c>
      <c r="M43" s="10">
        <v>0</v>
      </c>
      <c r="N43" s="33">
        <f t="shared" si="55"/>
        <v>0</v>
      </c>
      <c r="O43" s="33">
        <f t="shared" si="56"/>
        <v>0</v>
      </c>
      <c r="P43" s="56">
        <v>0</v>
      </c>
      <c r="Q43" s="33">
        <f t="shared" si="57"/>
        <v>0</v>
      </c>
      <c r="R43" s="56">
        <v>0</v>
      </c>
      <c r="S43" s="56">
        <v>0</v>
      </c>
      <c r="T43" s="33">
        <f t="shared" si="58"/>
        <v>0</v>
      </c>
      <c r="U43" s="33">
        <f t="shared" si="59"/>
        <v>0</v>
      </c>
      <c r="V43" s="56">
        <v>0</v>
      </c>
      <c r="W43" s="33">
        <f t="shared" si="60"/>
        <v>0</v>
      </c>
      <c r="X43" s="56">
        <v>0</v>
      </c>
      <c r="Y43" s="56">
        <v>0</v>
      </c>
      <c r="Z43" s="33">
        <f t="shared" si="61"/>
        <v>0</v>
      </c>
      <c r="AA43" s="33">
        <f t="shared" si="62"/>
        <v>0</v>
      </c>
      <c r="AB43" s="80">
        <v>1</v>
      </c>
      <c r="AC43" s="117">
        <f t="shared" si="31"/>
        <v>1</v>
      </c>
      <c r="AD43" s="10">
        <v>0</v>
      </c>
      <c r="AE43" s="10">
        <v>0</v>
      </c>
      <c r="AF43" s="117">
        <f t="shared" si="32"/>
        <v>0</v>
      </c>
      <c r="AG43" s="118">
        <f t="shared" si="33"/>
        <v>0</v>
      </c>
      <c r="AH43" s="80">
        <f t="shared" si="34"/>
        <v>1</v>
      </c>
      <c r="AI43" s="112">
        <f t="shared" si="63"/>
        <v>1</v>
      </c>
      <c r="AJ43" s="111">
        <v>0</v>
      </c>
      <c r="AK43" s="111">
        <v>0</v>
      </c>
      <c r="AL43" s="112">
        <f t="shared" ca="1" si="96"/>
        <v>0</v>
      </c>
      <c r="AM43" s="112">
        <f t="shared" si="97"/>
        <v>0</v>
      </c>
      <c r="AN43" s="80">
        <f t="shared" si="38"/>
        <v>1</v>
      </c>
      <c r="AO43" s="12">
        <f t="shared" si="39"/>
        <v>1</v>
      </c>
      <c r="AP43" s="10">
        <v>0</v>
      </c>
      <c r="AQ43" s="10">
        <v>0</v>
      </c>
      <c r="AR43" s="12">
        <f t="shared" si="40"/>
        <v>0</v>
      </c>
      <c r="AS43" s="12">
        <f t="shared" si="41"/>
        <v>0</v>
      </c>
      <c r="AT43" s="13">
        <f t="shared" si="42"/>
        <v>1</v>
      </c>
      <c r="AU43" s="12">
        <f t="shared" si="43"/>
        <v>1</v>
      </c>
      <c r="AV43" s="10">
        <v>0</v>
      </c>
      <c r="AW43" s="10">
        <v>0</v>
      </c>
      <c r="AX43" s="12">
        <f t="shared" si="44"/>
        <v>0</v>
      </c>
      <c r="AY43" s="12">
        <f t="shared" si="45"/>
        <v>0</v>
      </c>
      <c r="AZ43" s="32">
        <f t="shared" si="46"/>
        <v>1</v>
      </c>
      <c r="BA43" s="12">
        <f t="shared" si="47"/>
        <v>1</v>
      </c>
      <c r="BB43" s="10">
        <v>0</v>
      </c>
      <c r="BC43" s="10">
        <v>0</v>
      </c>
      <c r="BD43" s="12">
        <f t="shared" si="48"/>
        <v>0</v>
      </c>
      <c r="BE43" s="12">
        <f t="shared" si="49"/>
        <v>0</v>
      </c>
      <c r="BF43" s="31" t="s">
        <v>33</v>
      </c>
      <c r="BG43" s="12">
        <f t="shared" si="83"/>
        <v>1</v>
      </c>
      <c r="BH43" s="10">
        <v>0</v>
      </c>
      <c r="BI43" s="10">
        <v>0</v>
      </c>
      <c r="BJ43" s="12">
        <f t="shared" si="84"/>
        <v>0</v>
      </c>
      <c r="BK43" s="12">
        <f t="shared" si="85"/>
        <v>0</v>
      </c>
      <c r="BL43" s="31" t="s">
        <v>33</v>
      </c>
      <c r="BM43" s="12">
        <f t="shared" si="86"/>
        <v>1</v>
      </c>
      <c r="BN43" s="10">
        <v>0</v>
      </c>
      <c r="BO43" s="10">
        <v>0</v>
      </c>
      <c r="BP43" s="12">
        <f t="shared" si="87"/>
        <v>0</v>
      </c>
      <c r="BQ43" s="12">
        <f t="shared" si="88"/>
        <v>0</v>
      </c>
      <c r="BR43" s="31" t="s">
        <v>33</v>
      </c>
      <c r="BS43" s="12">
        <f t="shared" si="89"/>
        <v>1</v>
      </c>
      <c r="BT43" s="10">
        <v>0</v>
      </c>
      <c r="BU43" s="10">
        <v>0</v>
      </c>
      <c r="BV43" s="12">
        <f t="shared" si="90"/>
        <v>0</v>
      </c>
      <c r="BW43" s="12">
        <f t="shared" si="91"/>
        <v>0</v>
      </c>
      <c r="BX43" s="31" t="s">
        <v>33</v>
      </c>
      <c r="BY43" s="12">
        <f t="shared" si="92"/>
        <v>1</v>
      </c>
      <c r="BZ43" s="10">
        <v>0</v>
      </c>
      <c r="CA43" s="10">
        <v>0</v>
      </c>
      <c r="CB43" s="12">
        <f t="shared" si="93"/>
        <v>0</v>
      </c>
      <c r="CC43" s="12">
        <f t="shared" si="94"/>
        <v>0</v>
      </c>
      <c r="CD43" s="31" t="s">
        <v>33</v>
      </c>
      <c r="CE43" s="12">
        <f t="shared" si="95"/>
        <v>1</v>
      </c>
      <c r="CF43" s="17"/>
    </row>
    <row r="44" spans="1:84" ht="80.25" customHeight="1">
      <c r="A44" s="148" t="s">
        <v>178</v>
      </c>
      <c r="B44" s="148" t="s">
        <v>179</v>
      </c>
      <c r="C44" s="151" t="s">
        <v>180</v>
      </c>
      <c r="D44" s="151" t="s">
        <v>181</v>
      </c>
      <c r="E44" s="154"/>
      <c r="F44" s="154"/>
      <c r="G44" s="154"/>
      <c r="H44" s="170">
        <v>9</v>
      </c>
      <c r="I44" s="159">
        <v>1</v>
      </c>
      <c r="J44" s="56">
        <v>0</v>
      </c>
      <c r="K44" s="12">
        <f t="shared" si="54"/>
        <v>0</v>
      </c>
      <c r="L44" s="10">
        <v>0</v>
      </c>
      <c r="M44" s="10">
        <v>0</v>
      </c>
      <c r="N44" s="33">
        <f t="shared" si="55"/>
        <v>0</v>
      </c>
      <c r="O44" s="33">
        <f t="shared" si="56"/>
        <v>0</v>
      </c>
      <c r="P44" s="56">
        <v>0</v>
      </c>
      <c r="Q44" s="33">
        <f t="shared" si="57"/>
        <v>0</v>
      </c>
      <c r="R44" s="56">
        <v>0</v>
      </c>
      <c r="S44" s="56">
        <v>0</v>
      </c>
      <c r="T44" s="33">
        <f t="shared" si="58"/>
        <v>0</v>
      </c>
      <c r="U44" s="33">
        <f t="shared" si="59"/>
        <v>0</v>
      </c>
      <c r="V44" s="56">
        <v>0</v>
      </c>
      <c r="W44" s="33">
        <f t="shared" si="60"/>
        <v>0</v>
      </c>
      <c r="X44" s="56">
        <v>0</v>
      </c>
      <c r="Y44" s="56">
        <v>0</v>
      </c>
      <c r="Z44" s="33">
        <f t="shared" si="61"/>
        <v>0</v>
      </c>
      <c r="AA44" s="33">
        <f t="shared" si="62"/>
        <v>0</v>
      </c>
      <c r="AB44" s="80">
        <v>9</v>
      </c>
      <c r="AC44" s="117">
        <f t="shared" si="31"/>
        <v>9</v>
      </c>
      <c r="AD44" s="10">
        <v>0</v>
      </c>
      <c r="AE44" s="10">
        <v>0</v>
      </c>
      <c r="AF44" s="117">
        <f t="shared" si="32"/>
        <v>0</v>
      </c>
      <c r="AG44" s="118">
        <f t="shared" si="33"/>
        <v>0</v>
      </c>
      <c r="AH44" s="80">
        <f t="shared" si="34"/>
        <v>9</v>
      </c>
      <c r="AI44" s="112">
        <f t="shared" si="63"/>
        <v>9</v>
      </c>
      <c r="AJ44" s="111">
        <v>0</v>
      </c>
      <c r="AK44" s="111">
        <v>0</v>
      </c>
      <c r="AL44" s="112">
        <f t="shared" ca="1" si="96"/>
        <v>0</v>
      </c>
      <c r="AM44" s="112">
        <f t="shared" si="97"/>
        <v>0</v>
      </c>
      <c r="AN44" s="80">
        <f t="shared" si="38"/>
        <v>9</v>
      </c>
      <c r="AO44" s="12">
        <f t="shared" si="39"/>
        <v>9</v>
      </c>
      <c r="AP44" s="10">
        <v>0</v>
      </c>
      <c r="AQ44" s="10">
        <v>0</v>
      </c>
      <c r="AR44" s="12">
        <f t="shared" si="40"/>
        <v>0</v>
      </c>
      <c r="AS44" s="12">
        <f t="shared" si="41"/>
        <v>0</v>
      </c>
      <c r="AT44" s="13">
        <f t="shared" si="42"/>
        <v>9</v>
      </c>
      <c r="AU44" s="12">
        <f t="shared" si="43"/>
        <v>9</v>
      </c>
      <c r="AV44" s="10">
        <v>0</v>
      </c>
      <c r="AW44" s="10">
        <v>0</v>
      </c>
      <c r="AX44" s="12">
        <f t="shared" si="44"/>
        <v>0</v>
      </c>
      <c r="AY44" s="12">
        <f t="shared" si="45"/>
        <v>0</v>
      </c>
      <c r="AZ44" s="32">
        <f t="shared" si="46"/>
        <v>9</v>
      </c>
      <c r="BA44" s="12">
        <f t="shared" si="47"/>
        <v>9</v>
      </c>
      <c r="BB44" s="10">
        <v>0</v>
      </c>
      <c r="BC44" s="10">
        <v>0</v>
      </c>
      <c r="BD44" s="12">
        <f t="shared" si="48"/>
        <v>0</v>
      </c>
      <c r="BE44" s="12">
        <f t="shared" si="49"/>
        <v>0</v>
      </c>
      <c r="BF44" s="31" t="s">
        <v>70</v>
      </c>
      <c r="BG44" s="12">
        <f t="shared" si="83"/>
        <v>9</v>
      </c>
      <c r="BH44" s="10">
        <v>0</v>
      </c>
      <c r="BI44" s="10">
        <v>0</v>
      </c>
      <c r="BJ44" s="12">
        <f t="shared" si="84"/>
        <v>0</v>
      </c>
      <c r="BK44" s="12">
        <f t="shared" si="85"/>
        <v>0</v>
      </c>
      <c r="BL44" s="31" t="s">
        <v>70</v>
      </c>
      <c r="BM44" s="12">
        <f t="shared" si="86"/>
        <v>9</v>
      </c>
      <c r="BN44" s="10">
        <v>0</v>
      </c>
      <c r="BO44" s="10">
        <v>0</v>
      </c>
      <c r="BP44" s="12">
        <f t="shared" si="87"/>
        <v>0</v>
      </c>
      <c r="BQ44" s="12">
        <f t="shared" si="88"/>
        <v>0</v>
      </c>
      <c r="BR44" s="31" t="s">
        <v>70</v>
      </c>
      <c r="BS44" s="12">
        <f t="shared" si="89"/>
        <v>9</v>
      </c>
      <c r="BT44" s="10">
        <v>0</v>
      </c>
      <c r="BU44" s="10">
        <v>0</v>
      </c>
      <c r="BV44" s="12">
        <f t="shared" si="90"/>
        <v>0</v>
      </c>
      <c r="BW44" s="12">
        <f t="shared" si="91"/>
        <v>0</v>
      </c>
      <c r="BX44" s="31" t="s">
        <v>70</v>
      </c>
      <c r="BY44" s="12">
        <f t="shared" si="92"/>
        <v>9</v>
      </c>
      <c r="BZ44" s="10">
        <v>0</v>
      </c>
      <c r="CA44" s="10">
        <v>0</v>
      </c>
      <c r="CB44" s="12">
        <f t="shared" si="93"/>
        <v>0</v>
      </c>
      <c r="CC44" s="12">
        <f t="shared" si="94"/>
        <v>0</v>
      </c>
      <c r="CD44" s="31" t="s">
        <v>70</v>
      </c>
      <c r="CE44" s="12">
        <f t="shared" si="95"/>
        <v>9</v>
      </c>
      <c r="CF44" s="17"/>
    </row>
    <row r="45" spans="1:84" ht="80.25" customHeight="1">
      <c r="A45" s="148" t="s">
        <v>182</v>
      </c>
      <c r="B45" s="148" t="s">
        <v>183</v>
      </c>
      <c r="C45" s="151" t="s">
        <v>184</v>
      </c>
      <c r="D45" s="151" t="s">
        <v>58</v>
      </c>
      <c r="E45" s="154"/>
      <c r="F45" s="154"/>
      <c r="G45" s="154"/>
      <c r="H45" s="170">
        <v>168</v>
      </c>
      <c r="I45" s="159">
        <v>1</v>
      </c>
      <c r="J45" s="56">
        <v>0</v>
      </c>
      <c r="K45" s="12">
        <f t="shared" si="54"/>
        <v>0</v>
      </c>
      <c r="L45" s="10">
        <v>0</v>
      </c>
      <c r="M45" s="10">
        <v>0</v>
      </c>
      <c r="N45" s="33">
        <f t="shared" si="55"/>
        <v>0</v>
      </c>
      <c r="O45" s="33">
        <f t="shared" si="56"/>
        <v>0</v>
      </c>
      <c r="P45" s="56">
        <v>0</v>
      </c>
      <c r="Q45" s="33">
        <f t="shared" si="57"/>
        <v>0</v>
      </c>
      <c r="R45" s="56">
        <v>0</v>
      </c>
      <c r="S45" s="56">
        <v>0</v>
      </c>
      <c r="T45" s="33">
        <f t="shared" si="58"/>
        <v>0</v>
      </c>
      <c r="U45" s="33">
        <f t="shared" si="59"/>
        <v>0</v>
      </c>
      <c r="V45" s="56">
        <v>0</v>
      </c>
      <c r="W45" s="33">
        <f t="shared" si="60"/>
        <v>0</v>
      </c>
      <c r="X45" s="56">
        <v>0</v>
      </c>
      <c r="Y45" s="56">
        <v>0</v>
      </c>
      <c r="Z45" s="33">
        <f t="shared" si="61"/>
        <v>0</v>
      </c>
      <c r="AA45" s="33">
        <f t="shared" si="62"/>
        <v>0</v>
      </c>
      <c r="AB45" s="80">
        <v>168</v>
      </c>
      <c r="AC45" s="117">
        <f t="shared" si="31"/>
        <v>168</v>
      </c>
      <c r="AD45" s="10">
        <v>0</v>
      </c>
      <c r="AE45" s="10">
        <v>0</v>
      </c>
      <c r="AF45" s="117">
        <f t="shared" si="32"/>
        <v>0</v>
      </c>
      <c r="AG45" s="118">
        <f t="shared" si="33"/>
        <v>0</v>
      </c>
      <c r="AH45" s="80">
        <f t="shared" si="34"/>
        <v>168</v>
      </c>
      <c r="AI45" s="112">
        <f t="shared" si="63"/>
        <v>168</v>
      </c>
      <c r="AJ45" s="111">
        <v>0</v>
      </c>
      <c r="AK45" s="111">
        <v>0</v>
      </c>
      <c r="AL45" s="112">
        <f t="shared" ca="1" si="96"/>
        <v>0</v>
      </c>
      <c r="AM45" s="112">
        <f t="shared" si="97"/>
        <v>0</v>
      </c>
      <c r="AN45" s="80">
        <f t="shared" si="38"/>
        <v>168</v>
      </c>
      <c r="AO45" s="12">
        <f t="shared" si="39"/>
        <v>168</v>
      </c>
      <c r="AP45" s="10">
        <v>0</v>
      </c>
      <c r="AQ45" s="10">
        <v>0</v>
      </c>
      <c r="AR45" s="12">
        <f t="shared" si="40"/>
        <v>0</v>
      </c>
      <c r="AS45" s="12">
        <f t="shared" si="41"/>
        <v>0</v>
      </c>
      <c r="AT45" s="13">
        <f t="shared" si="42"/>
        <v>168</v>
      </c>
      <c r="AU45" s="12">
        <f t="shared" si="43"/>
        <v>168</v>
      </c>
      <c r="AV45" s="10">
        <v>0</v>
      </c>
      <c r="AW45" s="10">
        <v>0</v>
      </c>
      <c r="AX45" s="12">
        <f t="shared" si="44"/>
        <v>0</v>
      </c>
      <c r="AY45" s="12">
        <f t="shared" si="45"/>
        <v>0</v>
      </c>
      <c r="AZ45" s="32">
        <f t="shared" si="46"/>
        <v>168</v>
      </c>
      <c r="BA45" s="12">
        <f t="shared" si="47"/>
        <v>168</v>
      </c>
      <c r="BB45" s="10">
        <v>0</v>
      </c>
      <c r="BC45" s="10">
        <v>0</v>
      </c>
      <c r="BD45" s="12">
        <f t="shared" si="48"/>
        <v>0</v>
      </c>
      <c r="BE45" s="12">
        <f t="shared" si="49"/>
        <v>0</v>
      </c>
      <c r="BF45" s="31" t="s">
        <v>185</v>
      </c>
      <c r="BG45" s="12">
        <f t="shared" si="83"/>
        <v>168</v>
      </c>
      <c r="BH45" s="10">
        <v>0</v>
      </c>
      <c r="BI45" s="10">
        <v>0</v>
      </c>
      <c r="BJ45" s="12">
        <f t="shared" si="84"/>
        <v>0</v>
      </c>
      <c r="BK45" s="12">
        <f t="shared" si="85"/>
        <v>0</v>
      </c>
      <c r="BL45" s="31" t="s">
        <v>185</v>
      </c>
      <c r="BM45" s="12">
        <f t="shared" si="86"/>
        <v>168</v>
      </c>
      <c r="BN45" s="10">
        <v>0</v>
      </c>
      <c r="BO45" s="10">
        <v>0</v>
      </c>
      <c r="BP45" s="12">
        <f t="shared" si="87"/>
        <v>0</v>
      </c>
      <c r="BQ45" s="12">
        <f t="shared" si="88"/>
        <v>0</v>
      </c>
      <c r="BR45" s="31" t="s">
        <v>185</v>
      </c>
      <c r="BS45" s="12">
        <f t="shared" si="89"/>
        <v>168</v>
      </c>
      <c r="BT45" s="10">
        <v>0</v>
      </c>
      <c r="BU45" s="10">
        <v>0</v>
      </c>
      <c r="BV45" s="12">
        <f t="shared" si="90"/>
        <v>0</v>
      </c>
      <c r="BW45" s="12">
        <f t="shared" si="91"/>
        <v>0</v>
      </c>
      <c r="BX45" s="31" t="s">
        <v>185</v>
      </c>
      <c r="BY45" s="12">
        <f t="shared" si="92"/>
        <v>168</v>
      </c>
      <c r="BZ45" s="10">
        <v>0</v>
      </c>
      <c r="CA45" s="10">
        <v>0</v>
      </c>
      <c r="CB45" s="12">
        <f t="shared" si="93"/>
        <v>0</v>
      </c>
      <c r="CC45" s="12">
        <f t="shared" si="94"/>
        <v>0</v>
      </c>
      <c r="CD45" s="31" t="s">
        <v>185</v>
      </c>
      <c r="CE45" s="12">
        <f t="shared" si="95"/>
        <v>168</v>
      </c>
    </row>
    <row r="46" spans="1:84" ht="80.25" customHeight="1">
      <c r="A46" s="148" t="s">
        <v>186</v>
      </c>
      <c r="B46" s="148" t="s">
        <v>187</v>
      </c>
      <c r="C46" s="151" t="s">
        <v>188</v>
      </c>
      <c r="D46" s="151" t="s">
        <v>171</v>
      </c>
      <c r="E46" s="154"/>
      <c r="F46" s="154"/>
      <c r="G46" s="154"/>
      <c r="H46" s="170">
        <v>218</v>
      </c>
      <c r="I46" s="159">
        <v>1</v>
      </c>
      <c r="J46" s="56">
        <v>0</v>
      </c>
      <c r="K46" s="12">
        <f t="shared" si="54"/>
        <v>0</v>
      </c>
      <c r="L46" s="10">
        <v>0</v>
      </c>
      <c r="M46" s="10">
        <v>0</v>
      </c>
      <c r="N46" s="33">
        <f t="shared" si="55"/>
        <v>0</v>
      </c>
      <c r="O46" s="33">
        <f t="shared" si="56"/>
        <v>0</v>
      </c>
      <c r="P46" s="56">
        <v>0</v>
      </c>
      <c r="Q46" s="33">
        <f t="shared" si="57"/>
        <v>0</v>
      </c>
      <c r="R46" s="56">
        <v>0</v>
      </c>
      <c r="S46" s="56">
        <v>0</v>
      </c>
      <c r="T46" s="33">
        <f t="shared" si="58"/>
        <v>0</v>
      </c>
      <c r="U46" s="33">
        <f t="shared" si="59"/>
        <v>0</v>
      </c>
      <c r="V46" s="56">
        <v>0</v>
      </c>
      <c r="W46" s="33">
        <f t="shared" si="60"/>
        <v>0</v>
      </c>
      <c r="X46" s="56">
        <v>0</v>
      </c>
      <c r="Y46" s="56">
        <v>0</v>
      </c>
      <c r="Z46" s="33">
        <f t="shared" si="61"/>
        <v>0</v>
      </c>
      <c r="AA46" s="33">
        <f t="shared" si="62"/>
        <v>0</v>
      </c>
      <c r="AB46" s="80">
        <v>218</v>
      </c>
      <c r="AC46" s="117">
        <f t="shared" si="31"/>
        <v>218</v>
      </c>
      <c r="AD46" s="10">
        <v>0</v>
      </c>
      <c r="AE46" s="10">
        <v>0</v>
      </c>
      <c r="AF46" s="117">
        <f t="shared" si="32"/>
        <v>0</v>
      </c>
      <c r="AG46" s="118">
        <f t="shared" si="33"/>
        <v>0</v>
      </c>
      <c r="AH46" s="80">
        <f t="shared" si="34"/>
        <v>218</v>
      </c>
      <c r="AI46" s="112">
        <f t="shared" si="63"/>
        <v>218</v>
      </c>
      <c r="AJ46" s="111">
        <v>0</v>
      </c>
      <c r="AK46" s="111">
        <v>0</v>
      </c>
      <c r="AL46" s="112">
        <f t="shared" ca="1" si="96"/>
        <v>0</v>
      </c>
      <c r="AM46" s="112">
        <f t="shared" si="97"/>
        <v>0</v>
      </c>
      <c r="AN46" s="80">
        <f t="shared" si="38"/>
        <v>218</v>
      </c>
      <c r="AO46" s="12">
        <f t="shared" si="39"/>
        <v>218</v>
      </c>
      <c r="AP46" s="10">
        <v>0</v>
      </c>
      <c r="AQ46" s="10">
        <v>0</v>
      </c>
      <c r="AR46" s="12">
        <f t="shared" si="40"/>
        <v>0</v>
      </c>
      <c r="AS46" s="12">
        <f t="shared" si="41"/>
        <v>0</v>
      </c>
      <c r="AT46" s="13">
        <f t="shared" si="42"/>
        <v>218</v>
      </c>
      <c r="AU46" s="12">
        <f t="shared" si="43"/>
        <v>218</v>
      </c>
      <c r="AV46" s="10">
        <v>0</v>
      </c>
      <c r="AW46" s="10">
        <v>0</v>
      </c>
      <c r="AX46" s="12">
        <f t="shared" si="44"/>
        <v>0</v>
      </c>
      <c r="AY46" s="12">
        <f t="shared" si="45"/>
        <v>0</v>
      </c>
      <c r="AZ46" s="32">
        <f t="shared" si="46"/>
        <v>218</v>
      </c>
      <c r="BA46" s="12">
        <f t="shared" si="47"/>
        <v>218</v>
      </c>
      <c r="BB46" s="10">
        <v>0</v>
      </c>
      <c r="BC46" s="10">
        <v>0</v>
      </c>
      <c r="BD46" s="12">
        <f t="shared" si="48"/>
        <v>0</v>
      </c>
      <c r="BE46" s="12">
        <f t="shared" si="49"/>
        <v>0</v>
      </c>
      <c r="BF46" s="31" t="s">
        <v>99</v>
      </c>
      <c r="BG46" s="12">
        <f t="shared" si="83"/>
        <v>218</v>
      </c>
      <c r="BH46" s="10">
        <v>0</v>
      </c>
      <c r="BI46" s="10">
        <v>0</v>
      </c>
      <c r="BJ46" s="12">
        <f t="shared" si="84"/>
        <v>0</v>
      </c>
      <c r="BK46" s="12">
        <f t="shared" si="85"/>
        <v>0</v>
      </c>
      <c r="BL46" s="31" t="s">
        <v>99</v>
      </c>
      <c r="BM46" s="12">
        <f t="shared" si="86"/>
        <v>218</v>
      </c>
      <c r="BN46" s="10">
        <v>0</v>
      </c>
      <c r="BO46" s="10">
        <v>0</v>
      </c>
      <c r="BP46" s="12">
        <f t="shared" si="87"/>
        <v>0</v>
      </c>
      <c r="BQ46" s="12">
        <f t="shared" si="88"/>
        <v>0</v>
      </c>
      <c r="BR46" s="31" t="s">
        <v>99</v>
      </c>
      <c r="BS46" s="12">
        <f t="shared" si="89"/>
        <v>218</v>
      </c>
      <c r="BT46" s="10">
        <v>0</v>
      </c>
      <c r="BU46" s="10">
        <v>0</v>
      </c>
      <c r="BV46" s="12">
        <f t="shared" si="90"/>
        <v>0</v>
      </c>
      <c r="BW46" s="12">
        <f t="shared" si="91"/>
        <v>0</v>
      </c>
      <c r="BX46" s="31" t="s">
        <v>99</v>
      </c>
      <c r="BY46" s="12">
        <f t="shared" si="92"/>
        <v>218</v>
      </c>
      <c r="BZ46" s="10">
        <v>0</v>
      </c>
      <c r="CA46" s="10">
        <v>0</v>
      </c>
      <c r="CB46" s="12">
        <f t="shared" si="93"/>
        <v>0</v>
      </c>
      <c r="CC46" s="12">
        <f t="shared" si="94"/>
        <v>0</v>
      </c>
      <c r="CD46" s="18" t="s">
        <v>189</v>
      </c>
      <c r="CE46" s="12">
        <f t="shared" si="95"/>
        <v>218</v>
      </c>
    </row>
    <row r="47" spans="1:84" ht="80.25" customHeight="1">
      <c r="A47" s="148" t="s">
        <v>190</v>
      </c>
      <c r="B47" s="148" t="s">
        <v>191</v>
      </c>
      <c r="C47" s="151" t="s">
        <v>192</v>
      </c>
      <c r="D47" s="151" t="s">
        <v>54</v>
      </c>
      <c r="E47" s="154"/>
      <c r="F47" s="154"/>
      <c r="G47" s="154"/>
      <c r="H47" s="170">
        <v>2</v>
      </c>
      <c r="I47" s="160">
        <v>13.8</v>
      </c>
      <c r="J47" s="56">
        <v>0</v>
      </c>
      <c r="K47" s="12">
        <f t="shared" si="54"/>
        <v>0</v>
      </c>
      <c r="L47" s="10">
        <v>0</v>
      </c>
      <c r="M47" s="10">
        <v>0</v>
      </c>
      <c r="N47" s="33">
        <f t="shared" si="55"/>
        <v>0</v>
      </c>
      <c r="O47" s="33">
        <f t="shared" si="56"/>
        <v>0</v>
      </c>
      <c r="P47" s="56">
        <v>0</v>
      </c>
      <c r="Q47" s="33">
        <f t="shared" si="57"/>
        <v>0</v>
      </c>
      <c r="R47" s="56">
        <v>0</v>
      </c>
      <c r="S47" s="56">
        <v>0</v>
      </c>
      <c r="T47" s="33">
        <f t="shared" si="58"/>
        <v>0</v>
      </c>
      <c r="U47" s="33">
        <f t="shared" si="59"/>
        <v>0</v>
      </c>
      <c r="V47" s="56">
        <v>0</v>
      </c>
      <c r="W47" s="33">
        <f t="shared" si="60"/>
        <v>0</v>
      </c>
      <c r="X47" s="56">
        <v>0</v>
      </c>
      <c r="Y47" s="56">
        <v>0</v>
      </c>
      <c r="Z47" s="33">
        <f t="shared" si="61"/>
        <v>0</v>
      </c>
      <c r="AA47" s="33">
        <f t="shared" si="62"/>
        <v>0</v>
      </c>
      <c r="AB47" s="80">
        <v>2</v>
      </c>
      <c r="AC47" s="117">
        <f t="shared" si="31"/>
        <v>27.6</v>
      </c>
      <c r="AD47" s="10">
        <v>0</v>
      </c>
      <c r="AE47" s="10">
        <v>0</v>
      </c>
      <c r="AF47" s="117">
        <f t="shared" si="32"/>
        <v>0</v>
      </c>
      <c r="AG47" s="118">
        <f t="shared" si="33"/>
        <v>0</v>
      </c>
      <c r="AH47" s="80">
        <f t="shared" si="34"/>
        <v>2</v>
      </c>
      <c r="AI47" s="112">
        <f t="shared" si="63"/>
        <v>27.6</v>
      </c>
      <c r="AJ47" s="111">
        <v>0</v>
      </c>
      <c r="AK47" s="111">
        <v>0</v>
      </c>
      <c r="AL47" s="112">
        <f t="shared" ca="1" si="96"/>
        <v>0</v>
      </c>
      <c r="AM47" s="112">
        <f t="shared" si="97"/>
        <v>0</v>
      </c>
      <c r="AN47" s="80">
        <f t="shared" si="38"/>
        <v>2</v>
      </c>
      <c r="AO47" s="12">
        <f t="shared" si="39"/>
        <v>27.6</v>
      </c>
      <c r="AP47" s="10">
        <v>0</v>
      </c>
      <c r="AQ47" s="10">
        <v>0</v>
      </c>
      <c r="AR47" s="12">
        <f t="shared" si="40"/>
        <v>0</v>
      </c>
      <c r="AS47" s="12">
        <f t="shared" si="41"/>
        <v>0</v>
      </c>
      <c r="AT47" s="13">
        <f t="shared" si="42"/>
        <v>2</v>
      </c>
      <c r="AU47" s="12">
        <f t="shared" si="43"/>
        <v>27.6</v>
      </c>
      <c r="AV47" s="10">
        <v>0</v>
      </c>
      <c r="AW47" s="10">
        <v>0</v>
      </c>
      <c r="AX47" s="12">
        <f t="shared" si="44"/>
        <v>0</v>
      </c>
      <c r="AY47" s="12">
        <f t="shared" si="45"/>
        <v>0</v>
      </c>
      <c r="AZ47" s="32">
        <f t="shared" si="46"/>
        <v>2</v>
      </c>
      <c r="BA47" s="12">
        <f t="shared" si="47"/>
        <v>27.6</v>
      </c>
      <c r="BB47" s="10">
        <v>0</v>
      </c>
      <c r="BC47" s="10">
        <v>0</v>
      </c>
      <c r="BD47" s="12">
        <f t="shared" si="48"/>
        <v>0</v>
      </c>
      <c r="BE47" s="12">
        <f t="shared" si="49"/>
        <v>0</v>
      </c>
      <c r="BF47" s="31" t="s">
        <v>38</v>
      </c>
      <c r="BG47" s="12">
        <f t="shared" si="83"/>
        <v>27.6</v>
      </c>
      <c r="BH47" s="10">
        <v>0</v>
      </c>
      <c r="BI47" s="10">
        <v>0</v>
      </c>
      <c r="BJ47" s="12">
        <f t="shared" si="84"/>
        <v>0</v>
      </c>
      <c r="BK47" s="12">
        <f t="shared" si="85"/>
        <v>0</v>
      </c>
      <c r="BL47" s="31" t="s">
        <v>38</v>
      </c>
      <c r="BM47" s="12">
        <f t="shared" si="86"/>
        <v>27.6</v>
      </c>
      <c r="BN47" s="10">
        <v>0</v>
      </c>
      <c r="BO47" s="10">
        <v>0</v>
      </c>
      <c r="BP47" s="12">
        <f t="shared" si="87"/>
        <v>0</v>
      </c>
      <c r="BQ47" s="12">
        <f t="shared" si="88"/>
        <v>0</v>
      </c>
      <c r="BR47" s="31" t="s">
        <v>38</v>
      </c>
      <c r="BS47" s="12">
        <f t="shared" si="89"/>
        <v>27.6</v>
      </c>
      <c r="BT47" s="10">
        <v>0</v>
      </c>
      <c r="BU47" s="10">
        <v>0</v>
      </c>
      <c r="BV47" s="12">
        <f t="shared" si="90"/>
        <v>0</v>
      </c>
      <c r="BW47" s="12">
        <f t="shared" si="91"/>
        <v>0</v>
      </c>
      <c r="BX47" s="31" t="s">
        <v>38</v>
      </c>
      <c r="BY47" s="12">
        <f t="shared" si="92"/>
        <v>27.6</v>
      </c>
      <c r="BZ47" s="10">
        <v>0</v>
      </c>
      <c r="CA47" s="10">
        <v>0</v>
      </c>
      <c r="CB47" s="12">
        <f t="shared" si="93"/>
        <v>0</v>
      </c>
      <c r="CC47" s="12">
        <f t="shared" si="94"/>
        <v>0</v>
      </c>
      <c r="CD47" s="31" t="s">
        <v>38</v>
      </c>
      <c r="CE47" s="12">
        <f t="shared" si="95"/>
        <v>27.6</v>
      </c>
    </row>
    <row r="48" spans="1:84" ht="80.25" customHeight="1">
      <c r="A48" s="148" t="s">
        <v>193</v>
      </c>
      <c r="B48" s="148" t="s">
        <v>194</v>
      </c>
      <c r="C48" s="151" t="s">
        <v>195</v>
      </c>
      <c r="D48" s="151" t="s">
        <v>88</v>
      </c>
      <c r="E48" s="154"/>
      <c r="F48" s="154"/>
      <c r="G48" s="154"/>
      <c r="H48" s="170">
        <v>98</v>
      </c>
      <c r="I48" s="159">
        <v>43.8</v>
      </c>
      <c r="J48" s="56">
        <v>0</v>
      </c>
      <c r="K48" s="12">
        <f t="shared" si="54"/>
        <v>0</v>
      </c>
      <c r="L48" s="10">
        <v>0</v>
      </c>
      <c r="M48" s="10">
        <v>0</v>
      </c>
      <c r="N48" s="33">
        <f t="shared" si="55"/>
        <v>0</v>
      </c>
      <c r="O48" s="33">
        <f t="shared" si="56"/>
        <v>0</v>
      </c>
      <c r="P48" s="56">
        <v>0</v>
      </c>
      <c r="Q48" s="33">
        <f t="shared" si="57"/>
        <v>0</v>
      </c>
      <c r="R48" s="56">
        <v>0</v>
      </c>
      <c r="S48" s="56">
        <v>0</v>
      </c>
      <c r="T48" s="33">
        <f t="shared" si="58"/>
        <v>0</v>
      </c>
      <c r="U48" s="33">
        <f t="shared" si="59"/>
        <v>0</v>
      </c>
      <c r="V48" s="56">
        <v>0</v>
      </c>
      <c r="W48" s="33">
        <f t="shared" si="60"/>
        <v>0</v>
      </c>
      <c r="X48" s="56">
        <v>0</v>
      </c>
      <c r="Y48" s="56">
        <v>0</v>
      </c>
      <c r="Z48" s="33">
        <f t="shared" si="61"/>
        <v>0</v>
      </c>
      <c r="AA48" s="33">
        <f t="shared" si="62"/>
        <v>0</v>
      </c>
      <c r="AB48" s="80">
        <v>98</v>
      </c>
      <c r="AC48" s="117">
        <f t="shared" si="31"/>
        <v>4292.3999999999996</v>
      </c>
      <c r="AD48" s="10">
        <v>0</v>
      </c>
      <c r="AE48" s="10">
        <v>0</v>
      </c>
      <c r="AF48" s="117">
        <f t="shared" si="32"/>
        <v>0</v>
      </c>
      <c r="AG48" s="118">
        <f t="shared" si="33"/>
        <v>0</v>
      </c>
      <c r="AH48" s="80">
        <f t="shared" si="34"/>
        <v>98</v>
      </c>
      <c r="AI48" s="112">
        <f t="shared" si="63"/>
        <v>4292.3999999999996</v>
      </c>
      <c r="AJ48" s="111">
        <v>0</v>
      </c>
      <c r="AK48" s="111">
        <v>0</v>
      </c>
      <c r="AL48" s="112">
        <f t="shared" ca="1" si="96"/>
        <v>0</v>
      </c>
      <c r="AM48" s="112">
        <f t="shared" si="97"/>
        <v>0</v>
      </c>
      <c r="AN48" s="80">
        <f t="shared" si="38"/>
        <v>98</v>
      </c>
      <c r="AO48" s="12">
        <f t="shared" si="39"/>
        <v>4292.3999999999996</v>
      </c>
      <c r="AP48" s="10">
        <v>0</v>
      </c>
      <c r="AQ48" s="10">
        <v>0</v>
      </c>
      <c r="AR48" s="12">
        <f t="shared" si="40"/>
        <v>0</v>
      </c>
      <c r="AS48" s="12">
        <f t="shared" si="41"/>
        <v>0</v>
      </c>
      <c r="AT48" s="13">
        <f t="shared" si="42"/>
        <v>98</v>
      </c>
      <c r="AU48" s="12">
        <f t="shared" si="43"/>
        <v>4292.3999999999996</v>
      </c>
      <c r="AV48" s="10">
        <v>0</v>
      </c>
      <c r="AW48" s="10">
        <v>0</v>
      </c>
      <c r="AX48" s="12">
        <f t="shared" si="44"/>
        <v>0</v>
      </c>
      <c r="AY48" s="12">
        <f t="shared" si="45"/>
        <v>0</v>
      </c>
      <c r="AZ48" s="32">
        <f t="shared" si="46"/>
        <v>98</v>
      </c>
      <c r="BA48" s="12">
        <f t="shared" si="47"/>
        <v>4292.3999999999996</v>
      </c>
      <c r="BB48" s="10">
        <v>0</v>
      </c>
      <c r="BC48" s="10">
        <v>0</v>
      </c>
      <c r="BD48" s="12">
        <f t="shared" si="48"/>
        <v>0</v>
      </c>
      <c r="BE48" s="12">
        <f t="shared" si="49"/>
        <v>0</v>
      </c>
      <c r="BF48" s="31" t="s">
        <v>196</v>
      </c>
      <c r="BG48" s="12">
        <f t="shared" si="83"/>
        <v>4292.3999999999996</v>
      </c>
      <c r="BH48" s="10">
        <v>0</v>
      </c>
      <c r="BI48" s="10">
        <v>0</v>
      </c>
      <c r="BJ48" s="12">
        <f t="shared" si="84"/>
        <v>0</v>
      </c>
      <c r="BK48" s="12">
        <f t="shared" si="85"/>
        <v>0</v>
      </c>
      <c r="BL48" s="31" t="s">
        <v>196</v>
      </c>
      <c r="BM48" s="12">
        <f t="shared" si="86"/>
        <v>4292.3999999999996</v>
      </c>
      <c r="BN48" s="10">
        <v>0</v>
      </c>
      <c r="BO48" s="10">
        <v>0</v>
      </c>
      <c r="BP48" s="12">
        <f t="shared" si="87"/>
        <v>0</v>
      </c>
      <c r="BQ48" s="12">
        <f t="shared" si="88"/>
        <v>0</v>
      </c>
      <c r="BR48" s="31" t="s">
        <v>196</v>
      </c>
      <c r="BS48" s="12">
        <f t="shared" si="89"/>
        <v>4292.3999999999996</v>
      </c>
      <c r="BT48" s="10">
        <v>0</v>
      </c>
      <c r="BU48" s="10">
        <v>0</v>
      </c>
      <c r="BV48" s="12">
        <f t="shared" si="90"/>
        <v>0</v>
      </c>
      <c r="BW48" s="12">
        <f t="shared" si="91"/>
        <v>0</v>
      </c>
      <c r="BX48" s="31" t="s">
        <v>196</v>
      </c>
      <c r="BY48" s="12">
        <f t="shared" si="92"/>
        <v>4292.3999999999996</v>
      </c>
      <c r="BZ48" s="10">
        <v>0</v>
      </c>
      <c r="CA48" s="10">
        <v>0</v>
      </c>
      <c r="CB48" s="12">
        <f t="shared" si="93"/>
        <v>0</v>
      </c>
      <c r="CC48" s="12">
        <f t="shared" si="94"/>
        <v>0</v>
      </c>
      <c r="CD48" s="31" t="s">
        <v>196</v>
      </c>
      <c r="CE48" s="12">
        <f t="shared" si="95"/>
        <v>4292.3999999999996</v>
      </c>
    </row>
    <row r="49" spans="1:83" ht="80.25" customHeight="1">
      <c r="A49" s="148" t="s">
        <v>197</v>
      </c>
      <c r="B49" s="148" t="s">
        <v>198</v>
      </c>
      <c r="C49" s="151" t="s">
        <v>199</v>
      </c>
      <c r="D49" s="151" t="s">
        <v>88</v>
      </c>
      <c r="E49" s="154"/>
      <c r="F49" s="154"/>
      <c r="G49" s="154"/>
      <c r="H49" s="170">
        <v>280</v>
      </c>
      <c r="I49" s="159">
        <v>18.8</v>
      </c>
      <c r="J49" s="56">
        <v>0</v>
      </c>
      <c r="K49" s="12">
        <f t="shared" si="54"/>
        <v>0</v>
      </c>
      <c r="L49" s="10">
        <v>0</v>
      </c>
      <c r="M49" s="10">
        <v>0</v>
      </c>
      <c r="N49" s="33">
        <f t="shared" si="55"/>
        <v>0</v>
      </c>
      <c r="O49" s="33">
        <f t="shared" si="56"/>
        <v>0</v>
      </c>
      <c r="P49" s="56">
        <v>0</v>
      </c>
      <c r="Q49" s="33">
        <f t="shared" si="57"/>
        <v>0</v>
      </c>
      <c r="R49" s="56">
        <v>0</v>
      </c>
      <c r="S49" s="56">
        <v>0</v>
      </c>
      <c r="T49" s="33">
        <f t="shared" si="58"/>
        <v>0</v>
      </c>
      <c r="U49" s="33">
        <f t="shared" si="59"/>
        <v>0</v>
      </c>
      <c r="V49" s="56">
        <v>0</v>
      </c>
      <c r="W49" s="33">
        <f t="shared" si="60"/>
        <v>0</v>
      </c>
      <c r="X49" s="56">
        <v>0</v>
      </c>
      <c r="Y49" s="56">
        <v>0</v>
      </c>
      <c r="Z49" s="33">
        <f t="shared" si="61"/>
        <v>0</v>
      </c>
      <c r="AA49" s="33">
        <f t="shared" si="62"/>
        <v>0</v>
      </c>
      <c r="AB49" s="80">
        <v>280</v>
      </c>
      <c r="AC49" s="117">
        <f t="shared" si="31"/>
        <v>5264</v>
      </c>
      <c r="AD49" s="10">
        <v>0</v>
      </c>
      <c r="AE49" s="10">
        <v>0</v>
      </c>
      <c r="AF49" s="117">
        <f t="shared" si="32"/>
        <v>0</v>
      </c>
      <c r="AG49" s="118">
        <f t="shared" si="33"/>
        <v>0</v>
      </c>
      <c r="AH49" s="80">
        <f t="shared" si="34"/>
        <v>280</v>
      </c>
      <c r="AI49" s="112">
        <f t="shared" si="63"/>
        <v>5264</v>
      </c>
      <c r="AJ49" s="111">
        <v>0</v>
      </c>
      <c r="AK49" s="111">
        <v>0</v>
      </c>
      <c r="AL49" s="112">
        <f t="shared" ca="1" si="96"/>
        <v>0</v>
      </c>
      <c r="AM49" s="112">
        <f t="shared" si="97"/>
        <v>0</v>
      </c>
      <c r="AN49" s="80">
        <f t="shared" si="38"/>
        <v>280</v>
      </c>
      <c r="AO49" s="12">
        <f t="shared" si="39"/>
        <v>5264</v>
      </c>
      <c r="AP49" s="10">
        <v>0</v>
      </c>
      <c r="AQ49" s="10">
        <v>0</v>
      </c>
      <c r="AR49" s="12">
        <f t="shared" si="40"/>
        <v>0</v>
      </c>
      <c r="AS49" s="12">
        <f t="shared" si="41"/>
        <v>0</v>
      </c>
      <c r="AT49" s="13">
        <f t="shared" si="42"/>
        <v>280</v>
      </c>
      <c r="AU49" s="12">
        <f t="shared" si="43"/>
        <v>5264</v>
      </c>
      <c r="AV49" s="10">
        <v>0</v>
      </c>
      <c r="AW49" s="10">
        <v>0</v>
      </c>
      <c r="AX49" s="12">
        <f t="shared" si="44"/>
        <v>0</v>
      </c>
      <c r="AY49" s="12">
        <f t="shared" si="45"/>
        <v>0</v>
      </c>
      <c r="AZ49" s="32">
        <f t="shared" si="46"/>
        <v>280</v>
      </c>
      <c r="BA49" s="12">
        <f t="shared" si="47"/>
        <v>5264</v>
      </c>
      <c r="BB49" s="10">
        <v>0</v>
      </c>
      <c r="BC49" s="10">
        <v>0</v>
      </c>
      <c r="BD49" s="12">
        <f t="shared" si="48"/>
        <v>0</v>
      </c>
      <c r="BE49" s="12">
        <f t="shared" si="49"/>
        <v>0</v>
      </c>
      <c r="BF49" s="31" t="s">
        <v>200</v>
      </c>
      <c r="BG49" s="12">
        <f t="shared" si="83"/>
        <v>5264</v>
      </c>
      <c r="BH49" s="10">
        <v>0</v>
      </c>
      <c r="BI49" s="10">
        <v>0</v>
      </c>
      <c r="BJ49" s="12">
        <f t="shared" si="84"/>
        <v>0</v>
      </c>
      <c r="BK49" s="12">
        <f t="shared" si="85"/>
        <v>0</v>
      </c>
      <c r="BL49" s="31" t="s">
        <v>200</v>
      </c>
      <c r="BM49" s="12">
        <f t="shared" si="86"/>
        <v>5264</v>
      </c>
      <c r="BN49" s="10">
        <v>0</v>
      </c>
      <c r="BO49" s="10">
        <v>0</v>
      </c>
      <c r="BP49" s="12">
        <f t="shared" si="87"/>
        <v>0</v>
      </c>
      <c r="BQ49" s="12">
        <f t="shared" si="88"/>
        <v>0</v>
      </c>
      <c r="BR49" s="31" t="s">
        <v>200</v>
      </c>
      <c r="BS49" s="12">
        <f t="shared" si="89"/>
        <v>5264</v>
      </c>
      <c r="BT49" s="10">
        <v>0</v>
      </c>
      <c r="BU49" s="10">
        <v>0</v>
      </c>
      <c r="BV49" s="12">
        <f t="shared" si="90"/>
        <v>0</v>
      </c>
      <c r="BW49" s="12">
        <f t="shared" si="91"/>
        <v>0</v>
      </c>
      <c r="BX49" s="31" t="s">
        <v>200</v>
      </c>
      <c r="BY49" s="12">
        <f t="shared" si="92"/>
        <v>5264</v>
      </c>
      <c r="BZ49" s="10">
        <v>0</v>
      </c>
      <c r="CA49" s="10">
        <v>0</v>
      </c>
      <c r="CB49" s="12">
        <f t="shared" si="93"/>
        <v>0</v>
      </c>
      <c r="CC49" s="12">
        <f t="shared" si="94"/>
        <v>0</v>
      </c>
      <c r="CD49" s="31" t="s">
        <v>200</v>
      </c>
      <c r="CE49" s="12">
        <f t="shared" si="95"/>
        <v>5264</v>
      </c>
    </row>
    <row r="50" spans="1:83" ht="80.25" customHeight="1">
      <c r="A50" s="148" t="s">
        <v>201</v>
      </c>
      <c r="B50" s="148" t="s">
        <v>202</v>
      </c>
      <c r="C50" s="151" t="s">
        <v>203</v>
      </c>
      <c r="D50" s="151" t="s">
        <v>88</v>
      </c>
      <c r="E50" s="154"/>
      <c r="F50" s="154"/>
      <c r="G50" s="154"/>
      <c r="H50" s="170">
        <v>150</v>
      </c>
      <c r="I50" s="159">
        <v>99.8</v>
      </c>
      <c r="J50" s="56">
        <v>0</v>
      </c>
      <c r="K50" s="12">
        <f t="shared" si="54"/>
        <v>0</v>
      </c>
      <c r="L50" s="10">
        <v>0</v>
      </c>
      <c r="M50" s="10">
        <v>0</v>
      </c>
      <c r="N50" s="33">
        <f t="shared" si="55"/>
        <v>0</v>
      </c>
      <c r="O50" s="33">
        <f t="shared" si="56"/>
        <v>0</v>
      </c>
      <c r="P50" s="56">
        <v>0</v>
      </c>
      <c r="Q50" s="33">
        <f t="shared" si="57"/>
        <v>0</v>
      </c>
      <c r="R50" s="56">
        <v>0</v>
      </c>
      <c r="S50" s="56">
        <v>0</v>
      </c>
      <c r="T50" s="33">
        <f t="shared" si="58"/>
        <v>0</v>
      </c>
      <c r="U50" s="33">
        <f t="shared" si="59"/>
        <v>0</v>
      </c>
      <c r="V50" s="56">
        <v>0</v>
      </c>
      <c r="W50" s="33">
        <f t="shared" si="60"/>
        <v>0</v>
      </c>
      <c r="X50" s="56">
        <v>0</v>
      </c>
      <c r="Y50" s="56">
        <v>0</v>
      </c>
      <c r="Z50" s="33">
        <f t="shared" si="61"/>
        <v>0</v>
      </c>
      <c r="AA50" s="33">
        <f t="shared" si="62"/>
        <v>0</v>
      </c>
      <c r="AB50" s="80">
        <v>150</v>
      </c>
      <c r="AC50" s="117">
        <f t="shared" si="31"/>
        <v>14970</v>
      </c>
      <c r="AD50" s="10">
        <v>0</v>
      </c>
      <c r="AE50" s="10">
        <v>0</v>
      </c>
      <c r="AF50" s="117">
        <f t="shared" si="32"/>
        <v>0</v>
      </c>
      <c r="AG50" s="118">
        <f t="shared" si="33"/>
        <v>0</v>
      </c>
      <c r="AH50" s="80">
        <f t="shared" si="34"/>
        <v>150</v>
      </c>
      <c r="AI50" s="112">
        <f t="shared" si="63"/>
        <v>14970</v>
      </c>
      <c r="AJ50" s="111">
        <v>0</v>
      </c>
      <c r="AK50" s="111">
        <v>0</v>
      </c>
      <c r="AL50" s="112">
        <f t="shared" ca="1" si="96"/>
        <v>0</v>
      </c>
      <c r="AM50" s="112">
        <f t="shared" si="97"/>
        <v>0</v>
      </c>
      <c r="AN50" s="80">
        <f t="shared" si="38"/>
        <v>150</v>
      </c>
      <c r="AO50" s="12">
        <f t="shared" si="39"/>
        <v>14970</v>
      </c>
      <c r="AP50" s="10">
        <v>0</v>
      </c>
      <c r="AQ50" s="10">
        <v>0</v>
      </c>
      <c r="AR50" s="12">
        <f t="shared" si="40"/>
        <v>0</v>
      </c>
      <c r="AS50" s="12">
        <f t="shared" si="41"/>
        <v>0</v>
      </c>
      <c r="AT50" s="13">
        <f t="shared" si="42"/>
        <v>150</v>
      </c>
      <c r="AU50" s="12">
        <f t="shared" si="43"/>
        <v>14970</v>
      </c>
      <c r="AV50" s="10">
        <v>0</v>
      </c>
      <c r="AW50" s="10">
        <v>0</v>
      </c>
      <c r="AX50" s="12">
        <f t="shared" si="44"/>
        <v>0</v>
      </c>
      <c r="AY50" s="12">
        <f t="shared" si="45"/>
        <v>0</v>
      </c>
      <c r="AZ50" s="32">
        <f t="shared" si="46"/>
        <v>150</v>
      </c>
      <c r="BA50" s="12">
        <f t="shared" si="47"/>
        <v>14970</v>
      </c>
      <c r="BB50" s="10">
        <v>0</v>
      </c>
      <c r="BC50" s="10">
        <v>0</v>
      </c>
      <c r="BD50" s="12">
        <f t="shared" si="48"/>
        <v>0</v>
      </c>
      <c r="BE50" s="12">
        <f t="shared" si="49"/>
        <v>0</v>
      </c>
      <c r="BF50" s="31" t="s">
        <v>204</v>
      </c>
      <c r="BG50" s="12">
        <f t="shared" si="83"/>
        <v>14970</v>
      </c>
      <c r="BH50" s="10">
        <v>0</v>
      </c>
      <c r="BI50" s="10">
        <v>0</v>
      </c>
      <c r="BJ50" s="12">
        <f t="shared" si="84"/>
        <v>0</v>
      </c>
      <c r="BK50" s="12">
        <f t="shared" si="85"/>
        <v>0</v>
      </c>
      <c r="BL50" s="31" t="s">
        <v>204</v>
      </c>
      <c r="BM50" s="12">
        <f t="shared" si="86"/>
        <v>14970</v>
      </c>
      <c r="BN50" s="10">
        <v>0</v>
      </c>
      <c r="BO50" s="10">
        <v>0</v>
      </c>
      <c r="BP50" s="12">
        <f t="shared" si="87"/>
        <v>0</v>
      </c>
      <c r="BQ50" s="12">
        <f t="shared" si="88"/>
        <v>0</v>
      </c>
      <c r="BR50" s="31" t="s">
        <v>204</v>
      </c>
      <c r="BS50" s="12">
        <f t="shared" si="89"/>
        <v>14970</v>
      </c>
      <c r="BT50" s="10">
        <v>0</v>
      </c>
      <c r="BU50" s="10">
        <v>0</v>
      </c>
      <c r="BV50" s="12">
        <f t="shared" si="90"/>
        <v>0</v>
      </c>
      <c r="BW50" s="12">
        <f t="shared" si="91"/>
        <v>0</v>
      </c>
      <c r="BX50" s="31" t="s">
        <v>204</v>
      </c>
      <c r="BY50" s="12">
        <f t="shared" si="92"/>
        <v>14970</v>
      </c>
      <c r="BZ50" s="10">
        <v>0</v>
      </c>
      <c r="CA50" s="10">
        <v>0</v>
      </c>
      <c r="CB50" s="12">
        <f t="shared" si="93"/>
        <v>0</v>
      </c>
      <c r="CC50" s="12">
        <f t="shared" si="94"/>
        <v>0</v>
      </c>
      <c r="CD50" s="31" t="s">
        <v>204</v>
      </c>
      <c r="CE50" s="12">
        <f t="shared" si="95"/>
        <v>14970</v>
      </c>
    </row>
    <row r="51" spans="1:83" ht="80.25" customHeight="1">
      <c r="A51" s="148" t="s">
        <v>205</v>
      </c>
      <c r="B51" s="148" t="s">
        <v>206</v>
      </c>
      <c r="C51" s="151" t="s">
        <v>207</v>
      </c>
      <c r="D51" s="151" t="s">
        <v>78</v>
      </c>
      <c r="E51" s="154"/>
      <c r="F51" s="154"/>
      <c r="G51" s="154"/>
      <c r="H51" s="170">
        <v>86</v>
      </c>
      <c r="I51" s="159">
        <v>54</v>
      </c>
      <c r="J51" s="56">
        <v>0</v>
      </c>
      <c r="K51" s="12">
        <f t="shared" si="54"/>
        <v>0</v>
      </c>
      <c r="L51" s="10">
        <v>0</v>
      </c>
      <c r="M51" s="10">
        <v>0</v>
      </c>
      <c r="N51" s="33">
        <f t="shared" si="55"/>
        <v>0</v>
      </c>
      <c r="O51" s="33">
        <f t="shared" si="56"/>
        <v>0</v>
      </c>
      <c r="P51" s="56">
        <v>0</v>
      </c>
      <c r="Q51" s="33">
        <f t="shared" si="57"/>
        <v>0</v>
      </c>
      <c r="R51" s="56">
        <v>0</v>
      </c>
      <c r="S51" s="56">
        <v>0</v>
      </c>
      <c r="T51" s="33">
        <f t="shared" si="58"/>
        <v>0</v>
      </c>
      <c r="U51" s="33">
        <f t="shared" si="59"/>
        <v>0</v>
      </c>
      <c r="V51" s="56">
        <v>0</v>
      </c>
      <c r="W51" s="33">
        <f t="shared" si="60"/>
        <v>0</v>
      </c>
      <c r="X51" s="56">
        <v>0</v>
      </c>
      <c r="Y51" s="56">
        <v>0</v>
      </c>
      <c r="Z51" s="33">
        <f t="shared" si="61"/>
        <v>0</v>
      </c>
      <c r="AA51" s="33">
        <f t="shared" si="62"/>
        <v>0</v>
      </c>
      <c r="AB51" s="80">
        <v>86</v>
      </c>
      <c r="AC51" s="117">
        <f t="shared" si="31"/>
        <v>4644</v>
      </c>
      <c r="AD51" s="10">
        <v>0</v>
      </c>
      <c r="AE51" s="10">
        <v>0</v>
      </c>
      <c r="AF51" s="117">
        <f t="shared" si="32"/>
        <v>0</v>
      </c>
      <c r="AG51" s="118">
        <f t="shared" si="33"/>
        <v>0</v>
      </c>
      <c r="AH51" s="80">
        <f t="shared" si="34"/>
        <v>86</v>
      </c>
      <c r="AI51" s="112">
        <f t="shared" si="63"/>
        <v>4644</v>
      </c>
      <c r="AJ51" s="111">
        <v>0</v>
      </c>
      <c r="AK51" s="111">
        <v>0</v>
      </c>
      <c r="AL51" s="112">
        <f t="shared" ca="1" si="96"/>
        <v>0</v>
      </c>
      <c r="AM51" s="112">
        <f t="shared" si="97"/>
        <v>0</v>
      </c>
      <c r="AN51" s="80">
        <f t="shared" si="38"/>
        <v>86</v>
      </c>
      <c r="AO51" s="12">
        <f t="shared" si="39"/>
        <v>4644</v>
      </c>
      <c r="AP51" s="10">
        <v>0</v>
      </c>
      <c r="AQ51" s="10">
        <v>0</v>
      </c>
      <c r="AR51" s="12">
        <f t="shared" si="40"/>
        <v>0</v>
      </c>
      <c r="AS51" s="12">
        <f t="shared" si="41"/>
        <v>0</v>
      </c>
      <c r="AT51" s="13">
        <f t="shared" si="42"/>
        <v>86</v>
      </c>
      <c r="AU51" s="12">
        <f t="shared" si="43"/>
        <v>4644</v>
      </c>
      <c r="AV51" s="10">
        <v>0</v>
      </c>
      <c r="AW51" s="10">
        <v>0</v>
      </c>
      <c r="AX51" s="12">
        <f t="shared" si="44"/>
        <v>0</v>
      </c>
      <c r="AY51" s="12">
        <f t="shared" si="45"/>
        <v>0</v>
      </c>
      <c r="AZ51" s="32">
        <f t="shared" si="46"/>
        <v>86</v>
      </c>
      <c r="BA51" s="12">
        <f t="shared" si="47"/>
        <v>4644</v>
      </c>
      <c r="BB51" s="10">
        <v>0</v>
      </c>
      <c r="BC51" s="10">
        <v>0</v>
      </c>
      <c r="BD51" s="12">
        <f t="shared" si="48"/>
        <v>0</v>
      </c>
      <c r="BE51" s="12">
        <f t="shared" si="49"/>
        <v>0</v>
      </c>
      <c r="BF51" s="31" t="s">
        <v>208</v>
      </c>
      <c r="BG51" s="12">
        <f t="shared" si="83"/>
        <v>4644</v>
      </c>
      <c r="BH51" s="10">
        <v>0</v>
      </c>
      <c r="BI51" s="10">
        <v>0</v>
      </c>
      <c r="BJ51" s="12">
        <f t="shared" si="84"/>
        <v>0</v>
      </c>
      <c r="BK51" s="12">
        <f t="shared" si="85"/>
        <v>0</v>
      </c>
      <c r="BL51" s="31" t="s">
        <v>208</v>
      </c>
      <c r="BM51" s="12">
        <f t="shared" si="86"/>
        <v>4644</v>
      </c>
      <c r="BN51" s="10">
        <v>0</v>
      </c>
      <c r="BO51" s="10">
        <v>0</v>
      </c>
      <c r="BP51" s="12">
        <f t="shared" si="87"/>
        <v>0</v>
      </c>
      <c r="BQ51" s="12">
        <f t="shared" si="88"/>
        <v>0</v>
      </c>
      <c r="BR51" s="31" t="s">
        <v>208</v>
      </c>
      <c r="BS51" s="12">
        <f t="shared" si="89"/>
        <v>4644</v>
      </c>
      <c r="BT51" s="10">
        <v>0</v>
      </c>
      <c r="BU51" s="10">
        <v>0</v>
      </c>
      <c r="BV51" s="12">
        <f t="shared" si="90"/>
        <v>0</v>
      </c>
      <c r="BW51" s="12">
        <f t="shared" si="91"/>
        <v>0</v>
      </c>
      <c r="BX51" s="31" t="s">
        <v>208</v>
      </c>
      <c r="BY51" s="12">
        <f t="shared" si="92"/>
        <v>4644</v>
      </c>
      <c r="BZ51" s="10">
        <v>0</v>
      </c>
      <c r="CA51" s="10">
        <v>0</v>
      </c>
      <c r="CB51" s="12">
        <f t="shared" si="93"/>
        <v>0</v>
      </c>
      <c r="CC51" s="12">
        <f t="shared" si="94"/>
        <v>0</v>
      </c>
      <c r="CD51" s="31" t="s">
        <v>208</v>
      </c>
      <c r="CE51" s="12">
        <f t="shared" si="95"/>
        <v>4644</v>
      </c>
    </row>
    <row r="52" spans="1:83" ht="80.25" customHeight="1">
      <c r="A52" s="148" t="s">
        <v>209</v>
      </c>
      <c r="B52" s="148" t="s">
        <v>210</v>
      </c>
      <c r="C52" s="151" t="s">
        <v>211</v>
      </c>
      <c r="D52" s="151" t="s">
        <v>88</v>
      </c>
      <c r="E52" s="154"/>
      <c r="F52" s="154"/>
      <c r="G52" s="154"/>
      <c r="H52" s="170">
        <v>41</v>
      </c>
      <c r="I52" s="159">
        <v>36</v>
      </c>
      <c r="J52" s="56">
        <v>0</v>
      </c>
      <c r="K52" s="12">
        <f t="shared" ref="K52:K68" si="98">I52*J52</f>
        <v>0</v>
      </c>
      <c r="L52" s="10">
        <v>0</v>
      </c>
      <c r="M52" s="10">
        <v>0</v>
      </c>
      <c r="N52" s="33">
        <f t="shared" ref="N52:N68" si="99">M52*I52</f>
        <v>0</v>
      </c>
      <c r="O52" s="33">
        <f t="shared" ref="O52:O68" si="100">L52*I52</f>
        <v>0</v>
      </c>
      <c r="P52" s="56">
        <v>0</v>
      </c>
      <c r="Q52" s="33">
        <f t="shared" ref="Q52:Q68" si="101">P52*I52</f>
        <v>0</v>
      </c>
      <c r="R52" s="56">
        <v>0</v>
      </c>
      <c r="S52" s="56">
        <v>0</v>
      </c>
      <c r="T52" s="33">
        <f t="shared" ref="T52:T68" si="102">S52*O52</f>
        <v>0</v>
      </c>
      <c r="U52" s="33">
        <f t="shared" ref="U52:U68" si="103">R52*O52</f>
        <v>0</v>
      </c>
      <c r="V52" s="56">
        <v>0</v>
      </c>
      <c r="W52" s="33">
        <f t="shared" ref="W52:W68" si="104">V52*O52</f>
        <v>0</v>
      </c>
      <c r="X52" s="56">
        <v>0</v>
      </c>
      <c r="Y52" s="56">
        <v>0</v>
      </c>
      <c r="Z52" s="33">
        <f t="shared" ref="Z52:Z68" si="105">Y52*U52</f>
        <v>0</v>
      </c>
      <c r="AA52" s="33">
        <f t="shared" ref="AA52:AA68" si="106">X52*U52</f>
        <v>0</v>
      </c>
      <c r="AB52" s="80">
        <v>41</v>
      </c>
      <c r="AC52" s="117">
        <f t="shared" si="31"/>
        <v>1476</v>
      </c>
      <c r="AD52" s="10">
        <v>0</v>
      </c>
      <c r="AE52" s="10">
        <v>0</v>
      </c>
      <c r="AF52" s="117">
        <f t="shared" si="32"/>
        <v>0</v>
      </c>
      <c r="AG52" s="118">
        <f t="shared" si="33"/>
        <v>0</v>
      </c>
      <c r="AH52" s="80">
        <f t="shared" si="34"/>
        <v>41</v>
      </c>
      <c r="AI52" s="112">
        <f t="shared" ref="AI52:AI69" si="107">AH52*I52</f>
        <v>1476</v>
      </c>
      <c r="AJ52" s="111">
        <v>0</v>
      </c>
      <c r="AK52" s="111">
        <v>0</v>
      </c>
      <c r="AL52" s="112">
        <f t="shared" ca="1" si="96"/>
        <v>0</v>
      </c>
      <c r="AM52" s="112">
        <f t="shared" si="97"/>
        <v>0</v>
      </c>
      <c r="AN52" s="80">
        <f t="shared" si="38"/>
        <v>41</v>
      </c>
      <c r="AO52" s="12">
        <f t="shared" si="39"/>
        <v>1476</v>
      </c>
      <c r="AP52" s="10">
        <v>0</v>
      </c>
      <c r="AQ52" s="10">
        <v>0</v>
      </c>
      <c r="AR52" s="12">
        <f t="shared" si="40"/>
        <v>0</v>
      </c>
      <c r="AS52" s="12">
        <f t="shared" si="41"/>
        <v>0</v>
      </c>
      <c r="AT52" s="13">
        <f t="shared" si="42"/>
        <v>41</v>
      </c>
      <c r="AU52" s="12">
        <f t="shared" si="43"/>
        <v>1476</v>
      </c>
      <c r="AV52" s="10">
        <v>0</v>
      </c>
      <c r="AW52" s="10">
        <v>0</v>
      </c>
      <c r="AX52" s="12">
        <f t="shared" si="44"/>
        <v>0</v>
      </c>
      <c r="AY52" s="12">
        <f t="shared" si="45"/>
        <v>0</v>
      </c>
      <c r="AZ52" s="32">
        <f t="shared" si="46"/>
        <v>41</v>
      </c>
      <c r="BA52" s="12">
        <f t="shared" si="47"/>
        <v>1476</v>
      </c>
      <c r="BB52" s="10">
        <v>0</v>
      </c>
      <c r="BC52" s="10">
        <v>0</v>
      </c>
      <c r="BD52" s="12">
        <f t="shared" si="48"/>
        <v>0</v>
      </c>
      <c r="BE52" s="12">
        <f t="shared" si="49"/>
        <v>0</v>
      </c>
      <c r="BF52" s="31" t="s">
        <v>186</v>
      </c>
      <c r="BG52" s="12">
        <f t="shared" si="83"/>
        <v>1476</v>
      </c>
      <c r="BH52" s="10">
        <v>0</v>
      </c>
      <c r="BI52" s="10">
        <v>0</v>
      </c>
      <c r="BJ52" s="12">
        <f t="shared" si="84"/>
        <v>0</v>
      </c>
      <c r="BK52" s="12">
        <f t="shared" si="85"/>
        <v>0</v>
      </c>
      <c r="BL52" s="31" t="s">
        <v>186</v>
      </c>
      <c r="BM52" s="12">
        <f t="shared" si="86"/>
        <v>1476</v>
      </c>
      <c r="BN52" s="10">
        <v>0</v>
      </c>
      <c r="BO52" s="10">
        <v>0</v>
      </c>
      <c r="BP52" s="12">
        <f t="shared" si="87"/>
        <v>0</v>
      </c>
      <c r="BQ52" s="12">
        <f t="shared" si="88"/>
        <v>0</v>
      </c>
      <c r="BR52" s="31" t="s">
        <v>186</v>
      </c>
      <c r="BS52" s="12">
        <f t="shared" si="89"/>
        <v>1476</v>
      </c>
      <c r="BT52" s="10">
        <v>0</v>
      </c>
      <c r="BU52" s="10">
        <v>0</v>
      </c>
      <c r="BV52" s="12">
        <f t="shared" si="90"/>
        <v>0</v>
      </c>
      <c r="BW52" s="12">
        <f t="shared" si="91"/>
        <v>0</v>
      </c>
      <c r="BX52" s="31" t="s">
        <v>186</v>
      </c>
      <c r="BY52" s="12">
        <f t="shared" si="92"/>
        <v>1476</v>
      </c>
      <c r="BZ52" s="10">
        <v>0</v>
      </c>
      <c r="CA52" s="10">
        <v>0</v>
      </c>
      <c r="CB52" s="12">
        <f t="shared" si="93"/>
        <v>0</v>
      </c>
      <c r="CC52" s="12">
        <f t="shared" si="94"/>
        <v>0</v>
      </c>
      <c r="CD52" s="31" t="s">
        <v>186</v>
      </c>
      <c r="CE52" s="12">
        <f t="shared" si="95"/>
        <v>1476</v>
      </c>
    </row>
    <row r="53" spans="1:83" ht="80.25" customHeight="1">
      <c r="A53" s="148" t="s">
        <v>64</v>
      </c>
      <c r="B53" s="148" t="s">
        <v>212</v>
      </c>
      <c r="C53" s="151" t="s">
        <v>213</v>
      </c>
      <c r="D53" s="151" t="s">
        <v>73</v>
      </c>
      <c r="E53" s="154"/>
      <c r="F53" s="154"/>
      <c r="G53" s="154"/>
      <c r="H53" s="170">
        <v>36</v>
      </c>
      <c r="I53" s="159">
        <v>180</v>
      </c>
      <c r="J53" s="56">
        <v>0</v>
      </c>
      <c r="K53" s="12">
        <f t="shared" si="98"/>
        <v>0</v>
      </c>
      <c r="L53" s="10">
        <v>0</v>
      </c>
      <c r="M53" s="10">
        <v>0</v>
      </c>
      <c r="N53" s="33">
        <f t="shared" si="99"/>
        <v>0</v>
      </c>
      <c r="O53" s="33">
        <f t="shared" si="100"/>
        <v>0</v>
      </c>
      <c r="P53" s="56">
        <v>0</v>
      </c>
      <c r="Q53" s="33">
        <f t="shared" si="101"/>
        <v>0</v>
      </c>
      <c r="R53" s="56">
        <v>0</v>
      </c>
      <c r="S53" s="56">
        <v>0</v>
      </c>
      <c r="T53" s="33">
        <f t="shared" si="102"/>
        <v>0</v>
      </c>
      <c r="U53" s="33">
        <f t="shared" si="103"/>
        <v>0</v>
      </c>
      <c r="V53" s="56">
        <v>0</v>
      </c>
      <c r="W53" s="33">
        <f t="shared" si="104"/>
        <v>0</v>
      </c>
      <c r="X53" s="56">
        <v>0</v>
      </c>
      <c r="Y53" s="56">
        <v>0</v>
      </c>
      <c r="Z53" s="33">
        <f t="shared" si="105"/>
        <v>0</v>
      </c>
      <c r="AA53" s="33">
        <f t="shared" si="106"/>
        <v>0</v>
      </c>
      <c r="AB53" s="80">
        <v>36</v>
      </c>
      <c r="AC53" s="117">
        <f t="shared" si="31"/>
        <v>6480</v>
      </c>
      <c r="AD53" s="10">
        <v>0</v>
      </c>
      <c r="AE53" s="10">
        <v>0</v>
      </c>
      <c r="AF53" s="117">
        <f t="shared" si="32"/>
        <v>0</v>
      </c>
      <c r="AG53" s="118">
        <f t="shared" si="33"/>
        <v>0</v>
      </c>
      <c r="AH53" s="80">
        <f t="shared" si="34"/>
        <v>36</v>
      </c>
      <c r="AI53" s="112">
        <f t="shared" si="107"/>
        <v>6480</v>
      </c>
      <c r="AJ53" s="111">
        <v>0</v>
      </c>
      <c r="AK53" s="111">
        <v>0</v>
      </c>
      <c r="AL53" s="112">
        <f t="shared" ca="1" si="96"/>
        <v>0</v>
      </c>
      <c r="AM53" s="112">
        <f t="shared" si="97"/>
        <v>0</v>
      </c>
      <c r="AN53" s="80">
        <f t="shared" si="38"/>
        <v>36</v>
      </c>
      <c r="AO53" s="12">
        <f t="shared" si="39"/>
        <v>6480</v>
      </c>
      <c r="AP53" s="10">
        <v>0</v>
      </c>
      <c r="AQ53" s="10">
        <v>0</v>
      </c>
      <c r="AR53" s="12">
        <f t="shared" si="40"/>
        <v>0</v>
      </c>
      <c r="AS53" s="12">
        <f t="shared" si="41"/>
        <v>0</v>
      </c>
      <c r="AT53" s="13">
        <f t="shared" si="42"/>
        <v>36</v>
      </c>
      <c r="AU53" s="12">
        <f t="shared" si="43"/>
        <v>6480</v>
      </c>
      <c r="AV53" s="10">
        <v>0</v>
      </c>
      <c r="AW53" s="10">
        <v>0</v>
      </c>
      <c r="AX53" s="12">
        <f t="shared" si="44"/>
        <v>0</v>
      </c>
      <c r="AY53" s="12">
        <f t="shared" si="45"/>
        <v>0</v>
      </c>
      <c r="AZ53" s="32">
        <f t="shared" si="46"/>
        <v>36</v>
      </c>
      <c r="BA53" s="12">
        <f t="shared" si="47"/>
        <v>6480</v>
      </c>
      <c r="BB53" s="10">
        <v>0</v>
      </c>
      <c r="BC53" s="10">
        <v>0</v>
      </c>
      <c r="BD53" s="12">
        <f t="shared" si="48"/>
        <v>0</v>
      </c>
      <c r="BE53" s="12">
        <f t="shared" si="49"/>
        <v>0</v>
      </c>
      <c r="BF53" s="31" t="s">
        <v>168</v>
      </c>
      <c r="BG53" s="12">
        <f t="shared" si="83"/>
        <v>6480</v>
      </c>
      <c r="BH53" s="10">
        <v>0</v>
      </c>
      <c r="BI53" s="10">
        <v>0</v>
      </c>
      <c r="BJ53" s="12">
        <f t="shared" si="84"/>
        <v>0</v>
      </c>
      <c r="BK53" s="12">
        <f t="shared" si="85"/>
        <v>0</v>
      </c>
      <c r="BL53" s="31" t="s">
        <v>168</v>
      </c>
      <c r="BM53" s="12">
        <f t="shared" si="86"/>
        <v>6480</v>
      </c>
      <c r="BN53" s="10">
        <v>0</v>
      </c>
      <c r="BO53" s="10">
        <v>0</v>
      </c>
      <c r="BP53" s="12">
        <f t="shared" si="87"/>
        <v>0</v>
      </c>
      <c r="BQ53" s="12">
        <f t="shared" si="88"/>
        <v>0</v>
      </c>
      <c r="BR53" s="31" t="s">
        <v>168</v>
      </c>
      <c r="BS53" s="12">
        <f t="shared" si="89"/>
        <v>6480</v>
      </c>
      <c r="BT53" s="10">
        <v>0</v>
      </c>
      <c r="BU53" s="10">
        <v>0</v>
      </c>
      <c r="BV53" s="12">
        <f t="shared" si="90"/>
        <v>0</v>
      </c>
      <c r="BW53" s="12">
        <f t="shared" si="91"/>
        <v>0</v>
      </c>
      <c r="BX53" s="31" t="s">
        <v>168</v>
      </c>
      <c r="BY53" s="12">
        <f t="shared" si="92"/>
        <v>6480</v>
      </c>
      <c r="BZ53" s="10">
        <v>0</v>
      </c>
      <c r="CA53" s="10">
        <v>0</v>
      </c>
      <c r="CB53" s="12">
        <f t="shared" si="93"/>
        <v>0</v>
      </c>
      <c r="CC53" s="12">
        <f t="shared" si="94"/>
        <v>0</v>
      </c>
      <c r="CD53" s="31" t="s">
        <v>168</v>
      </c>
      <c r="CE53" s="12">
        <f t="shared" si="95"/>
        <v>6480</v>
      </c>
    </row>
    <row r="54" spans="1:83" ht="80.25" customHeight="1">
      <c r="A54" s="148" t="s">
        <v>214</v>
      </c>
      <c r="B54" s="148" t="s">
        <v>215</v>
      </c>
      <c r="C54" s="151" t="s">
        <v>216</v>
      </c>
      <c r="D54" s="151" t="s">
        <v>171</v>
      </c>
      <c r="E54" s="154"/>
      <c r="F54" s="154"/>
      <c r="G54" s="154"/>
      <c r="H54" s="170">
        <v>34</v>
      </c>
      <c r="I54" s="159">
        <v>1</v>
      </c>
      <c r="J54" s="56">
        <v>0</v>
      </c>
      <c r="K54" s="12">
        <f t="shared" si="98"/>
        <v>0</v>
      </c>
      <c r="L54" s="10">
        <v>0</v>
      </c>
      <c r="M54" s="10">
        <v>0</v>
      </c>
      <c r="N54" s="33">
        <f t="shared" si="99"/>
        <v>0</v>
      </c>
      <c r="O54" s="33">
        <f t="shared" si="100"/>
        <v>0</v>
      </c>
      <c r="P54" s="56">
        <v>0</v>
      </c>
      <c r="Q54" s="33">
        <f t="shared" si="101"/>
        <v>0</v>
      </c>
      <c r="R54" s="56">
        <v>0</v>
      </c>
      <c r="S54" s="56">
        <v>0</v>
      </c>
      <c r="T54" s="33">
        <f t="shared" si="102"/>
        <v>0</v>
      </c>
      <c r="U54" s="33">
        <f t="shared" si="103"/>
        <v>0</v>
      </c>
      <c r="V54" s="56">
        <v>0</v>
      </c>
      <c r="W54" s="33">
        <f t="shared" si="104"/>
        <v>0</v>
      </c>
      <c r="X54" s="56">
        <v>0</v>
      </c>
      <c r="Y54" s="56">
        <v>0</v>
      </c>
      <c r="Z54" s="33">
        <f t="shared" si="105"/>
        <v>0</v>
      </c>
      <c r="AA54" s="33">
        <f t="shared" si="106"/>
        <v>0</v>
      </c>
      <c r="AB54" s="80">
        <v>34</v>
      </c>
      <c r="AC54" s="117">
        <f t="shared" si="31"/>
        <v>34</v>
      </c>
      <c r="AD54" s="10">
        <v>0</v>
      </c>
      <c r="AE54" s="10">
        <v>0</v>
      </c>
      <c r="AF54" s="117">
        <f t="shared" si="32"/>
        <v>0</v>
      </c>
      <c r="AG54" s="118">
        <f t="shared" si="33"/>
        <v>0</v>
      </c>
      <c r="AH54" s="80">
        <f t="shared" si="34"/>
        <v>34</v>
      </c>
      <c r="AI54" s="112">
        <f t="shared" si="107"/>
        <v>34</v>
      </c>
      <c r="AJ54" s="111">
        <v>0</v>
      </c>
      <c r="AK54" s="111">
        <v>0</v>
      </c>
      <c r="AL54" s="112">
        <f t="shared" ca="1" si="96"/>
        <v>0</v>
      </c>
      <c r="AM54" s="112">
        <f t="shared" si="97"/>
        <v>0</v>
      </c>
      <c r="AN54" s="80">
        <f t="shared" si="38"/>
        <v>34</v>
      </c>
      <c r="AO54" s="12">
        <f t="shared" si="39"/>
        <v>34</v>
      </c>
      <c r="AP54" s="10">
        <v>0</v>
      </c>
      <c r="AQ54" s="10">
        <v>0</v>
      </c>
      <c r="AR54" s="12">
        <f t="shared" si="40"/>
        <v>0</v>
      </c>
      <c r="AS54" s="12">
        <f t="shared" si="41"/>
        <v>0</v>
      </c>
      <c r="AT54" s="13">
        <f t="shared" si="42"/>
        <v>34</v>
      </c>
      <c r="AU54" s="12">
        <f t="shared" si="43"/>
        <v>34</v>
      </c>
      <c r="AV54" s="10">
        <v>0</v>
      </c>
      <c r="AW54" s="10">
        <v>0</v>
      </c>
      <c r="AX54" s="12">
        <f t="shared" si="44"/>
        <v>0</v>
      </c>
      <c r="AY54" s="12">
        <f t="shared" si="45"/>
        <v>0</v>
      </c>
      <c r="AZ54" s="32">
        <f t="shared" si="46"/>
        <v>34</v>
      </c>
      <c r="BA54" s="12">
        <f t="shared" si="47"/>
        <v>34</v>
      </c>
      <c r="BB54" s="10">
        <v>0</v>
      </c>
      <c r="BC54" s="10">
        <v>0</v>
      </c>
      <c r="BD54" s="12">
        <f t="shared" si="48"/>
        <v>0</v>
      </c>
      <c r="BE54" s="12">
        <f t="shared" si="49"/>
        <v>0</v>
      </c>
      <c r="BF54" s="18" t="s">
        <v>161</v>
      </c>
      <c r="BG54" s="12">
        <f t="shared" si="83"/>
        <v>34</v>
      </c>
      <c r="BH54" s="10">
        <v>0</v>
      </c>
      <c r="BI54" s="10">
        <v>0</v>
      </c>
      <c r="BJ54" s="12">
        <f t="shared" si="84"/>
        <v>0</v>
      </c>
      <c r="BK54" s="12">
        <f t="shared" si="85"/>
        <v>0</v>
      </c>
      <c r="BL54" s="18" t="s">
        <v>161</v>
      </c>
      <c r="BM54" s="12">
        <f t="shared" si="86"/>
        <v>34</v>
      </c>
      <c r="BN54" s="10">
        <v>0</v>
      </c>
      <c r="BO54" s="10">
        <v>0</v>
      </c>
      <c r="BP54" s="12">
        <f t="shared" si="87"/>
        <v>0</v>
      </c>
      <c r="BQ54" s="12">
        <f t="shared" si="88"/>
        <v>0</v>
      </c>
      <c r="BR54" s="18" t="s">
        <v>161</v>
      </c>
      <c r="BS54" s="12">
        <f t="shared" si="89"/>
        <v>34</v>
      </c>
      <c r="BT54" s="10">
        <v>0</v>
      </c>
      <c r="BU54" s="10">
        <v>0</v>
      </c>
      <c r="BV54" s="12">
        <f t="shared" si="90"/>
        <v>0</v>
      </c>
      <c r="BW54" s="12">
        <f t="shared" si="91"/>
        <v>0</v>
      </c>
      <c r="BX54" s="18" t="s">
        <v>161</v>
      </c>
      <c r="BY54" s="12">
        <f t="shared" si="92"/>
        <v>34</v>
      </c>
      <c r="BZ54" s="10">
        <v>0</v>
      </c>
      <c r="CA54" s="10">
        <v>0</v>
      </c>
      <c r="CB54" s="12">
        <f t="shared" si="93"/>
        <v>0</v>
      </c>
      <c r="CC54" s="12">
        <f t="shared" si="94"/>
        <v>0</v>
      </c>
      <c r="CD54" s="18" t="s">
        <v>161</v>
      </c>
      <c r="CE54" s="12">
        <f t="shared" si="95"/>
        <v>34</v>
      </c>
    </row>
    <row r="55" spans="1:83" ht="80.25" customHeight="1">
      <c r="A55" s="148" t="s">
        <v>217</v>
      </c>
      <c r="B55" s="148" t="s">
        <v>218</v>
      </c>
      <c r="C55" s="151" t="s">
        <v>219</v>
      </c>
      <c r="D55" s="151" t="s">
        <v>41</v>
      </c>
      <c r="E55" s="154"/>
      <c r="F55" s="154"/>
      <c r="G55" s="154"/>
      <c r="H55" s="170">
        <v>62</v>
      </c>
      <c r="I55" s="159">
        <v>1</v>
      </c>
      <c r="J55" s="56">
        <v>0</v>
      </c>
      <c r="K55" s="12">
        <f t="shared" si="98"/>
        <v>0</v>
      </c>
      <c r="L55" s="10">
        <v>0</v>
      </c>
      <c r="M55" s="10">
        <v>0</v>
      </c>
      <c r="N55" s="33">
        <f t="shared" si="99"/>
        <v>0</v>
      </c>
      <c r="O55" s="33">
        <f t="shared" si="100"/>
        <v>0</v>
      </c>
      <c r="P55" s="56">
        <v>0</v>
      </c>
      <c r="Q55" s="33">
        <f t="shared" si="101"/>
        <v>0</v>
      </c>
      <c r="R55" s="56">
        <v>0</v>
      </c>
      <c r="S55" s="56">
        <v>0</v>
      </c>
      <c r="T55" s="33">
        <f t="shared" si="102"/>
        <v>0</v>
      </c>
      <c r="U55" s="33">
        <f t="shared" si="103"/>
        <v>0</v>
      </c>
      <c r="V55" s="56">
        <v>0</v>
      </c>
      <c r="W55" s="33">
        <f t="shared" si="104"/>
        <v>0</v>
      </c>
      <c r="X55" s="56">
        <v>0</v>
      </c>
      <c r="Y55" s="56">
        <v>0</v>
      </c>
      <c r="Z55" s="33">
        <f t="shared" si="105"/>
        <v>0</v>
      </c>
      <c r="AA55" s="33">
        <f t="shared" si="106"/>
        <v>0</v>
      </c>
      <c r="AB55" s="80">
        <v>62</v>
      </c>
      <c r="AC55" s="117">
        <f t="shared" si="31"/>
        <v>62</v>
      </c>
      <c r="AD55" s="10">
        <v>0</v>
      </c>
      <c r="AE55" s="10">
        <v>0</v>
      </c>
      <c r="AF55" s="117">
        <f t="shared" si="32"/>
        <v>0</v>
      </c>
      <c r="AG55" s="118">
        <f t="shared" si="33"/>
        <v>0</v>
      </c>
      <c r="AH55" s="80">
        <f t="shared" si="34"/>
        <v>62</v>
      </c>
      <c r="AI55" s="112">
        <f t="shared" si="107"/>
        <v>62</v>
      </c>
      <c r="AJ55" s="111">
        <v>0</v>
      </c>
      <c r="AK55" s="111">
        <v>0</v>
      </c>
      <c r="AL55" s="112">
        <f t="shared" ca="1" si="96"/>
        <v>0</v>
      </c>
      <c r="AM55" s="112">
        <f t="shared" si="97"/>
        <v>0</v>
      </c>
      <c r="AN55" s="80">
        <f t="shared" si="38"/>
        <v>62</v>
      </c>
      <c r="AO55" s="12">
        <f t="shared" si="39"/>
        <v>62</v>
      </c>
      <c r="AP55" s="10">
        <v>0</v>
      </c>
      <c r="AQ55" s="10">
        <v>0</v>
      </c>
      <c r="AR55" s="12">
        <f t="shared" si="40"/>
        <v>0</v>
      </c>
      <c r="AS55" s="12">
        <f t="shared" si="41"/>
        <v>0</v>
      </c>
      <c r="AT55" s="13">
        <f t="shared" si="42"/>
        <v>62</v>
      </c>
      <c r="AU55" s="12">
        <f t="shared" si="43"/>
        <v>62</v>
      </c>
      <c r="AV55" s="10">
        <v>0</v>
      </c>
      <c r="AW55" s="10">
        <v>50</v>
      </c>
      <c r="AX55" s="12">
        <f t="shared" si="44"/>
        <v>50</v>
      </c>
      <c r="AY55" s="12">
        <f t="shared" si="45"/>
        <v>0</v>
      </c>
      <c r="AZ55" s="32">
        <f t="shared" si="46"/>
        <v>112</v>
      </c>
      <c r="BA55" s="12">
        <f t="shared" si="47"/>
        <v>112</v>
      </c>
      <c r="BB55" s="10">
        <v>0</v>
      </c>
      <c r="BC55" s="10">
        <v>0</v>
      </c>
      <c r="BD55" s="12">
        <f t="shared" si="48"/>
        <v>0</v>
      </c>
      <c r="BE55" s="12">
        <f t="shared" si="49"/>
        <v>0</v>
      </c>
      <c r="BF55" s="31" t="s">
        <v>38</v>
      </c>
      <c r="BG55" s="12">
        <f t="shared" si="83"/>
        <v>62</v>
      </c>
      <c r="BH55" s="10">
        <v>0</v>
      </c>
      <c r="BI55" s="10">
        <v>0</v>
      </c>
      <c r="BJ55" s="12">
        <f t="shared" si="84"/>
        <v>0</v>
      </c>
      <c r="BK55" s="12">
        <f t="shared" si="85"/>
        <v>0</v>
      </c>
      <c r="BL55" s="31" t="s">
        <v>38</v>
      </c>
      <c r="BM55" s="12">
        <f t="shared" si="86"/>
        <v>62</v>
      </c>
      <c r="BN55" s="10">
        <v>0</v>
      </c>
      <c r="BO55" s="10">
        <v>0</v>
      </c>
      <c r="BP55" s="12">
        <f t="shared" si="87"/>
        <v>0</v>
      </c>
      <c r="BQ55" s="12">
        <f t="shared" si="88"/>
        <v>0</v>
      </c>
      <c r="BR55" s="31" t="s">
        <v>38</v>
      </c>
      <c r="BS55" s="12">
        <f t="shared" si="89"/>
        <v>62</v>
      </c>
      <c r="BT55" s="10">
        <v>0</v>
      </c>
      <c r="BU55" s="10">
        <v>0</v>
      </c>
      <c r="BV55" s="12">
        <f t="shared" si="90"/>
        <v>0</v>
      </c>
      <c r="BW55" s="12">
        <f t="shared" si="91"/>
        <v>0</v>
      </c>
      <c r="BX55" s="31" t="s">
        <v>38</v>
      </c>
      <c r="BY55" s="12">
        <f t="shared" si="92"/>
        <v>62</v>
      </c>
      <c r="BZ55" s="10">
        <v>0</v>
      </c>
      <c r="CA55" s="10">
        <v>0</v>
      </c>
      <c r="CB55" s="12">
        <f t="shared" si="93"/>
        <v>0</v>
      </c>
      <c r="CC55" s="12">
        <f t="shared" si="94"/>
        <v>0</v>
      </c>
      <c r="CD55" s="31" t="s">
        <v>220</v>
      </c>
      <c r="CE55" s="12">
        <f t="shared" si="95"/>
        <v>62</v>
      </c>
    </row>
    <row r="56" spans="1:83" ht="80.25" customHeight="1">
      <c r="A56" s="148" t="s">
        <v>221</v>
      </c>
      <c r="B56" s="148" t="s">
        <v>222</v>
      </c>
      <c r="C56" s="151" t="s">
        <v>223</v>
      </c>
      <c r="D56" s="151" t="s">
        <v>73</v>
      </c>
      <c r="E56" s="154"/>
      <c r="F56" s="154"/>
      <c r="G56" s="154"/>
      <c r="H56" s="170">
        <v>396</v>
      </c>
      <c r="I56" s="159">
        <v>29</v>
      </c>
      <c r="J56" s="56">
        <v>0</v>
      </c>
      <c r="K56" s="12">
        <f t="shared" si="98"/>
        <v>0</v>
      </c>
      <c r="L56" s="10">
        <v>0</v>
      </c>
      <c r="M56" s="10">
        <v>0</v>
      </c>
      <c r="N56" s="33">
        <f t="shared" si="99"/>
        <v>0</v>
      </c>
      <c r="O56" s="33">
        <f t="shared" si="100"/>
        <v>0</v>
      </c>
      <c r="P56" s="56">
        <v>0</v>
      </c>
      <c r="Q56" s="33">
        <f t="shared" si="101"/>
        <v>0</v>
      </c>
      <c r="R56" s="56">
        <v>0</v>
      </c>
      <c r="S56" s="56">
        <v>0</v>
      </c>
      <c r="T56" s="33">
        <f t="shared" si="102"/>
        <v>0</v>
      </c>
      <c r="U56" s="33">
        <f t="shared" si="103"/>
        <v>0</v>
      </c>
      <c r="V56" s="56">
        <v>0</v>
      </c>
      <c r="W56" s="33">
        <f t="shared" si="104"/>
        <v>0</v>
      </c>
      <c r="X56" s="56">
        <v>0</v>
      </c>
      <c r="Y56" s="56">
        <v>0</v>
      </c>
      <c r="Z56" s="33">
        <f t="shared" si="105"/>
        <v>0</v>
      </c>
      <c r="AA56" s="33">
        <f t="shared" si="106"/>
        <v>0</v>
      </c>
      <c r="AB56" s="80">
        <v>396</v>
      </c>
      <c r="AC56" s="117">
        <f t="shared" si="31"/>
        <v>11484</v>
      </c>
      <c r="AD56" s="10">
        <v>0</v>
      </c>
      <c r="AE56" s="10">
        <v>0</v>
      </c>
      <c r="AF56" s="117">
        <f t="shared" si="32"/>
        <v>0</v>
      </c>
      <c r="AG56" s="118">
        <f t="shared" si="33"/>
        <v>0</v>
      </c>
      <c r="AH56" s="80">
        <f t="shared" si="34"/>
        <v>396</v>
      </c>
      <c r="AI56" s="112">
        <f t="shared" si="107"/>
        <v>11484</v>
      </c>
      <c r="AJ56" s="111">
        <v>0</v>
      </c>
      <c r="AK56" s="111">
        <v>0</v>
      </c>
      <c r="AL56" s="112">
        <f t="shared" ca="1" si="96"/>
        <v>0</v>
      </c>
      <c r="AM56" s="112">
        <f t="shared" si="97"/>
        <v>0</v>
      </c>
      <c r="AN56" s="80">
        <f t="shared" si="38"/>
        <v>396</v>
      </c>
      <c r="AO56" s="12">
        <f t="shared" si="39"/>
        <v>11484</v>
      </c>
      <c r="AP56" s="10">
        <v>0</v>
      </c>
      <c r="AQ56" s="10">
        <v>0</v>
      </c>
      <c r="AR56" s="12">
        <f t="shared" si="40"/>
        <v>0</v>
      </c>
      <c r="AS56" s="12">
        <f t="shared" si="41"/>
        <v>0</v>
      </c>
      <c r="AT56" s="13">
        <f t="shared" si="42"/>
        <v>396</v>
      </c>
      <c r="AU56" s="12">
        <f t="shared" si="43"/>
        <v>11484</v>
      </c>
      <c r="AV56" s="10">
        <v>0</v>
      </c>
      <c r="AW56" s="10">
        <v>0</v>
      </c>
      <c r="AX56" s="12">
        <f t="shared" si="44"/>
        <v>0</v>
      </c>
      <c r="AY56" s="12">
        <f t="shared" si="45"/>
        <v>0</v>
      </c>
      <c r="AZ56" s="32">
        <f t="shared" si="46"/>
        <v>396</v>
      </c>
      <c r="BA56" s="12">
        <f t="shared" si="47"/>
        <v>11484</v>
      </c>
      <c r="BB56" s="10">
        <v>0</v>
      </c>
      <c r="BC56" s="10">
        <v>0</v>
      </c>
      <c r="BD56" s="12">
        <f t="shared" si="48"/>
        <v>0</v>
      </c>
      <c r="BE56" s="12">
        <f t="shared" si="49"/>
        <v>0</v>
      </c>
      <c r="BF56" s="31" t="s">
        <v>224</v>
      </c>
      <c r="BG56" s="12">
        <f t="shared" si="83"/>
        <v>11484</v>
      </c>
      <c r="BH56" s="10">
        <v>0</v>
      </c>
      <c r="BI56" s="10">
        <v>0</v>
      </c>
      <c r="BJ56" s="12">
        <f t="shared" si="84"/>
        <v>0</v>
      </c>
      <c r="BK56" s="12">
        <f t="shared" si="85"/>
        <v>0</v>
      </c>
      <c r="BL56" s="31" t="s">
        <v>224</v>
      </c>
      <c r="BM56" s="12">
        <f t="shared" si="86"/>
        <v>11484</v>
      </c>
      <c r="BN56" s="10">
        <v>0</v>
      </c>
      <c r="BO56" s="10">
        <v>0</v>
      </c>
      <c r="BP56" s="12">
        <f t="shared" si="87"/>
        <v>0</v>
      </c>
      <c r="BQ56" s="12">
        <f t="shared" si="88"/>
        <v>0</v>
      </c>
      <c r="BR56" s="31" t="s">
        <v>224</v>
      </c>
      <c r="BS56" s="12">
        <f t="shared" si="89"/>
        <v>11484</v>
      </c>
      <c r="BT56" s="10">
        <v>0</v>
      </c>
      <c r="BU56" s="10">
        <v>0</v>
      </c>
      <c r="BV56" s="12">
        <f t="shared" si="90"/>
        <v>0</v>
      </c>
      <c r="BW56" s="12">
        <f t="shared" si="91"/>
        <v>0</v>
      </c>
      <c r="BX56" s="31" t="s">
        <v>224</v>
      </c>
      <c r="BY56" s="12">
        <f t="shared" si="92"/>
        <v>11484</v>
      </c>
      <c r="BZ56" s="10">
        <v>0</v>
      </c>
      <c r="CA56" s="10">
        <v>0</v>
      </c>
      <c r="CB56" s="12">
        <f t="shared" si="93"/>
        <v>0</v>
      </c>
      <c r="CC56" s="12">
        <f t="shared" si="94"/>
        <v>0</v>
      </c>
      <c r="CD56" s="31" t="s">
        <v>224</v>
      </c>
      <c r="CE56" s="12">
        <f t="shared" si="95"/>
        <v>11484</v>
      </c>
    </row>
    <row r="57" spans="1:83" ht="80.25" customHeight="1">
      <c r="A57" s="148" t="s">
        <v>225</v>
      </c>
      <c r="B57" s="148" t="s">
        <v>226</v>
      </c>
      <c r="C57" s="151" t="s">
        <v>227</v>
      </c>
      <c r="D57" s="151" t="s">
        <v>46</v>
      </c>
      <c r="E57" s="154"/>
      <c r="F57" s="154"/>
      <c r="G57" s="154"/>
      <c r="H57" s="170">
        <v>3</v>
      </c>
      <c r="I57" s="159">
        <v>1</v>
      </c>
      <c r="J57" s="56">
        <v>0</v>
      </c>
      <c r="K57" s="12">
        <f t="shared" si="98"/>
        <v>0</v>
      </c>
      <c r="L57" s="10">
        <v>0</v>
      </c>
      <c r="M57" s="10">
        <v>0</v>
      </c>
      <c r="N57" s="33">
        <f t="shared" si="99"/>
        <v>0</v>
      </c>
      <c r="O57" s="33">
        <f t="shared" si="100"/>
        <v>0</v>
      </c>
      <c r="P57" s="56">
        <v>0</v>
      </c>
      <c r="Q57" s="33">
        <f t="shared" si="101"/>
        <v>0</v>
      </c>
      <c r="R57" s="56">
        <v>0</v>
      </c>
      <c r="S57" s="56">
        <v>0</v>
      </c>
      <c r="T57" s="33">
        <f t="shared" si="102"/>
        <v>0</v>
      </c>
      <c r="U57" s="33">
        <f t="shared" si="103"/>
        <v>0</v>
      </c>
      <c r="V57" s="56">
        <v>0</v>
      </c>
      <c r="W57" s="33">
        <f t="shared" si="104"/>
        <v>0</v>
      </c>
      <c r="X57" s="56">
        <v>0</v>
      </c>
      <c r="Y57" s="56">
        <v>0</v>
      </c>
      <c r="Z57" s="33">
        <f t="shared" si="105"/>
        <v>0</v>
      </c>
      <c r="AA57" s="33">
        <f t="shared" si="106"/>
        <v>0</v>
      </c>
      <c r="AB57" s="80">
        <v>3</v>
      </c>
      <c r="AC57" s="117">
        <f t="shared" si="31"/>
        <v>3</v>
      </c>
      <c r="AD57" s="10">
        <v>0</v>
      </c>
      <c r="AE57" s="10">
        <v>0</v>
      </c>
      <c r="AF57" s="117">
        <f t="shared" si="32"/>
        <v>0</v>
      </c>
      <c r="AG57" s="118">
        <f t="shared" si="33"/>
        <v>0</v>
      </c>
      <c r="AH57" s="80">
        <f t="shared" si="34"/>
        <v>3</v>
      </c>
      <c r="AI57" s="112">
        <f t="shared" si="107"/>
        <v>3</v>
      </c>
      <c r="AJ57" s="111">
        <v>0</v>
      </c>
      <c r="AK57" s="111">
        <v>0</v>
      </c>
      <c r="AL57" s="112">
        <f t="shared" ca="1" si="96"/>
        <v>0</v>
      </c>
      <c r="AM57" s="112">
        <f t="shared" si="97"/>
        <v>0</v>
      </c>
      <c r="AN57" s="80">
        <f t="shared" si="38"/>
        <v>3</v>
      </c>
      <c r="AO57" s="12">
        <f t="shared" si="39"/>
        <v>3</v>
      </c>
      <c r="AP57" s="10">
        <v>0</v>
      </c>
      <c r="AQ57" s="10">
        <v>0</v>
      </c>
      <c r="AR57" s="12">
        <f t="shared" si="40"/>
        <v>0</v>
      </c>
      <c r="AS57" s="12">
        <f t="shared" si="41"/>
        <v>0</v>
      </c>
      <c r="AT57" s="13">
        <f t="shared" si="42"/>
        <v>3</v>
      </c>
      <c r="AU57" s="12">
        <f t="shared" si="43"/>
        <v>3</v>
      </c>
      <c r="AV57" s="10">
        <v>0</v>
      </c>
      <c r="AW57" s="10">
        <v>0</v>
      </c>
      <c r="AX57" s="12">
        <f t="shared" si="44"/>
        <v>0</v>
      </c>
      <c r="AY57" s="12">
        <f t="shared" si="45"/>
        <v>0</v>
      </c>
      <c r="AZ57" s="32">
        <f t="shared" si="46"/>
        <v>3</v>
      </c>
      <c r="BA57" s="12">
        <f t="shared" si="47"/>
        <v>3</v>
      </c>
      <c r="BB57" s="10">
        <v>0</v>
      </c>
      <c r="BC57" s="10">
        <v>0</v>
      </c>
      <c r="BD57" s="12">
        <f t="shared" si="48"/>
        <v>0</v>
      </c>
      <c r="BE57" s="12">
        <f t="shared" si="49"/>
        <v>0</v>
      </c>
      <c r="BF57" s="31" t="s">
        <v>43</v>
      </c>
      <c r="BG57" s="12">
        <f t="shared" si="83"/>
        <v>3</v>
      </c>
      <c r="BH57" s="10">
        <v>0</v>
      </c>
      <c r="BI57" s="10">
        <v>0</v>
      </c>
      <c r="BJ57" s="12">
        <f t="shared" si="84"/>
        <v>0</v>
      </c>
      <c r="BK57" s="12">
        <f t="shared" si="85"/>
        <v>0</v>
      </c>
      <c r="BL57" s="31" t="s">
        <v>43</v>
      </c>
      <c r="BM57" s="12">
        <f t="shared" si="86"/>
        <v>3</v>
      </c>
      <c r="BN57" s="10">
        <v>0</v>
      </c>
      <c r="BO57" s="10">
        <v>0</v>
      </c>
      <c r="BP57" s="12">
        <f t="shared" si="87"/>
        <v>0</v>
      </c>
      <c r="BQ57" s="12">
        <f t="shared" si="88"/>
        <v>0</v>
      </c>
      <c r="BR57" s="31" t="s">
        <v>43</v>
      </c>
      <c r="BS57" s="12">
        <f t="shared" si="89"/>
        <v>3</v>
      </c>
      <c r="BT57" s="10">
        <v>0</v>
      </c>
      <c r="BU57" s="10">
        <v>0</v>
      </c>
      <c r="BV57" s="12">
        <f t="shared" si="90"/>
        <v>0</v>
      </c>
      <c r="BW57" s="12">
        <f t="shared" si="91"/>
        <v>0</v>
      </c>
      <c r="BX57" s="31" t="s">
        <v>43</v>
      </c>
      <c r="BY57" s="12">
        <f t="shared" si="92"/>
        <v>3</v>
      </c>
      <c r="BZ57" s="10">
        <v>0</v>
      </c>
      <c r="CA57" s="10">
        <v>0</v>
      </c>
      <c r="CB57" s="12">
        <f t="shared" si="93"/>
        <v>0</v>
      </c>
      <c r="CC57" s="12">
        <f t="shared" si="94"/>
        <v>0</v>
      </c>
      <c r="CD57" s="31" t="s">
        <v>43</v>
      </c>
      <c r="CE57" s="12">
        <f t="shared" si="95"/>
        <v>3</v>
      </c>
    </row>
    <row r="58" spans="1:83" ht="80.25" customHeight="1">
      <c r="A58" s="148" t="s">
        <v>228</v>
      </c>
      <c r="B58" s="148" t="s">
        <v>229</v>
      </c>
      <c r="C58" s="151" t="s">
        <v>230</v>
      </c>
      <c r="D58" s="151" t="s">
        <v>41</v>
      </c>
      <c r="E58" s="154"/>
      <c r="F58" s="154"/>
      <c r="G58" s="154"/>
      <c r="H58" s="170">
        <v>2</v>
      </c>
      <c r="I58" s="159">
        <v>1</v>
      </c>
      <c r="J58" s="56">
        <v>0</v>
      </c>
      <c r="K58" s="12">
        <f t="shared" si="98"/>
        <v>0</v>
      </c>
      <c r="L58" s="10">
        <v>0</v>
      </c>
      <c r="M58" s="10">
        <v>0</v>
      </c>
      <c r="N58" s="33">
        <f t="shared" si="99"/>
        <v>0</v>
      </c>
      <c r="O58" s="33">
        <f t="shared" si="100"/>
        <v>0</v>
      </c>
      <c r="P58" s="56">
        <v>0</v>
      </c>
      <c r="Q58" s="33">
        <f t="shared" si="101"/>
        <v>0</v>
      </c>
      <c r="R58" s="56">
        <v>0</v>
      </c>
      <c r="S58" s="56">
        <v>0</v>
      </c>
      <c r="T58" s="33">
        <f t="shared" si="102"/>
        <v>0</v>
      </c>
      <c r="U58" s="33">
        <f t="shared" si="103"/>
        <v>0</v>
      </c>
      <c r="V58" s="56">
        <v>0</v>
      </c>
      <c r="W58" s="33">
        <f t="shared" si="104"/>
        <v>0</v>
      </c>
      <c r="X58" s="56">
        <v>0</v>
      </c>
      <c r="Y58" s="56">
        <v>0</v>
      </c>
      <c r="Z58" s="33">
        <f t="shared" si="105"/>
        <v>0</v>
      </c>
      <c r="AA58" s="33">
        <f t="shared" si="106"/>
        <v>0</v>
      </c>
      <c r="AB58" s="80">
        <v>2</v>
      </c>
      <c r="AC58" s="117">
        <f t="shared" si="31"/>
        <v>2</v>
      </c>
      <c r="AD58" s="10">
        <v>0</v>
      </c>
      <c r="AE58" s="10">
        <v>0</v>
      </c>
      <c r="AF58" s="117">
        <f t="shared" si="32"/>
        <v>0</v>
      </c>
      <c r="AG58" s="118">
        <f t="shared" si="33"/>
        <v>0</v>
      </c>
      <c r="AH58" s="80">
        <f t="shared" si="34"/>
        <v>2</v>
      </c>
      <c r="AI58" s="112">
        <f t="shared" si="107"/>
        <v>2</v>
      </c>
      <c r="AJ58" s="111">
        <v>0</v>
      </c>
      <c r="AK58" s="111">
        <v>0</v>
      </c>
      <c r="AL58" s="112">
        <f t="shared" ca="1" si="96"/>
        <v>0</v>
      </c>
      <c r="AM58" s="112">
        <f t="shared" si="97"/>
        <v>0</v>
      </c>
      <c r="AN58" s="80">
        <f t="shared" si="38"/>
        <v>2</v>
      </c>
      <c r="AO58" s="12">
        <f t="shared" si="39"/>
        <v>2</v>
      </c>
      <c r="AP58" s="10">
        <v>0</v>
      </c>
      <c r="AQ58" s="10">
        <v>0</v>
      </c>
      <c r="AR58" s="12">
        <f t="shared" si="40"/>
        <v>0</v>
      </c>
      <c r="AS58" s="12">
        <f t="shared" si="41"/>
        <v>0</v>
      </c>
      <c r="AT58" s="13">
        <f t="shared" si="42"/>
        <v>2</v>
      </c>
      <c r="AU58" s="12">
        <f t="shared" si="43"/>
        <v>2</v>
      </c>
      <c r="AV58" s="10">
        <v>0</v>
      </c>
      <c r="AW58" s="10">
        <v>0</v>
      </c>
      <c r="AX58" s="12">
        <f t="shared" si="44"/>
        <v>0</v>
      </c>
      <c r="AY58" s="12">
        <f t="shared" si="45"/>
        <v>0</v>
      </c>
      <c r="AZ58" s="32">
        <f t="shared" si="46"/>
        <v>2</v>
      </c>
      <c r="BA58" s="12">
        <f t="shared" si="47"/>
        <v>2</v>
      </c>
      <c r="BB58" s="10">
        <v>0</v>
      </c>
      <c r="BC58" s="10">
        <v>0</v>
      </c>
      <c r="BD58" s="12">
        <f t="shared" si="48"/>
        <v>0</v>
      </c>
      <c r="BE58" s="12">
        <f t="shared" si="49"/>
        <v>0</v>
      </c>
      <c r="BF58" s="31" t="s">
        <v>38</v>
      </c>
      <c r="BG58" s="12">
        <f t="shared" si="83"/>
        <v>2</v>
      </c>
      <c r="BH58" s="10">
        <v>0</v>
      </c>
      <c r="BI58" s="10">
        <v>0</v>
      </c>
      <c r="BJ58" s="12">
        <f t="shared" si="84"/>
        <v>0</v>
      </c>
      <c r="BK58" s="12">
        <f t="shared" si="85"/>
        <v>0</v>
      </c>
      <c r="BL58" s="31" t="s">
        <v>38</v>
      </c>
      <c r="BM58" s="12">
        <f t="shared" si="86"/>
        <v>2</v>
      </c>
      <c r="BN58" s="10">
        <v>0</v>
      </c>
      <c r="BO58" s="10">
        <v>0</v>
      </c>
      <c r="BP58" s="12">
        <f t="shared" si="87"/>
        <v>0</v>
      </c>
      <c r="BQ58" s="12">
        <f t="shared" si="88"/>
        <v>0</v>
      </c>
      <c r="BR58" s="31" t="s">
        <v>38</v>
      </c>
      <c r="BS58" s="12">
        <f t="shared" si="89"/>
        <v>2</v>
      </c>
      <c r="BT58" s="10">
        <v>0</v>
      </c>
      <c r="BU58" s="10">
        <v>0</v>
      </c>
      <c r="BV58" s="12">
        <f t="shared" si="90"/>
        <v>0</v>
      </c>
      <c r="BW58" s="12">
        <f t="shared" si="91"/>
        <v>0</v>
      </c>
      <c r="BX58" s="31" t="s">
        <v>38</v>
      </c>
      <c r="BY58" s="12">
        <f t="shared" si="92"/>
        <v>2</v>
      </c>
      <c r="BZ58" s="10">
        <v>0</v>
      </c>
      <c r="CA58" s="10">
        <v>0</v>
      </c>
      <c r="CB58" s="12">
        <f t="shared" si="93"/>
        <v>0</v>
      </c>
      <c r="CC58" s="12">
        <f t="shared" si="94"/>
        <v>0</v>
      </c>
      <c r="CD58" s="31" t="s">
        <v>38</v>
      </c>
      <c r="CE58" s="12">
        <f t="shared" si="95"/>
        <v>2</v>
      </c>
    </row>
    <row r="59" spans="1:83" ht="80.25" customHeight="1">
      <c r="A59" s="148" t="s">
        <v>231</v>
      </c>
      <c r="B59" s="148" t="s">
        <v>232</v>
      </c>
      <c r="C59" s="151" t="s">
        <v>233</v>
      </c>
      <c r="D59" s="151" t="s">
        <v>41</v>
      </c>
      <c r="E59" s="154"/>
      <c r="F59" s="154"/>
      <c r="G59" s="154"/>
      <c r="H59" s="170">
        <v>144</v>
      </c>
      <c r="I59" s="159">
        <v>1</v>
      </c>
      <c r="J59" s="56">
        <v>0</v>
      </c>
      <c r="K59" s="12">
        <f t="shared" si="98"/>
        <v>0</v>
      </c>
      <c r="L59" s="10">
        <v>0</v>
      </c>
      <c r="M59" s="10">
        <v>0</v>
      </c>
      <c r="N59" s="33">
        <f t="shared" si="99"/>
        <v>0</v>
      </c>
      <c r="O59" s="33">
        <f t="shared" si="100"/>
        <v>0</v>
      </c>
      <c r="P59" s="56">
        <v>0</v>
      </c>
      <c r="Q59" s="33">
        <f t="shared" si="101"/>
        <v>0</v>
      </c>
      <c r="R59" s="56">
        <v>0</v>
      </c>
      <c r="S59" s="56">
        <v>0</v>
      </c>
      <c r="T59" s="33">
        <f t="shared" si="102"/>
        <v>0</v>
      </c>
      <c r="U59" s="33">
        <f t="shared" si="103"/>
        <v>0</v>
      </c>
      <c r="V59" s="56">
        <v>0</v>
      </c>
      <c r="W59" s="33">
        <f t="shared" si="104"/>
        <v>0</v>
      </c>
      <c r="X59" s="56">
        <v>0</v>
      </c>
      <c r="Y59" s="56">
        <v>0</v>
      </c>
      <c r="Z59" s="33">
        <f t="shared" si="105"/>
        <v>0</v>
      </c>
      <c r="AA59" s="33">
        <f t="shared" si="106"/>
        <v>0</v>
      </c>
      <c r="AB59" s="80">
        <v>144</v>
      </c>
      <c r="AC59" s="117">
        <f t="shared" si="31"/>
        <v>144</v>
      </c>
      <c r="AD59" s="10">
        <v>0</v>
      </c>
      <c r="AE59" s="10">
        <v>0</v>
      </c>
      <c r="AF59" s="117">
        <f t="shared" si="32"/>
        <v>0</v>
      </c>
      <c r="AG59" s="118">
        <f t="shared" si="33"/>
        <v>0</v>
      </c>
      <c r="AH59" s="80">
        <f t="shared" si="34"/>
        <v>144</v>
      </c>
      <c r="AI59" s="112">
        <f t="shared" si="107"/>
        <v>144</v>
      </c>
      <c r="AJ59" s="111">
        <v>0</v>
      </c>
      <c r="AK59" s="111">
        <v>0</v>
      </c>
      <c r="AL59" s="112">
        <f t="shared" ca="1" si="96"/>
        <v>0</v>
      </c>
      <c r="AM59" s="112">
        <f t="shared" si="97"/>
        <v>0</v>
      </c>
      <c r="AN59" s="80">
        <f t="shared" si="38"/>
        <v>144</v>
      </c>
      <c r="AO59" s="12">
        <f t="shared" si="39"/>
        <v>144</v>
      </c>
      <c r="AP59" s="10">
        <v>0</v>
      </c>
      <c r="AQ59" s="10">
        <v>0</v>
      </c>
      <c r="AR59" s="12">
        <f t="shared" si="40"/>
        <v>0</v>
      </c>
      <c r="AS59" s="12">
        <f t="shared" si="41"/>
        <v>0</v>
      </c>
      <c r="AT59" s="13">
        <f t="shared" si="42"/>
        <v>144</v>
      </c>
      <c r="AU59" s="12">
        <f t="shared" si="43"/>
        <v>144</v>
      </c>
      <c r="AV59" s="10">
        <v>0</v>
      </c>
      <c r="AW59" s="10">
        <v>0</v>
      </c>
      <c r="AX59" s="12">
        <f t="shared" si="44"/>
        <v>0</v>
      </c>
      <c r="AY59" s="12">
        <f t="shared" si="45"/>
        <v>0</v>
      </c>
      <c r="AZ59" s="32">
        <f t="shared" si="46"/>
        <v>144</v>
      </c>
      <c r="BA59" s="12">
        <f t="shared" si="47"/>
        <v>144</v>
      </c>
      <c r="BB59" s="10">
        <v>0</v>
      </c>
      <c r="BC59" s="10">
        <v>0</v>
      </c>
      <c r="BD59" s="12">
        <f t="shared" si="48"/>
        <v>0</v>
      </c>
      <c r="BE59" s="12">
        <f t="shared" si="49"/>
        <v>0</v>
      </c>
      <c r="BF59" s="31" t="s">
        <v>234</v>
      </c>
      <c r="BG59" s="12">
        <f t="shared" si="83"/>
        <v>144</v>
      </c>
      <c r="BH59" s="10">
        <v>0</v>
      </c>
      <c r="BI59" s="10">
        <v>0</v>
      </c>
      <c r="BJ59" s="12">
        <f t="shared" si="84"/>
        <v>0</v>
      </c>
      <c r="BK59" s="12">
        <f t="shared" si="85"/>
        <v>0</v>
      </c>
      <c r="BL59" s="31" t="s">
        <v>234</v>
      </c>
      <c r="BM59" s="12">
        <f t="shared" si="86"/>
        <v>144</v>
      </c>
      <c r="BN59" s="10">
        <v>0</v>
      </c>
      <c r="BO59" s="10">
        <v>0</v>
      </c>
      <c r="BP59" s="12">
        <f t="shared" si="87"/>
        <v>0</v>
      </c>
      <c r="BQ59" s="12">
        <f t="shared" si="88"/>
        <v>0</v>
      </c>
      <c r="BR59" s="31" t="s">
        <v>234</v>
      </c>
      <c r="BS59" s="12">
        <f t="shared" si="89"/>
        <v>144</v>
      </c>
      <c r="BT59" s="10">
        <v>0</v>
      </c>
      <c r="BU59" s="10">
        <v>0</v>
      </c>
      <c r="BV59" s="12">
        <f t="shared" si="90"/>
        <v>0</v>
      </c>
      <c r="BW59" s="12">
        <f t="shared" si="91"/>
        <v>0</v>
      </c>
      <c r="BX59" s="31" t="s">
        <v>234</v>
      </c>
      <c r="BY59" s="12">
        <f t="shared" si="92"/>
        <v>144</v>
      </c>
      <c r="BZ59" s="10">
        <v>0</v>
      </c>
      <c r="CA59" s="10">
        <v>0</v>
      </c>
      <c r="CB59" s="12">
        <f t="shared" si="93"/>
        <v>0</v>
      </c>
      <c r="CC59" s="12">
        <f t="shared" si="94"/>
        <v>0</v>
      </c>
      <c r="CD59" s="31" t="s">
        <v>234</v>
      </c>
      <c r="CE59" s="12">
        <f t="shared" si="95"/>
        <v>144</v>
      </c>
    </row>
    <row r="60" spans="1:83" ht="80.25" customHeight="1">
      <c r="A60" s="148" t="s">
        <v>235</v>
      </c>
      <c r="B60" s="148" t="s">
        <v>236</v>
      </c>
      <c r="C60" s="151" t="s">
        <v>237</v>
      </c>
      <c r="D60" s="151" t="s">
        <v>41</v>
      </c>
      <c r="E60" s="154"/>
      <c r="F60" s="154"/>
      <c r="G60" s="154"/>
      <c r="H60" s="170">
        <v>1</v>
      </c>
      <c r="I60" s="159">
        <v>1</v>
      </c>
      <c r="J60" s="56">
        <v>0</v>
      </c>
      <c r="K60" s="12">
        <f t="shared" si="98"/>
        <v>0</v>
      </c>
      <c r="L60" s="10">
        <v>0</v>
      </c>
      <c r="M60" s="10">
        <v>0</v>
      </c>
      <c r="N60" s="33">
        <f t="shared" si="99"/>
        <v>0</v>
      </c>
      <c r="O60" s="33">
        <f t="shared" si="100"/>
        <v>0</v>
      </c>
      <c r="P60" s="56">
        <v>0</v>
      </c>
      <c r="Q60" s="33">
        <f t="shared" si="101"/>
        <v>0</v>
      </c>
      <c r="R60" s="56">
        <v>0</v>
      </c>
      <c r="S60" s="56">
        <v>0</v>
      </c>
      <c r="T60" s="33">
        <f t="shared" si="102"/>
        <v>0</v>
      </c>
      <c r="U60" s="33">
        <f t="shared" si="103"/>
        <v>0</v>
      </c>
      <c r="V60" s="56">
        <v>0</v>
      </c>
      <c r="W60" s="33">
        <f t="shared" si="104"/>
        <v>0</v>
      </c>
      <c r="X60" s="56">
        <v>0</v>
      </c>
      <c r="Y60" s="56">
        <v>0</v>
      </c>
      <c r="Z60" s="33">
        <f t="shared" si="105"/>
        <v>0</v>
      </c>
      <c r="AA60" s="33">
        <f t="shared" si="106"/>
        <v>0</v>
      </c>
      <c r="AB60" s="80">
        <v>1</v>
      </c>
      <c r="AC60" s="117">
        <f t="shared" si="31"/>
        <v>1</v>
      </c>
      <c r="AD60" s="10">
        <v>0</v>
      </c>
      <c r="AE60" s="10">
        <v>0</v>
      </c>
      <c r="AF60" s="117">
        <f t="shared" si="32"/>
        <v>0</v>
      </c>
      <c r="AG60" s="118">
        <f t="shared" si="33"/>
        <v>0</v>
      </c>
      <c r="AH60" s="80">
        <f t="shared" si="34"/>
        <v>1</v>
      </c>
      <c r="AI60" s="112">
        <f t="shared" si="107"/>
        <v>1</v>
      </c>
      <c r="AJ60" s="111">
        <v>0</v>
      </c>
      <c r="AK60" s="111">
        <v>0</v>
      </c>
      <c r="AL60" s="112">
        <f t="shared" ca="1" si="96"/>
        <v>0</v>
      </c>
      <c r="AM60" s="112">
        <f t="shared" si="97"/>
        <v>0</v>
      </c>
      <c r="AN60" s="80">
        <f t="shared" si="38"/>
        <v>1</v>
      </c>
      <c r="AO60" s="12">
        <f t="shared" si="39"/>
        <v>1</v>
      </c>
      <c r="AP60" s="10">
        <v>0</v>
      </c>
      <c r="AQ60" s="10">
        <v>0</v>
      </c>
      <c r="AR60" s="12">
        <f t="shared" si="40"/>
        <v>0</v>
      </c>
      <c r="AS60" s="12">
        <f t="shared" si="41"/>
        <v>0</v>
      </c>
      <c r="AT60" s="13">
        <f t="shared" si="42"/>
        <v>1</v>
      </c>
      <c r="AU60" s="12">
        <f t="shared" si="43"/>
        <v>1</v>
      </c>
      <c r="AV60" s="10">
        <v>0</v>
      </c>
      <c r="AW60" s="10">
        <v>0</v>
      </c>
      <c r="AX60" s="12">
        <f t="shared" si="44"/>
        <v>0</v>
      </c>
      <c r="AY60" s="12">
        <f t="shared" si="45"/>
        <v>0</v>
      </c>
      <c r="AZ60" s="32">
        <f t="shared" si="46"/>
        <v>1</v>
      </c>
      <c r="BA60" s="12">
        <f t="shared" si="47"/>
        <v>1</v>
      </c>
      <c r="BB60" s="10">
        <v>0</v>
      </c>
      <c r="BC60" s="10">
        <v>0</v>
      </c>
      <c r="BD60" s="12">
        <f t="shared" si="48"/>
        <v>0</v>
      </c>
      <c r="BE60" s="12">
        <f t="shared" si="49"/>
        <v>0</v>
      </c>
      <c r="BF60" s="31" t="s">
        <v>33</v>
      </c>
      <c r="BG60" s="12">
        <f t="shared" si="83"/>
        <v>1</v>
      </c>
      <c r="BH60" s="10">
        <v>0</v>
      </c>
      <c r="BI60" s="10">
        <v>0</v>
      </c>
      <c r="BJ60" s="12">
        <f t="shared" si="84"/>
        <v>0</v>
      </c>
      <c r="BK60" s="12">
        <f t="shared" si="85"/>
        <v>0</v>
      </c>
      <c r="BL60" s="31" t="s">
        <v>33</v>
      </c>
      <c r="BM60" s="12">
        <f t="shared" si="86"/>
        <v>1</v>
      </c>
      <c r="BN60" s="10">
        <v>0</v>
      </c>
      <c r="BO60" s="10">
        <v>0</v>
      </c>
      <c r="BP60" s="12">
        <f t="shared" si="87"/>
        <v>0</v>
      </c>
      <c r="BQ60" s="12">
        <f t="shared" si="88"/>
        <v>0</v>
      </c>
      <c r="BR60" s="31" t="s">
        <v>33</v>
      </c>
      <c r="BS60" s="12">
        <f t="shared" si="89"/>
        <v>1</v>
      </c>
      <c r="BT60" s="10">
        <v>0</v>
      </c>
      <c r="BU60" s="10">
        <v>0</v>
      </c>
      <c r="BV60" s="12">
        <f t="shared" si="90"/>
        <v>0</v>
      </c>
      <c r="BW60" s="12">
        <f t="shared" si="91"/>
        <v>0</v>
      </c>
      <c r="BX60" s="31" t="s">
        <v>33</v>
      </c>
      <c r="BY60" s="12">
        <f t="shared" si="92"/>
        <v>1</v>
      </c>
      <c r="BZ60" s="10">
        <v>0</v>
      </c>
      <c r="CA60" s="10">
        <v>0</v>
      </c>
      <c r="CB60" s="12">
        <f t="shared" si="93"/>
        <v>0</v>
      </c>
      <c r="CC60" s="12">
        <f t="shared" si="94"/>
        <v>0</v>
      </c>
      <c r="CD60" s="31" t="s">
        <v>33</v>
      </c>
      <c r="CE60" s="12">
        <f t="shared" si="95"/>
        <v>1</v>
      </c>
    </row>
    <row r="61" spans="1:83" ht="80.25" customHeight="1">
      <c r="A61" s="148" t="s">
        <v>238</v>
      </c>
      <c r="B61" s="148" t="s">
        <v>239</v>
      </c>
      <c r="C61" s="151" t="s">
        <v>240</v>
      </c>
      <c r="D61" s="151" t="s">
        <v>68</v>
      </c>
      <c r="E61" s="154"/>
      <c r="F61" s="154"/>
      <c r="G61" s="154"/>
      <c r="H61" s="170">
        <v>105</v>
      </c>
      <c r="I61" s="159">
        <v>22</v>
      </c>
      <c r="J61" s="56">
        <v>0</v>
      </c>
      <c r="K61" s="12">
        <f t="shared" si="98"/>
        <v>0</v>
      </c>
      <c r="L61" s="10">
        <v>0</v>
      </c>
      <c r="M61" s="10">
        <v>0</v>
      </c>
      <c r="N61" s="33">
        <f t="shared" si="99"/>
        <v>0</v>
      </c>
      <c r="O61" s="33">
        <f t="shared" si="100"/>
        <v>0</v>
      </c>
      <c r="P61" s="56">
        <v>0</v>
      </c>
      <c r="Q61" s="33">
        <f t="shared" si="101"/>
        <v>0</v>
      </c>
      <c r="R61" s="56">
        <v>0</v>
      </c>
      <c r="S61" s="56">
        <v>0</v>
      </c>
      <c r="T61" s="33">
        <f t="shared" si="102"/>
        <v>0</v>
      </c>
      <c r="U61" s="33">
        <f t="shared" si="103"/>
        <v>0</v>
      </c>
      <c r="V61" s="56">
        <v>0</v>
      </c>
      <c r="W61" s="33">
        <f t="shared" si="104"/>
        <v>0</v>
      </c>
      <c r="X61" s="56">
        <v>0</v>
      </c>
      <c r="Y61" s="56">
        <v>0</v>
      </c>
      <c r="Z61" s="33">
        <f t="shared" si="105"/>
        <v>0</v>
      </c>
      <c r="AA61" s="33">
        <f t="shared" si="106"/>
        <v>0</v>
      </c>
      <c r="AB61" s="80">
        <v>105</v>
      </c>
      <c r="AC61" s="117">
        <f t="shared" si="31"/>
        <v>2310</v>
      </c>
      <c r="AD61" s="10">
        <v>0</v>
      </c>
      <c r="AE61" s="10">
        <v>0</v>
      </c>
      <c r="AF61" s="117">
        <f t="shared" si="32"/>
        <v>0</v>
      </c>
      <c r="AG61" s="118">
        <f t="shared" si="33"/>
        <v>0</v>
      </c>
      <c r="AH61" s="80">
        <f t="shared" si="34"/>
        <v>105</v>
      </c>
      <c r="AI61" s="112">
        <f t="shared" si="107"/>
        <v>2310</v>
      </c>
      <c r="AJ61" s="111">
        <v>0</v>
      </c>
      <c r="AK61" s="111">
        <v>0</v>
      </c>
      <c r="AL61" s="112">
        <f t="shared" ca="1" si="96"/>
        <v>0</v>
      </c>
      <c r="AM61" s="112">
        <f t="shared" si="97"/>
        <v>0</v>
      </c>
      <c r="AN61" s="80">
        <f t="shared" si="38"/>
        <v>105</v>
      </c>
      <c r="AO61" s="12">
        <f t="shared" si="39"/>
        <v>2310</v>
      </c>
      <c r="AP61" s="10">
        <v>0</v>
      </c>
      <c r="AQ61" s="10">
        <v>0</v>
      </c>
      <c r="AR61" s="12">
        <f t="shared" si="40"/>
        <v>0</v>
      </c>
      <c r="AS61" s="12">
        <f t="shared" si="41"/>
        <v>0</v>
      </c>
      <c r="AT61" s="13">
        <f t="shared" si="42"/>
        <v>105</v>
      </c>
      <c r="AU61" s="12">
        <f t="shared" si="43"/>
        <v>2310</v>
      </c>
      <c r="AV61" s="10">
        <v>0</v>
      </c>
      <c r="AW61" s="10">
        <v>0</v>
      </c>
      <c r="AX61" s="12">
        <f t="shared" si="44"/>
        <v>0</v>
      </c>
      <c r="AY61" s="12">
        <f t="shared" si="45"/>
        <v>0</v>
      </c>
      <c r="AZ61" s="32">
        <f t="shared" si="46"/>
        <v>105</v>
      </c>
      <c r="BA61" s="12">
        <f t="shared" si="47"/>
        <v>2310</v>
      </c>
      <c r="BB61" s="10">
        <v>0</v>
      </c>
      <c r="BC61" s="10">
        <v>0</v>
      </c>
      <c r="BD61" s="12">
        <f t="shared" si="48"/>
        <v>0</v>
      </c>
      <c r="BE61" s="12">
        <f t="shared" si="49"/>
        <v>0</v>
      </c>
      <c r="BF61" s="18" t="s">
        <v>115</v>
      </c>
      <c r="BG61" s="12">
        <f t="shared" si="83"/>
        <v>2310</v>
      </c>
      <c r="BH61" s="10">
        <v>0</v>
      </c>
      <c r="BI61" s="10">
        <v>0</v>
      </c>
      <c r="BJ61" s="12">
        <f t="shared" si="84"/>
        <v>0</v>
      </c>
      <c r="BK61" s="12">
        <f t="shared" si="85"/>
        <v>0</v>
      </c>
      <c r="BL61" s="18" t="s">
        <v>115</v>
      </c>
      <c r="BM61" s="12">
        <f t="shared" si="86"/>
        <v>2310</v>
      </c>
      <c r="BN61" s="10">
        <v>0</v>
      </c>
      <c r="BO61" s="10">
        <v>0</v>
      </c>
      <c r="BP61" s="12">
        <f t="shared" si="87"/>
        <v>0</v>
      </c>
      <c r="BQ61" s="12">
        <f t="shared" si="88"/>
        <v>0</v>
      </c>
      <c r="BR61" s="18" t="s">
        <v>115</v>
      </c>
      <c r="BS61" s="12">
        <f t="shared" si="89"/>
        <v>2310</v>
      </c>
      <c r="BT61" s="10">
        <v>0</v>
      </c>
      <c r="BU61" s="10">
        <v>0</v>
      </c>
      <c r="BV61" s="12">
        <f t="shared" si="90"/>
        <v>0</v>
      </c>
      <c r="BW61" s="12">
        <f t="shared" si="91"/>
        <v>0</v>
      </c>
      <c r="BX61" s="18" t="s">
        <v>115</v>
      </c>
      <c r="BY61" s="12">
        <f t="shared" si="92"/>
        <v>2310</v>
      </c>
      <c r="BZ61" s="10">
        <v>0</v>
      </c>
      <c r="CA61" s="10">
        <v>0</v>
      </c>
      <c r="CB61" s="12">
        <f t="shared" si="93"/>
        <v>0</v>
      </c>
      <c r="CC61" s="12">
        <f t="shared" si="94"/>
        <v>0</v>
      </c>
      <c r="CD61" s="18" t="s">
        <v>115</v>
      </c>
      <c r="CE61" s="12">
        <f t="shared" si="95"/>
        <v>2310</v>
      </c>
    </row>
    <row r="62" spans="1:83" ht="80.25" customHeight="1">
      <c r="A62" s="148" t="s">
        <v>241</v>
      </c>
      <c r="B62" s="148" t="s">
        <v>242</v>
      </c>
      <c r="C62" s="151" t="s">
        <v>243</v>
      </c>
      <c r="D62" s="151" t="s">
        <v>68</v>
      </c>
      <c r="E62" s="154"/>
      <c r="F62" s="154"/>
      <c r="G62" s="154"/>
      <c r="H62" s="170">
        <v>87</v>
      </c>
      <c r="I62" s="159">
        <v>85</v>
      </c>
      <c r="J62" s="56">
        <v>0</v>
      </c>
      <c r="K62" s="12">
        <f t="shared" si="98"/>
        <v>0</v>
      </c>
      <c r="L62" s="10">
        <v>0</v>
      </c>
      <c r="M62" s="10">
        <v>0</v>
      </c>
      <c r="N62" s="33">
        <f t="shared" si="99"/>
        <v>0</v>
      </c>
      <c r="O62" s="33">
        <f t="shared" si="100"/>
        <v>0</v>
      </c>
      <c r="P62" s="56">
        <v>0</v>
      </c>
      <c r="Q62" s="33">
        <f t="shared" si="101"/>
        <v>0</v>
      </c>
      <c r="R62" s="56">
        <v>0</v>
      </c>
      <c r="S62" s="56">
        <v>0</v>
      </c>
      <c r="T62" s="33">
        <f t="shared" si="102"/>
        <v>0</v>
      </c>
      <c r="U62" s="33">
        <f t="shared" si="103"/>
        <v>0</v>
      </c>
      <c r="V62" s="56">
        <v>0</v>
      </c>
      <c r="W62" s="33">
        <f t="shared" si="104"/>
        <v>0</v>
      </c>
      <c r="X62" s="56">
        <v>0</v>
      </c>
      <c r="Y62" s="56">
        <v>0</v>
      </c>
      <c r="Z62" s="33">
        <f t="shared" si="105"/>
        <v>0</v>
      </c>
      <c r="AA62" s="33">
        <f t="shared" si="106"/>
        <v>0</v>
      </c>
      <c r="AB62" s="80">
        <v>87</v>
      </c>
      <c r="AC62" s="117">
        <f t="shared" si="31"/>
        <v>7395</v>
      </c>
      <c r="AD62" s="10">
        <v>0</v>
      </c>
      <c r="AE62" s="10">
        <v>0</v>
      </c>
      <c r="AF62" s="117">
        <f t="shared" si="32"/>
        <v>0</v>
      </c>
      <c r="AG62" s="118">
        <f t="shared" si="33"/>
        <v>0</v>
      </c>
      <c r="AH62" s="80">
        <f t="shared" si="34"/>
        <v>87</v>
      </c>
      <c r="AI62" s="112">
        <f t="shared" si="107"/>
        <v>7395</v>
      </c>
      <c r="AJ62" s="111">
        <v>0</v>
      </c>
      <c r="AK62" s="111">
        <v>0</v>
      </c>
      <c r="AL62" s="112">
        <f t="shared" ca="1" si="96"/>
        <v>0</v>
      </c>
      <c r="AM62" s="112">
        <f t="shared" si="97"/>
        <v>0</v>
      </c>
      <c r="AN62" s="80">
        <f t="shared" si="38"/>
        <v>87</v>
      </c>
      <c r="AO62" s="12">
        <f t="shared" si="39"/>
        <v>7395</v>
      </c>
      <c r="AP62" s="10">
        <v>0</v>
      </c>
      <c r="AQ62" s="10">
        <v>0</v>
      </c>
      <c r="AR62" s="12">
        <f t="shared" si="40"/>
        <v>0</v>
      </c>
      <c r="AS62" s="12">
        <f t="shared" si="41"/>
        <v>0</v>
      </c>
      <c r="AT62" s="13">
        <f t="shared" si="42"/>
        <v>87</v>
      </c>
      <c r="AU62" s="12">
        <f t="shared" si="43"/>
        <v>7395</v>
      </c>
      <c r="AV62" s="10">
        <v>0</v>
      </c>
      <c r="AW62" s="10">
        <v>0</v>
      </c>
      <c r="AX62" s="12">
        <f t="shared" si="44"/>
        <v>0</v>
      </c>
      <c r="AY62" s="12">
        <f t="shared" si="45"/>
        <v>0</v>
      </c>
      <c r="AZ62" s="32">
        <f t="shared" si="46"/>
        <v>87</v>
      </c>
      <c r="BA62" s="12">
        <f t="shared" si="47"/>
        <v>7395</v>
      </c>
      <c r="BB62" s="10">
        <v>0</v>
      </c>
      <c r="BC62" s="10">
        <v>0</v>
      </c>
      <c r="BD62" s="12">
        <f t="shared" si="48"/>
        <v>0</v>
      </c>
      <c r="BE62" s="12">
        <f t="shared" si="49"/>
        <v>0</v>
      </c>
      <c r="BF62" s="18" t="s">
        <v>244</v>
      </c>
      <c r="BG62" s="12">
        <f t="shared" si="83"/>
        <v>7395</v>
      </c>
      <c r="BH62" s="10">
        <v>0</v>
      </c>
      <c r="BI62" s="10">
        <v>0</v>
      </c>
      <c r="BJ62" s="12">
        <f t="shared" si="84"/>
        <v>0</v>
      </c>
      <c r="BK62" s="12">
        <f t="shared" si="85"/>
        <v>0</v>
      </c>
      <c r="BL62" s="18" t="s">
        <v>244</v>
      </c>
      <c r="BM62" s="12">
        <f t="shared" si="86"/>
        <v>7395</v>
      </c>
      <c r="BN62" s="10">
        <v>0</v>
      </c>
      <c r="BO62" s="10">
        <v>0</v>
      </c>
      <c r="BP62" s="12">
        <f t="shared" si="87"/>
        <v>0</v>
      </c>
      <c r="BQ62" s="12">
        <f t="shared" si="88"/>
        <v>0</v>
      </c>
      <c r="BR62" s="18" t="s">
        <v>244</v>
      </c>
      <c r="BS62" s="12">
        <f t="shared" si="89"/>
        <v>7395</v>
      </c>
      <c r="BT62" s="10">
        <v>0</v>
      </c>
      <c r="BU62" s="10">
        <v>0</v>
      </c>
      <c r="BV62" s="12">
        <f t="shared" si="90"/>
        <v>0</v>
      </c>
      <c r="BW62" s="12">
        <f t="shared" si="91"/>
        <v>0</v>
      </c>
      <c r="BX62" s="18" t="s">
        <v>244</v>
      </c>
      <c r="BY62" s="12">
        <f t="shared" si="92"/>
        <v>7395</v>
      </c>
      <c r="BZ62" s="10">
        <v>0</v>
      </c>
      <c r="CA62" s="10">
        <v>0</v>
      </c>
      <c r="CB62" s="12">
        <f t="shared" si="93"/>
        <v>0</v>
      </c>
      <c r="CC62" s="12">
        <f t="shared" si="94"/>
        <v>0</v>
      </c>
      <c r="CD62" s="18" t="s">
        <v>244</v>
      </c>
      <c r="CE62" s="12">
        <f t="shared" si="95"/>
        <v>7395</v>
      </c>
    </row>
    <row r="63" spans="1:83" ht="80.25" customHeight="1">
      <c r="A63" s="148" t="s">
        <v>245</v>
      </c>
      <c r="B63" s="148" t="s">
        <v>246</v>
      </c>
      <c r="C63" s="151" t="s">
        <v>247</v>
      </c>
      <c r="D63" s="151" t="s">
        <v>110</v>
      </c>
      <c r="E63" s="154"/>
      <c r="F63" s="154"/>
      <c r="G63" s="154"/>
      <c r="H63" s="170">
        <v>5</v>
      </c>
      <c r="I63" s="159">
        <v>1</v>
      </c>
      <c r="J63" s="56">
        <v>0</v>
      </c>
      <c r="K63" s="12">
        <f t="shared" si="98"/>
        <v>0</v>
      </c>
      <c r="L63" s="10">
        <v>0</v>
      </c>
      <c r="M63" s="10">
        <v>0</v>
      </c>
      <c r="N63" s="33">
        <f t="shared" si="99"/>
        <v>0</v>
      </c>
      <c r="O63" s="33">
        <f t="shared" si="100"/>
        <v>0</v>
      </c>
      <c r="P63" s="56">
        <v>0</v>
      </c>
      <c r="Q63" s="33">
        <f t="shared" si="101"/>
        <v>0</v>
      </c>
      <c r="R63" s="56">
        <v>0</v>
      </c>
      <c r="S63" s="56">
        <v>0</v>
      </c>
      <c r="T63" s="33">
        <f t="shared" si="102"/>
        <v>0</v>
      </c>
      <c r="U63" s="33">
        <f t="shared" si="103"/>
        <v>0</v>
      </c>
      <c r="V63" s="56">
        <v>0</v>
      </c>
      <c r="W63" s="33">
        <f t="shared" si="104"/>
        <v>0</v>
      </c>
      <c r="X63" s="56">
        <v>0</v>
      </c>
      <c r="Y63" s="56">
        <v>0</v>
      </c>
      <c r="Z63" s="33">
        <f t="shared" si="105"/>
        <v>0</v>
      </c>
      <c r="AA63" s="33">
        <f t="shared" si="106"/>
        <v>0</v>
      </c>
      <c r="AB63" s="80">
        <v>5</v>
      </c>
      <c r="AC63" s="117">
        <f t="shared" si="31"/>
        <v>5</v>
      </c>
      <c r="AD63" s="10">
        <v>0</v>
      </c>
      <c r="AE63" s="10">
        <v>0</v>
      </c>
      <c r="AF63" s="117">
        <f t="shared" si="32"/>
        <v>0</v>
      </c>
      <c r="AG63" s="118">
        <f t="shared" si="33"/>
        <v>0</v>
      </c>
      <c r="AH63" s="80">
        <f t="shared" si="34"/>
        <v>5</v>
      </c>
      <c r="AI63" s="112">
        <f t="shared" si="107"/>
        <v>5</v>
      </c>
      <c r="AJ63" s="111">
        <v>0</v>
      </c>
      <c r="AK63" s="111">
        <v>0</v>
      </c>
      <c r="AL63" s="112">
        <f t="shared" ca="1" si="96"/>
        <v>0</v>
      </c>
      <c r="AM63" s="112">
        <f t="shared" si="97"/>
        <v>0</v>
      </c>
      <c r="AN63" s="80">
        <f t="shared" si="38"/>
        <v>5</v>
      </c>
      <c r="AO63" s="12">
        <f t="shared" si="39"/>
        <v>5</v>
      </c>
      <c r="AP63" s="10">
        <v>0</v>
      </c>
      <c r="AQ63" s="10">
        <v>0</v>
      </c>
      <c r="AR63" s="12">
        <f t="shared" si="40"/>
        <v>0</v>
      </c>
      <c r="AS63" s="12">
        <f t="shared" si="41"/>
        <v>0</v>
      </c>
      <c r="AT63" s="13">
        <f t="shared" si="42"/>
        <v>5</v>
      </c>
      <c r="AU63" s="12">
        <f t="shared" si="43"/>
        <v>5</v>
      </c>
      <c r="AV63" s="10">
        <v>0</v>
      </c>
      <c r="AW63" s="10">
        <v>0</v>
      </c>
      <c r="AX63" s="12">
        <f t="shared" si="44"/>
        <v>0</v>
      </c>
      <c r="AY63" s="12">
        <f t="shared" si="45"/>
        <v>0</v>
      </c>
      <c r="AZ63" s="32">
        <f t="shared" si="46"/>
        <v>5</v>
      </c>
      <c r="BA63" s="12">
        <f t="shared" si="47"/>
        <v>5</v>
      </c>
      <c r="BB63" s="10">
        <v>0</v>
      </c>
      <c r="BC63" s="10">
        <v>0</v>
      </c>
      <c r="BD63" s="12">
        <f t="shared" si="48"/>
        <v>0</v>
      </c>
      <c r="BE63" s="12">
        <f t="shared" si="49"/>
        <v>0</v>
      </c>
      <c r="BF63" s="31" t="s">
        <v>51</v>
      </c>
      <c r="BG63" s="12">
        <f t="shared" si="83"/>
        <v>5</v>
      </c>
      <c r="BH63" s="10">
        <v>0</v>
      </c>
      <c r="BI63" s="10">
        <v>0</v>
      </c>
      <c r="BJ63" s="12">
        <f t="shared" si="84"/>
        <v>0</v>
      </c>
      <c r="BK63" s="12">
        <f t="shared" si="85"/>
        <v>0</v>
      </c>
      <c r="BL63" s="31" t="s">
        <v>51</v>
      </c>
      <c r="BM63" s="12">
        <f t="shared" si="86"/>
        <v>5</v>
      </c>
      <c r="BN63" s="10">
        <v>0</v>
      </c>
      <c r="BO63" s="10">
        <v>0</v>
      </c>
      <c r="BP63" s="12">
        <f t="shared" si="87"/>
        <v>0</v>
      </c>
      <c r="BQ63" s="12">
        <f t="shared" si="88"/>
        <v>0</v>
      </c>
      <c r="BR63" s="31" t="s">
        <v>51</v>
      </c>
      <c r="BS63" s="12">
        <f t="shared" si="89"/>
        <v>5</v>
      </c>
      <c r="BT63" s="10">
        <v>0</v>
      </c>
      <c r="BU63" s="10">
        <v>0</v>
      </c>
      <c r="BV63" s="12">
        <f t="shared" si="90"/>
        <v>0</v>
      </c>
      <c r="BW63" s="12">
        <f t="shared" si="91"/>
        <v>0</v>
      </c>
      <c r="BX63" s="31" t="s">
        <v>51</v>
      </c>
      <c r="BY63" s="12">
        <f t="shared" si="92"/>
        <v>5</v>
      </c>
      <c r="BZ63" s="10">
        <v>0</v>
      </c>
      <c r="CA63" s="10">
        <v>0</v>
      </c>
      <c r="CB63" s="12">
        <f t="shared" si="93"/>
        <v>0</v>
      </c>
      <c r="CC63" s="12">
        <f t="shared" si="94"/>
        <v>0</v>
      </c>
      <c r="CD63" s="31" t="s">
        <v>51</v>
      </c>
      <c r="CE63" s="12">
        <f t="shared" si="95"/>
        <v>5</v>
      </c>
    </row>
    <row r="64" spans="1:83" ht="80.25" customHeight="1">
      <c r="A64" s="148" t="s">
        <v>248</v>
      </c>
      <c r="B64" s="148" t="s">
        <v>249</v>
      </c>
      <c r="C64" s="151" t="s">
        <v>250</v>
      </c>
      <c r="D64" s="151" t="s">
        <v>36</v>
      </c>
      <c r="E64" s="154"/>
      <c r="F64" s="154"/>
      <c r="G64" s="154"/>
      <c r="H64" s="170">
        <v>104</v>
      </c>
      <c r="I64" s="159">
        <v>1</v>
      </c>
      <c r="J64" s="56">
        <v>0</v>
      </c>
      <c r="K64" s="12">
        <f t="shared" si="98"/>
        <v>0</v>
      </c>
      <c r="L64" s="10">
        <v>0</v>
      </c>
      <c r="M64" s="10">
        <v>0</v>
      </c>
      <c r="N64" s="33">
        <f t="shared" si="99"/>
        <v>0</v>
      </c>
      <c r="O64" s="33">
        <f t="shared" si="100"/>
        <v>0</v>
      </c>
      <c r="P64" s="56">
        <v>0</v>
      </c>
      <c r="Q64" s="33">
        <f t="shared" si="101"/>
        <v>0</v>
      </c>
      <c r="R64" s="56">
        <v>0</v>
      </c>
      <c r="S64" s="56">
        <v>0</v>
      </c>
      <c r="T64" s="33">
        <f t="shared" si="102"/>
        <v>0</v>
      </c>
      <c r="U64" s="33">
        <f t="shared" si="103"/>
        <v>0</v>
      </c>
      <c r="V64" s="56">
        <v>0</v>
      </c>
      <c r="W64" s="33">
        <f t="shared" si="104"/>
        <v>0</v>
      </c>
      <c r="X64" s="56">
        <v>0</v>
      </c>
      <c r="Y64" s="56">
        <v>0</v>
      </c>
      <c r="Z64" s="33">
        <f t="shared" si="105"/>
        <v>0</v>
      </c>
      <c r="AA64" s="33">
        <f t="shared" si="106"/>
        <v>0</v>
      </c>
      <c r="AB64" s="80">
        <v>104</v>
      </c>
      <c r="AC64" s="117">
        <f t="shared" si="31"/>
        <v>104</v>
      </c>
      <c r="AD64" s="10">
        <v>0</v>
      </c>
      <c r="AE64" s="10">
        <v>0</v>
      </c>
      <c r="AF64" s="117">
        <f t="shared" si="32"/>
        <v>0</v>
      </c>
      <c r="AG64" s="118">
        <f t="shared" si="33"/>
        <v>0</v>
      </c>
      <c r="AH64" s="80">
        <f t="shared" si="34"/>
        <v>104</v>
      </c>
      <c r="AI64" s="112">
        <f t="shared" si="107"/>
        <v>104</v>
      </c>
      <c r="AJ64" s="111">
        <v>0</v>
      </c>
      <c r="AK64" s="111">
        <v>0</v>
      </c>
      <c r="AL64" s="112">
        <f t="shared" ca="1" si="96"/>
        <v>0</v>
      </c>
      <c r="AM64" s="112">
        <f t="shared" si="97"/>
        <v>0</v>
      </c>
      <c r="AN64" s="80">
        <f t="shared" si="38"/>
        <v>104</v>
      </c>
      <c r="AO64" s="12">
        <f t="shared" si="39"/>
        <v>104</v>
      </c>
      <c r="AP64" s="10">
        <v>0</v>
      </c>
      <c r="AQ64" s="10">
        <v>0</v>
      </c>
      <c r="AR64" s="12">
        <f t="shared" si="40"/>
        <v>0</v>
      </c>
      <c r="AS64" s="12">
        <f t="shared" si="41"/>
        <v>0</v>
      </c>
      <c r="AT64" s="13">
        <f t="shared" si="42"/>
        <v>104</v>
      </c>
      <c r="AU64" s="12">
        <f t="shared" si="43"/>
        <v>104</v>
      </c>
      <c r="AV64" s="10">
        <v>0</v>
      </c>
      <c r="AW64" s="10">
        <v>0</v>
      </c>
      <c r="AX64" s="12">
        <f t="shared" si="44"/>
        <v>0</v>
      </c>
      <c r="AY64" s="12">
        <f t="shared" si="45"/>
        <v>0</v>
      </c>
      <c r="AZ64" s="32">
        <f t="shared" si="46"/>
        <v>104</v>
      </c>
      <c r="BA64" s="12">
        <f t="shared" si="47"/>
        <v>104</v>
      </c>
      <c r="BB64" s="10">
        <v>0</v>
      </c>
      <c r="BC64" s="10">
        <v>0</v>
      </c>
      <c r="BD64" s="12">
        <f t="shared" si="48"/>
        <v>0</v>
      </c>
      <c r="BE64" s="12">
        <f t="shared" si="49"/>
        <v>0</v>
      </c>
      <c r="BF64" s="31" t="s">
        <v>251</v>
      </c>
      <c r="BG64" s="12">
        <f t="shared" si="83"/>
        <v>104</v>
      </c>
      <c r="BH64" s="10">
        <v>0</v>
      </c>
      <c r="BI64" s="10">
        <v>0</v>
      </c>
      <c r="BJ64" s="12">
        <f t="shared" si="84"/>
        <v>0</v>
      </c>
      <c r="BK64" s="12">
        <f t="shared" si="85"/>
        <v>0</v>
      </c>
      <c r="BL64" s="31" t="s">
        <v>251</v>
      </c>
      <c r="BM64" s="12">
        <f t="shared" si="86"/>
        <v>104</v>
      </c>
      <c r="BN64" s="10">
        <v>0</v>
      </c>
      <c r="BO64" s="10">
        <v>0</v>
      </c>
      <c r="BP64" s="12">
        <f t="shared" si="87"/>
        <v>0</v>
      </c>
      <c r="BQ64" s="12">
        <f t="shared" si="88"/>
        <v>0</v>
      </c>
      <c r="BR64" s="31" t="s">
        <v>251</v>
      </c>
      <c r="BS64" s="12">
        <f t="shared" si="89"/>
        <v>104</v>
      </c>
      <c r="BT64" s="10">
        <v>0</v>
      </c>
      <c r="BU64" s="10">
        <v>0</v>
      </c>
      <c r="BV64" s="12">
        <f t="shared" si="90"/>
        <v>0</v>
      </c>
      <c r="BW64" s="12">
        <f t="shared" si="91"/>
        <v>0</v>
      </c>
      <c r="BX64" s="31" t="s">
        <v>251</v>
      </c>
      <c r="BY64" s="12">
        <f t="shared" si="92"/>
        <v>104</v>
      </c>
      <c r="BZ64" s="10">
        <v>0</v>
      </c>
      <c r="CA64" s="10">
        <v>0</v>
      </c>
      <c r="CB64" s="12">
        <f t="shared" si="93"/>
        <v>0</v>
      </c>
      <c r="CC64" s="12">
        <f t="shared" si="94"/>
        <v>0</v>
      </c>
      <c r="CD64" s="31" t="s">
        <v>251</v>
      </c>
      <c r="CE64" s="12">
        <f t="shared" si="95"/>
        <v>104</v>
      </c>
    </row>
    <row r="65" spans="1:83" ht="80.25" customHeight="1">
      <c r="A65" s="148" t="s">
        <v>252</v>
      </c>
      <c r="B65" s="148" t="s">
        <v>253</v>
      </c>
      <c r="C65" s="151" t="s">
        <v>254</v>
      </c>
      <c r="D65" s="151" t="s">
        <v>36</v>
      </c>
      <c r="E65" s="154"/>
      <c r="F65" s="154"/>
      <c r="G65" s="154"/>
      <c r="H65" s="170">
        <v>111</v>
      </c>
      <c r="I65" s="159">
        <v>1</v>
      </c>
      <c r="J65" s="56">
        <v>0</v>
      </c>
      <c r="K65" s="12">
        <f t="shared" si="98"/>
        <v>0</v>
      </c>
      <c r="L65" s="10">
        <v>0</v>
      </c>
      <c r="M65" s="10">
        <v>0</v>
      </c>
      <c r="N65" s="33">
        <f t="shared" si="99"/>
        <v>0</v>
      </c>
      <c r="O65" s="33">
        <f t="shared" si="100"/>
        <v>0</v>
      </c>
      <c r="P65" s="56">
        <v>0</v>
      </c>
      <c r="Q65" s="33">
        <f t="shared" si="101"/>
        <v>0</v>
      </c>
      <c r="R65" s="56">
        <v>0</v>
      </c>
      <c r="S65" s="56">
        <v>0</v>
      </c>
      <c r="T65" s="33">
        <f t="shared" si="102"/>
        <v>0</v>
      </c>
      <c r="U65" s="33">
        <f t="shared" si="103"/>
        <v>0</v>
      </c>
      <c r="V65" s="56">
        <v>0</v>
      </c>
      <c r="W65" s="33">
        <f t="shared" si="104"/>
        <v>0</v>
      </c>
      <c r="X65" s="56">
        <v>0</v>
      </c>
      <c r="Y65" s="56">
        <v>0</v>
      </c>
      <c r="Z65" s="33">
        <f t="shared" si="105"/>
        <v>0</v>
      </c>
      <c r="AA65" s="33">
        <f t="shared" si="106"/>
        <v>0</v>
      </c>
      <c r="AB65" s="80">
        <v>111</v>
      </c>
      <c r="AC65" s="117">
        <f t="shared" si="31"/>
        <v>111</v>
      </c>
      <c r="AD65" s="10">
        <v>0</v>
      </c>
      <c r="AE65" s="10">
        <v>0</v>
      </c>
      <c r="AF65" s="117">
        <f t="shared" si="32"/>
        <v>0</v>
      </c>
      <c r="AG65" s="118">
        <f t="shared" si="33"/>
        <v>0</v>
      </c>
      <c r="AH65" s="80">
        <f t="shared" si="34"/>
        <v>111</v>
      </c>
      <c r="AI65" s="112">
        <f t="shared" si="107"/>
        <v>111</v>
      </c>
      <c r="AJ65" s="111">
        <v>0</v>
      </c>
      <c r="AK65" s="111">
        <v>0</v>
      </c>
      <c r="AL65" s="112">
        <f t="shared" ca="1" si="96"/>
        <v>0</v>
      </c>
      <c r="AM65" s="112">
        <f t="shared" si="97"/>
        <v>0</v>
      </c>
      <c r="AN65" s="80">
        <f t="shared" si="38"/>
        <v>111</v>
      </c>
      <c r="AO65" s="12">
        <f t="shared" si="39"/>
        <v>111</v>
      </c>
      <c r="AP65" s="10">
        <v>0</v>
      </c>
      <c r="AQ65" s="10">
        <v>0</v>
      </c>
      <c r="AR65" s="12">
        <f t="shared" si="40"/>
        <v>0</v>
      </c>
      <c r="AS65" s="12">
        <f t="shared" si="41"/>
        <v>0</v>
      </c>
      <c r="AT65" s="13">
        <f t="shared" si="42"/>
        <v>111</v>
      </c>
      <c r="AU65" s="12">
        <f t="shared" si="43"/>
        <v>111</v>
      </c>
      <c r="AV65" s="10">
        <v>0</v>
      </c>
      <c r="AW65" s="10">
        <v>0</v>
      </c>
      <c r="AX65" s="12">
        <f t="shared" si="44"/>
        <v>0</v>
      </c>
      <c r="AY65" s="12">
        <f t="shared" si="45"/>
        <v>0</v>
      </c>
      <c r="AZ65" s="32">
        <f t="shared" si="46"/>
        <v>111</v>
      </c>
      <c r="BA65" s="12">
        <f t="shared" si="47"/>
        <v>111</v>
      </c>
      <c r="BB65" s="10">
        <v>0</v>
      </c>
      <c r="BC65" s="10">
        <v>0</v>
      </c>
      <c r="BD65" s="12">
        <f t="shared" si="48"/>
        <v>0</v>
      </c>
      <c r="BE65" s="12">
        <f t="shared" si="49"/>
        <v>0</v>
      </c>
      <c r="BF65" s="31" t="s">
        <v>255</v>
      </c>
      <c r="BG65" s="12">
        <f t="shared" si="83"/>
        <v>111</v>
      </c>
      <c r="BH65" s="10">
        <v>0</v>
      </c>
      <c r="BI65" s="10">
        <v>0</v>
      </c>
      <c r="BJ65" s="12">
        <f t="shared" si="84"/>
        <v>0</v>
      </c>
      <c r="BK65" s="12">
        <f t="shared" si="85"/>
        <v>0</v>
      </c>
      <c r="BL65" s="31" t="s">
        <v>255</v>
      </c>
      <c r="BM65" s="12">
        <f t="shared" si="86"/>
        <v>111</v>
      </c>
      <c r="BN65" s="10">
        <v>0</v>
      </c>
      <c r="BO65" s="10">
        <v>0</v>
      </c>
      <c r="BP65" s="12">
        <f t="shared" si="87"/>
        <v>0</v>
      </c>
      <c r="BQ65" s="12">
        <f t="shared" si="88"/>
        <v>0</v>
      </c>
      <c r="BR65" s="31" t="s">
        <v>255</v>
      </c>
      <c r="BS65" s="12">
        <f t="shared" si="89"/>
        <v>111</v>
      </c>
      <c r="BT65" s="10">
        <v>0</v>
      </c>
      <c r="BU65" s="10">
        <v>0</v>
      </c>
      <c r="BV65" s="12">
        <f t="shared" si="90"/>
        <v>0</v>
      </c>
      <c r="BW65" s="12">
        <f t="shared" si="91"/>
        <v>0</v>
      </c>
      <c r="BX65" s="31" t="s">
        <v>255</v>
      </c>
      <c r="BY65" s="12">
        <f t="shared" si="92"/>
        <v>111</v>
      </c>
      <c r="BZ65" s="10">
        <v>0</v>
      </c>
      <c r="CA65" s="10">
        <v>0</v>
      </c>
      <c r="CB65" s="12">
        <f t="shared" si="93"/>
        <v>0</v>
      </c>
      <c r="CC65" s="12">
        <f t="shared" si="94"/>
        <v>0</v>
      </c>
      <c r="CD65" s="31" t="s">
        <v>255</v>
      </c>
      <c r="CE65" s="12">
        <f t="shared" si="95"/>
        <v>111</v>
      </c>
    </row>
    <row r="66" spans="1:83" ht="80.25" customHeight="1">
      <c r="A66" s="148" t="s">
        <v>256</v>
      </c>
      <c r="B66" s="148" t="s">
        <v>257</v>
      </c>
      <c r="C66" s="151" t="s">
        <v>258</v>
      </c>
      <c r="D66" s="151" t="s">
        <v>58</v>
      </c>
      <c r="E66" s="154"/>
      <c r="F66" s="154"/>
      <c r="G66" s="154"/>
      <c r="H66" s="170">
        <v>71</v>
      </c>
      <c r="I66" s="159">
        <v>1</v>
      </c>
      <c r="J66" s="56">
        <v>0</v>
      </c>
      <c r="K66" s="12">
        <f t="shared" si="98"/>
        <v>0</v>
      </c>
      <c r="L66" s="10">
        <v>0</v>
      </c>
      <c r="M66" s="10">
        <v>0</v>
      </c>
      <c r="N66" s="33">
        <f t="shared" si="99"/>
        <v>0</v>
      </c>
      <c r="O66" s="33">
        <f t="shared" si="100"/>
        <v>0</v>
      </c>
      <c r="P66" s="56">
        <v>0</v>
      </c>
      <c r="Q66" s="33">
        <f t="shared" si="101"/>
        <v>0</v>
      </c>
      <c r="R66" s="56">
        <v>0</v>
      </c>
      <c r="S66" s="56">
        <v>0</v>
      </c>
      <c r="T66" s="33">
        <f t="shared" si="102"/>
        <v>0</v>
      </c>
      <c r="U66" s="33">
        <f t="shared" si="103"/>
        <v>0</v>
      </c>
      <c r="V66" s="56">
        <v>0</v>
      </c>
      <c r="W66" s="33">
        <f t="shared" si="104"/>
        <v>0</v>
      </c>
      <c r="X66" s="56">
        <v>0</v>
      </c>
      <c r="Y66" s="56">
        <v>0</v>
      </c>
      <c r="Z66" s="33">
        <f t="shared" si="105"/>
        <v>0</v>
      </c>
      <c r="AA66" s="33">
        <f t="shared" si="106"/>
        <v>0</v>
      </c>
      <c r="AB66" s="80">
        <v>71</v>
      </c>
      <c r="AC66" s="117">
        <f t="shared" si="31"/>
        <v>71</v>
      </c>
      <c r="AD66" s="10">
        <v>0</v>
      </c>
      <c r="AE66" s="10">
        <v>0</v>
      </c>
      <c r="AF66" s="117">
        <f t="shared" si="32"/>
        <v>0</v>
      </c>
      <c r="AG66" s="118">
        <f t="shared" si="33"/>
        <v>0</v>
      </c>
      <c r="AH66" s="80">
        <f t="shared" si="34"/>
        <v>71</v>
      </c>
      <c r="AI66" s="112">
        <f t="shared" si="107"/>
        <v>71</v>
      </c>
      <c r="AJ66" s="111">
        <v>0</v>
      </c>
      <c r="AK66" s="111">
        <v>0</v>
      </c>
      <c r="AL66" s="112">
        <f t="shared" ca="1" si="96"/>
        <v>0</v>
      </c>
      <c r="AM66" s="112">
        <f t="shared" si="97"/>
        <v>0</v>
      </c>
      <c r="AN66" s="80">
        <f t="shared" si="38"/>
        <v>71</v>
      </c>
      <c r="AO66" s="12">
        <f t="shared" si="39"/>
        <v>71</v>
      </c>
      <c r="AP66" s="10">
        <v>0</v>
      </c>
      <c r="AQ66" s="10">
        <v>0</v>
      </c>
      <c r="AR66" s="12">
        <f t="shared" si="40"/>
        <v>0</v>
      </c>
      <c r="AS66" s="12">
        <f t="shared" si="41"/>
        <v>0</v>
      </c>
      <c r="AT66" s="13">
        <f t="shared" si="42"/>
        <v>71</v>
      </c>
      <c r="AU66" s="12">
        <f t="shared" si="43"/>
        <v>71</v>
      </c>
      <c r="AV66" s="10">
        <v>0</v>
      </c>
      <c r="AW66" s="10">
        <v>0</v>
      </c>
      <c r="AX66" s="12">
        <f t="shared" si="44"/>
        <v>0</v>
      </c>
      <c r="AY66" s="12">
        <f t="shared" si="45"/>
        <v>0</v>
      </c>
      <c r="AZ66" s="32">
        <f t="shared" si="46"/>
        <v>71</v>
      </c>
      <c r="BA66" s="12">
        <f t="shared" si="47"/>
        <v>71</v>
      </c>
      <c r="BB66" s="10">
        <v>0</v>
      </c>
      <c r="BC66" s="10">
        <v>0</v>
      </c>
      <c r="BD66" s="12">
        <f t="shared" si="48"/>
        <v>0</v>
      </c>
      <c r="BE66" s="12">
        <f t="shared" si="49"/>
        <v>0</v>
      </c>
      <c r="BF66" s="31" t="s">
        <v>259</v>
      </c>
      <c r="BG66" s="12">
        <f t="shared" si="83"/>
        <v>71</v>
      </c>
      <c r="BH66" s="10">
        <v>0</v>
      </c>
      <c r="BI66" s="10">
        <v>0</v>
      </c>
      <c r="BJ66" s="12">
        <f t="shared" si="84"/>
        <v>0</v>
      </c>
      <c r="BK66" s="12">
        <f t="shared" si="85"/>
        <v>0</v>
      </c>
      <c r="BL66" s="31" t="s">
        <v>259</v>
      </c>
      <c r="BM66" s="12">
        <f t="shared" si="86"/>
        <v>71</v>
      </c>
      <c r="BN66" s="10">
        <v>0</v>
      </c>
      <c r="BO66" s="10">
        <v>0</v>
      </c>
      <c r="BP66" s="12">
        <f t="shared" si="87"/>
        <v>0</v>
      </c>
      <c r="BQ66" s="12">
        <f t="shared" si="88"/>
        <v>0</v>
      </c>
      <c r="BR66" s="31" t="s">
        <v>259</v>
      </c>
      <c r="BS66" s="12">
        <f t="shared" si="89"/>
        <v>71</v>
      </c>
      <c r="BT66" s="10">
        <v>0</v>
      </c>
      <c r="BU66" s="10">
        <v>0</v>
      </c>
      <c r="BV66" s="12">
        <f t="shared" si="90"/>
        <v>0</v>
      </c>
      <c r="BW66" s="12">
        <f t="shared" si="91"/>
        <v>0</v>
      </c>
      <c r="BX66" s="31" t="s">
        <v>259</v>
      </c>
      <c r="BY66" s="12">
        <f t="shared" si="92"/>
        <v>71</v>
      </c>
      <c r="BZ66" s="10">
        <v>0</v>
      </c>
      <c r="CA66" s="10">
        <v>0</v>
      </c>
      <c r="CB66" s="12">
        <f t="shared" si="93"/>
        <v>0</v>
      </c>
      <c r="CC66" s="12">
        <f t="shared" si="94"/>
        <v>0</v>
      </c>
      <c r="CD66" s="31" t="s">
        <v>259</v>
      </c>
      <c r="CE66" s="12">
        <f t="shared" si="95"/>
        <v>71</v>
      </c>
    </row>
    <row r="67" spans="1:83" ht="80.25" customHeight="1">
      <c r="A67" s="148" t="s">
        <v>220</v>
      </c>
      <c r="B67" s="148" t="s">
        <v>260</v>
      </c>
      <c r="C67" s="151" t="s">
        <v>261</v>
      </c>
      <c r="D67" s="151" t="s">
        <v>58</v>
      </c>
      <c r="E67" s="154"/>
      <c r="F67" s="154"/>
      <c r="G67" s="154"/>
      <c r="H67" s="170">
        <v>78</v>
      </c>
      <c r="I67" s="159">
        <v>1</v>
      </c>
      <c r="J67" s="56">
        <v>0</v>
      </c>
      <c r="K67" s="12">
        <f t="shared" si="98"/>
        <v>0</v>
      </c>
      <c r="L67" s="10">
        <v>0</v>
      </c>
      <c r="M67" s="10">
        <v>0</v>
      </c>
      <c r="N67" s="33">
        <f t="shared" si="99"/>
        <v>0</v>
      </c>
      <c r="O67" s="33">
        <f t="shared" si="100"/>
        <v>0</v>
      </c>
      <c r="P67" s="56">
        <v>0</v>
      </c>
      <c r="Q67" s="33">
        <f t="shared" si="101"/>
        <v>0</v>
      </c>
      <c r="R67" s="56">
        <v>0</v>
      </c>
      <c r="S67" s="56">
        <v>0</v>
      </c>
      <c r="T67" s="33">
        <f t="shared" si="102"/>
        <v>0</v>
      </c>
      <c r="U67" s="33">
        <f t="shared" si="103"/>
        <v>0</v>
      </c>
      <c r="V67" s="56">
        <v>0</v>
      </c>
      <c r="W67" s="33">
        <f t="shared" si="104"/>
        <v>0</v>
      </c>
      <c r="X67" s="56">
        <v>0</v>
      </c>
      <c r="Y67" s="56">
        <v>0</v>
      </c>
      <c r="Z67" s="33">
        <f t="shared" si="105"/>
        <v>0</v>
      </c>
      <c r="AA67" s="33">
        <f t="shared" si="106"/>
        <v>0</v>
      </c>
      <c r="AB67" s="80">
        <v>78</v>
      </c>
      <c r="AC67" s="117">
        <f t="shared" si="31"/>
        <v>78</v>
      </c>
      <c r="AD67" s="10">
        <v>0</v>
      </c>
      <c r="AE67" s="10">
        <v>0</v>
      </c>
      <c r="AF67" s="117">
        <f t="shared" si="32"/>
        <v>0</v>
      </c>
      <c r="AG67" s="118">
        <f t="shared" si="33"/>
        <v>0</v>
      </c>
      <c r="AH67" s="80">
        <f t="shared" si="34"/>
        <v>78</v>
      </c>
      <c r="AI67" s="112">
        <f t="shared" si="107"/>
        <v>78</v>
      </c>
      <c r="AJ67" s="111">
        <v>0</v>
      </c>
      <c r="AK67" s="111">
        <v>0</v>
      </c>
      <c r="AL67" s="112">
        <f t="shared" ca="1" si="96"/>
        <v>0</v>
      </c>
      <c r="AM67" s="112">
        <f t="shared" si="97"/>
        <v>0</v>
      </c>
      <c r="AN67" s="80">
        <f t="shared" si="38"/>
        <v>78</v>
      </c>
      <c r="AO67" s="12">
        <f t="shared" si="39"/>
        <v>78</v>
      </c>
      <c r="AP67" s="10">
        <v>0</v>
      </c>
      <c r="AQ67" s="10">
        <v>0</v>
      </c>
      <c r="AR67" s="12">
        <f t="shared" si="40"/>
        <v>0</v>
      </c>
      <c r="AS67" s="12">
        <f t="shared" si="41"/>
        <v>0</v>
      </c>
      <c r="AT67" s="13">
        <f t="shared" si="42"/>
        <v>78</v>
      </c>
      <c r="AU67" s="12">
        <f t="shared" si="43"/>
        <v>78</v>
      </c>
      <c r="AV67" s="10">
        <v>0</v>
      </c>
      <c r="AW67" s="10">
        <v>0</v>
      </c>
      <c r="AX67" s="12">
        <f t="shared" si="44"/>
        <v>0</v>
      </c>
      <c r="AY67" s="12">
        <f t="shared" si="45"/>
        <v>0</v>
      </c>
      <c r="AZ67" s="32">
        <f t="shared" si="46"/>
        <v>78</v>
      </c>
      <c r="BA67" s="12">
        <f t="shared" si="47"/>
        <v>78</v>
      </c>
      <c r="BB67" s="10">
        <v>0</v>
      </c>
      <c r="BC67" s="10">
        <v>0</v>
      </c>
      <c r="BD67" s="12">
        <f t="shared" si="48"/>
        <v>0</v>
      </c>
      <c r="BE67" s="12">
        <f t="shared" si="49"/>
        <v>0</v>
      </c>
      <c r="BF67" s="18" t="s">
        <v>262</v>
      </c>
      <c r="BG67" s="12">
        <f t="shared" si="83"/>
        <v>78</v>
      </c>
      <c r="BH67" s="10">
        <v>0</v>
      </c>
      <c r="BI67" s="10">
        <v>0</v>
      </c>
      <c r="BJ67" s="12">
        <f t="shared" si="84"/>
        <v>0</v>
      </c>
      <c r="BK67" s="12">
        <f t="shared" si="85"/>
        <v>0</v>
      </c>
      <c r="BL67" s="18" t="s">
        <v>262</v>
      </c>
      <c r="BM67" s="12">
        <f t="shared" si="86"/>
        <v>78</v>
      </c>
      <c r="BN67" s="10">
        <v>0</v>
      </c>
      <c r="BO67" s="10">
        <v>0</v>
      </c>
      <c r="BP67" s="12">
        <f t="shared" si="87"/>
        <v>0</v>
      </c>
      <c r="BQ67" s="12">
        <f t="shared" si="88"/>
        <v>0</v>
      </c>
      <c r="BR67" s="18" t="s">
        <v>262</v>
      </c>
      <c r="BS67" s="12">
        <f t="shared" si="89"/>
        <v>78</v>
      </c>
      <c r="BT67" s="10">
        <v>0</v>
      </c>
      <c r="BU67" s="10">
        <v>0</v>
      </c>
      <c r="BV67" s="12">
        <f t="shared" si="90"/>
        <v>0</v>
      </c>
      <c r="BW67" s="12">
        <f t="shared" si="91"/>
        <v>0</v>
      </c>
      <c r="BX67" s="18" t="s">
        <v>262</v>
      </c>
      <c r="BY67" s="12">
        <f t="shared" si="92"/>
        <v>78</v>
      </c>
      <c r="BZ67" s="10">
        <v>0</v>
      </c>
      <c r="CA67" s="10">
        <v>0</v>
      </c>
      <c r="CB67" s="12">
        <f t="shared" si="93"/>
        <v>0</v>
      </c>
      <c r="CC67" s="12">
        <f t="shared" si="94"/>
        <v>0</v>
      </c>
      <c r="CD67" s="18" t="s">
        <v>262</v>
      </c>
      <c r="CE67" s="12">
        <f t="shared" si="95"/>
        <v>78</v>
      </c>
    </row>
    <row r="68" spans="1:83" ht="80.25" customHeight="1">
      <c r="A68" s="148" t="s">
        <v>263</v>
      </c>
      <c r="B68" s="148" t="s">
        <v>264</v>
      </c>
      <c r="C68" s="151" t="s">
        <v>265</v>
      </c>
      <c r="D68" s="151" t="s">
        <v>36</v>
      </c>
      <c r="E68" s="154"/>
      <c r="F68" s="154"/>
      <c r="G68" s="154"/>
      <c r="H68" s="170">
        <v>2</v>
      </c>
      <c r="I68" s="159">
        <v>1</v>
      </c>
      <c r="J68" s="56">
        <v>0</v>
      </c>
      <c r="K68" s="12">
        <f t="shared" si="98"/>
        <v>0</v>
      </c>
      <c r="L68" s="10">
        <v>0</v>
      </c>
      <c r="M68" s="10">
        <v>0</v>
      </c>
      <c r="N68" s="33">
        <f t="shared" si="99"/>
        <v>0</v>
      </c>
      <c r="O68" s="33">
        <f t="shared" si="100"/>
        <v>0</v>
      </c>
      <c r="P68" s="56">
        <v>0</v>
      </c>
      <c r="Q68" s="33">
        <f t="shared" si="101"/>
        <v>0</v>
      </c>
      <c r="R68" s="56">
        <v>0</v>
      </c>
      <c r="S68" s="56">
        <v>0</v>
      </c>
      <c r="T68" s="33">
        <f t="shared" si="102"/>
        <v>0</v>
      </c>
      <c r="U68" s="33">
        <f t="shared" si="103"/>
        <v>0</v>
      </c>
      <c r="V68" s="56">
        <v>0</v>
      </c>
      <c r="W68" s="33">
        <f t="shared" si="104"/>
        <v>0</v>
      </c>
      <c r="X68" s="56">
        <v>0</v>
      </c>
      <c r="Y68" s="56">
        <v>0</v>
      </c>
      <c r="Z68" s="33">
        <f t="shared" si="105"/>
        <v>0</v>
      </c>
      <c r="AA68" s="33">
        <f t="shared" si="106"/>
        <v>0</v>
      </c>
      <c r="AB68" s="80">
        <v>2</v>
      </c>
      <c r="AC68" s="117">
        <f t="shared" si="31"/>
        <v>2</v>
      </c>
      <c r="AD68" s="10">
        <v>0</v>
      </c>
      <c r="AE68" s="10">
        <v>0</v>
      </c>
      <c r="AF68" s="117">
        <f t="shared" si="32"/>
        <v>0</v>
      </c>
      <c r="AG68" s="118">
        <f t="shared" si="33"/>
        <v>0</v>
      </c>
      <c r="AH68" s="80">
        <f t="shared" si="34"/>
        <v>2</v>
      </c>
      <c r="AI68" s="112">
        <f t="shared" si="107"/>
        <v>2</v>
      </c>
      <c r="AJ68" s="111">
        <v>0</v>
      </c>
      <c r="AK68" s="111">
        <v>0</v>
      </c>
      <c r="AL68" s="112">
        <f t="shared" ca="1" si="96"/>
        <v>0</v>
      </c>
      <c r="AM68" s="112">
        <f t="shared" si="97"/>
        <v>0</v>
      </c>
      <c r="AN68" s="80">
        <f t="shared" si="38"/>
        <v>2</v>
      </c>
      <c r="AO68" s="12">
        <f t="shared" si="39"/>
        <v>2</v>
      </c>
      <c r="AP68" s="10">
        <v>0</v>
      </c>
      <c r="AQ68" s="10">
        <v>0</v>
      </c>
      <c r="AR68" s="12">
        <f t="shared" si="40"/>
        <v>0</v>
      </c>
      <c r="AS68" s="12">
        <f t="shared" si="41"/>
        <v>0</v>
      </c>
      <c r="AT68" s="13">
        <f t="shared" si="42"/>
        <v>2</v>
      </c>
      <c r="AU68" s="12">
        <f t="shared" si="43"/>
        <v>2</v>
      </c>
      <c r="AV68" s="10">
        <v>0</v>
      </c>
      <c r="AW68" s="10">
        <v>0</v>
      </c>
      <c r="AX68" s="12">
        <f t="shared" si="44"/>
        <v>0</v>
      </c>
      <c r="AY68" s="12">
        <f t="shared" si="45"/>
        <v>0</v>
      </c>
      <c r="AZ68" s="32">
        <f t="shared" si="46"/>
        <v>2</v>
      </c>
      <c r="BA68" s="12">
        <f t="shared" si="47"/>
        <v>2</v>
      </c>
      <c r="BB68" s="10">
        <v>0</v>
      </c>
      <c r="BC68" s="10">
        <v>0</v>
      </c>
      <c r="BD68" s="12">
        <f t="shared" si="48"/>
        <v>0</v>
      </c>
      <c r="BE68" s="12">
        <f t="shared" si="49"/>
        <v>0</v>
      </c>
      <c r="BF68" s="31" t="s">
        <v>38</v>
      </c>
      <c r="BG68" s="12">
        <f t="shared" si="83"/>
        <v>2</v>
      </c>
      <c r="BH68" s="10">
        <v>0</v>
      </c>
      <c r="BI68" s="10">
        <v>0</v>
      </c>
      <c r="BJ68" s="12">
        <f t="shared" si="84"/>
        <v>0</v>
      </c>
      <c r="BK68" s="12">
        <f t="shared" si="85"/>
        <v>0</v>
      </c>
      <c r="BL68" s="31" t="s">
        <v>38</v>
      </c>
      <c r="BM68" s="12">
        <f t="shared" si="86"/>
        <v>2</v>
      </c>
      <c r="BN68" s="10">
        <v>0</v>
      </c>
      <c r="BO68" s="10">
        <v>0</v>
      </c>
      <c r="BP68" s="12">
        <f t="shared" si="87"/>
        <v>0</v>
      </c>
      <c r="BQ68" s="12">
        <f t="shared" si="88"/>
        <v>0</v>
      </c>
      <c r="BR68" s="31" t="s">
        <v>38</v>
      </c>
      <c r="BS68" s="12">
        <f t="shared" si="89"/>
        <v>2</v>
      </c>
      <c r="BT68" s="10">
        <v>0</v>
      </c>
      <c r="BU68" s="10">
        <v>0</v>
      </c>
      <c r="BV68" s="12">
        <f t="shared" si="90"/>
        <v>0</v>
      </c>
      <c r="BW68" s="12">
        <f t="shared" si="91"/>
        <v>0</v>
      </c>
      <c r="BX68" s="31" t="s">
        <v>38</v>
      </c>
      <c r="BY68" s="12">
        <f t="shared" si="92"/>
        <v>2</v>
      </c>
      <c r="BZ68" s="10">
        <v>0</v>
      </c>
      <c r="CA68" s="10">
        <v>0</v>
      </c>
      <c r="CB68" s="12">
        <f t="shared" si="93"/>
        <v>0</v>
      </c>
      <c r="CC68" s="12">
        <f t="shared" si="94"/>
        <v>0</v>
      </c>
      <c r="CD68" s="31" t="s">
        <v>38</v>
      </c>
      <c r="CE68" s="12">
        <f t="shared" si="95"/>
        <v>2</v>
      </c>
    </row>
    <row r="69" spans="1:83" ht="80.25" customHeight="1">
      <c r="A69" s="148" t="s">
        <v>266</v>
      </c>
      <c r="B69" s="148" t="s">
        <v>267</v>
      </c>
      <c r="C69" s="172" t="s">
        <v>268</v>
      </c>
      <c r="D69" s="151" t="s">
        <v>63</v>
      </c>
      <c r="E69" s="154"/>
      <c r="F69" s="154"/>
      <c r="G69" s="154"/>
      <c r="H69" s="170">
        <v>75</v>
      </c>
      <c r="I69" s="159">
        <v>1</v>
      </c>
      <c r="J69" s="56">
        <v>0</v>
      </c>
      <c r="K69" s="12">
        <f t="shared" ref="K69:K132" si="108">I69*J69</f>
        <v>0</v>
      </c>
      <c r="L69" s="10">
        <v>0</v>
      </c>
      <c r="M69" s="10">
        <v>0</v>
      </c>
      <c r="N69" s="33">
        <f t="shared" ref="N69:N132" si="109">M69*I69</f>
        <v>0</v>
      </c>
      <c r="O69" s="33">
        <f t="shared" ref="O69:O132" si="110">L69*I69</f>
        <v>0</v>
      </c>
      <c r="P69" s="56">
        <v>0</v>
      </c>
      <c r="Q69" s="33">
        <f t="shared" ref="Q69:Q132" si="111">P69*I69</f>
        <v>0</v>
      </c>
      <c r="R69" s="56">
        <v>0</v>
      </c>
      <c r="S69" s="56">
        <v>0</v>
      </c>
      <c r="T69" s="33">
        <f t="shared" ref="T69:T132" si="112">S69*O69</f>
        <v>0</v>
      </c>
      <c r="U69" s="33">
        <f t="shared" ref="U69:U132" si="113">R69*O69</f>
        <v>0</v>
      </c>
      <c r="V69" s="56">
        <v>0</v>
      </c>
      <c r="W69" s="33">
        <f t="shared" ref="W69:W132" si="114">V69*O69</f>
        <v>0</v>
      </c>
      <c r="X69" s="56">
        <v>0</v>
      </c>
      <c r="Y69" s="56">
        <v>0</v>
      </c>
      <c r="Z69" s="33">
        <f t="shared" ref="Z69:Z132" si="115">Y69*U69</f>
        <v>0</v>
      </c>
      <c r="AA69" s="33">
        <f t="shared" ref="AA69:AA132" si="116">X69*U69</f>
        <v>0</v>
      </c>
      <c r="AB69" s="80">
        <v>75</v>
      </c>
      <c r="AC69" s="117">
        <f t="shared" si="31"/>
        <v>75</v>
      </c>
      <c r="AD69" s="10">
        <v>0</v>
      </c>
      <c r="AE69" s="10">
        <v>0</v>
      </c>
      <c r="AF69" s="117">
        <f t="shared" si="32"/>
        <v>0</v>
      </c>
      <c r="AG69" s="118">
        <f t="shared" si="33"/>
        <v>0</v>
      </c>
      <c r="AH69" s="80">
        <f t="shared" si="34"/>
        <v>75</v>
      </c>
      <c r="AI69" s="112">
        <f t="shared" si="107"/>
        <v>75</v>
      </c>
      <c r="AJ69" s="111">
        <v>0</v>
      </c>
      <c r="AK69" s="111">
        <v>0</v>
      </c>
      <c r="AL69" s="112">
        <f t="shared" ca="1" si="96"/>
        <v>0</v>
      </c>
      <c r="AM69" s="112">
        <f t="shared" si="97"/>
        <v>0</v>
      </c>
      <c r="AN69" s="80">
        <f t="shared" si="38"/>
        <v>75</v>
      </c>
      <c r="AO69" s="12">
        <f t="shared" si="39"/>
        <v>75</v>
      </c>
      <c r="AP69" s="10">
        <v>0</v>
      </c>
      <c r="AQ69" s="10">
        <v>0</v>
      </c>
      <c r="AR69" s="12">
        <f t="shared" si="40"/>
        <v>0</v>
      </c>
      <c r="AS69" s="12">
        <f t="shared" si="41"/>
        <v>0</v>
      </c>
      <c r="AT69" s="13">
        <f t="shared" si="42"/>
        <v>75</v>
      </c>
      <c r="AU69" s="12">
        <f t="shared" si="43"/>
        <v>75</v>
      </c>
      <c r="AV69" s="10">
        <v>0</v>
      </c>
      <c r="AW69" s="10">
        <v>0</v>
      </c>
      <c r="AX69" s="12">
        <f t="shared" si="44"/>
        <v>0</v>
      </c>
      <c r="AY69" s="12">
        <f t="shared" si="45"/>
        <v>0</v>
      </c>
      <c r="AZ69" s="32">
        <f t="shared" si="46"/>
        <v>75</v>
      </c>
      <c r="BA69" s="12">
        <f t="shared" si="47"/>
        <v>75</v>
      </c>
      <c r="BB69" s="10">
        <v>0</v>
      </c>
      <c r="BC69" s="10">
        <v>0</v>
      </c>
      <c r="BD69" s="12">
        <f t="shared" si="48"/>
        <v>0</v>
      </c>
      <c r="BE69" s="12">
        <f t="shared" si="49"/>
        <v>0</v>
      </c>
      <c r="BF69" s="31" t="s">
        <v>269</v>
      </c>
      <c r="BG69" s="12">
        <f t="shared" si="83"/>
        <v>75</v>
      </c>
      <c r="BH69" s="10">
        <v>0</v>
      </c>
      <c r="BI69" s="10">
        <v>0</v>
      </c>
      <c r="BJ69" s="12">
        <f t="shared" si="84"/>
        <v>0</v>
      </c>
      <c r="BK69" s="12">
        <f t="shared" si="85"/>
        <v>0</v>
      </c>
      <c r="BL69" s="31" t="s">
        <v>269</v>
      </c>
      <c r="BM69" s="12">
        <f t="shared" si="86"/>
        <v>75</v>
      </c>
      <c r="BN69" s="10">
        <v>0</v>
      </c>
      <c r="BO69" s="10">
        <v>0</v>
      </c>
      <c r="BP69" s="12">
        <f t="shared" si="87"/>
        <v>0</v>
      </c>
      <c r="BQ69" s="12">
        <f t="shared" si="88"/>
        <v>0</v>
      </c>
      <c r="BR69" s="31" t="s">
        <v>269</v>
      </c>
      <c r="BS69" s="12">
        <f t="shared" si="89"/>
        <v>75</v>
      </c>
      <c r="BT69" s="10">
        <v>0</v>
      </c>
      <c r="BU69" s="10">
        <v>0</v>
      </c>
      <c r="BV69" s="12">
        <f t="shared" si="90"/>
        <v>0</v>
      </c>
      <c r="BW69" s="12">
        <f t="shared" si="91"/>
        <v>0</v>
      </c>
      <c r="BX69" s="31" t="s">
        <v>269</v>
      </c>
      <c r="BY69" s="12">
        <f t="shared" si="92"/>
        <v>75</v>
      </c>
      <c r="BZ69" s="10">
        <v>0</v>
      </c>
      <c r="CA69" s="10">
        <v>0</v>
      </c>
      <c r="CB69" s="12">
        <f t="shared" si="93"/>
        <v>0</v>
      </c>
      <c r="CC69" s="12">
        <f t="shared" si="94"/>
        <v>0</v>
      </c>
      <c r="CD69" s="31" t="s">
        <v>269</v>
      </c>
      <c r="CE69" s="12">
        <f t="shared" si="95"/>
        <v>75</v>
      </c>
    </row>
    <row r="70" spans="1:83" ht="80.25" customHeight="1">
      <c r="A70" s="148" t="s">
        <v>47</v>
      </c>
      <c r="B70" s="148" t="s">
        <v>270</v>
      </c>
      <c r="C70" s="151" t="s">
        <v>271</v>
      </c>
      <c r="D70" s="151" t="s">
        <v>73</v>
      </c>
      <c r="E70" s="154"/>
      <c r="F70" s="154"/>
      <c r="G70" s="154"/>
      <c r="H70" s="170">
        <v>7</v>
      </c>
      <c r="I70" s="159">
        <v>1</v>
      </c>
      <c r="J70" s="56">
        <v>0</v>
      </c>
      <c r="K70" s="12">
        <f t="shared" si="108"/>
        <v>0</v>
      </c>
      <c r="L70" s="10">
        <v>0</v>
      </c>
      <c r="M70" s="10">
        <v>0</v>
      </c>
      <c r="N70" s="33">
        <f t="shared" si="109"/>
        <v>0</v>
      </c>
      <c r="O70" s="33">
        <f t="shared" si="110"/>
        <v>0</v>
      </c>
      <c r="P70" s="56">
        <v>0</v>
      </c>
      <c r="Q70" s="33">
        <f t="shared" si="111"/>
        <v>0</v>
      </c>
      <c r="R70" s="56">
        <v>0</v>
      </c>
      <c r="S70" s="56">
        <v>0</v>
      </c>
      <c r="T70" s="33">
        <f t="shared" si="112"/>
        <v>0</v>
      </c>
      <c r="U70" s="33">
        <f t="shared" si="113"/>
        <v>0</v>
      </c>
      <c r="V70" s="56">
        <v>0</v>
      </c>
      <c r="W70" s="33">
        <f t="shared" si="114"/>
        <v>0</v>
      </c>
      <c r="X70" s="56">
        <v>0</v>
      </c>
      <c r="Y70" s="56">
        <v>0</v>
      </c>
      <c r="Z70" s="33">
        <f t="shared" si="115"/>
        <v>0</v>
      </c>
      <c r="AA70" s="33">
        <f t="shared" si="116"/>
        <v>0</v>
      </c>
      <c r="AB70" s="80">
        <v>7</v>
      </c>
      <c r="AC70" s="117">
        <f t="shared" si="31"/>
        <v>7</v>
      </c>
      <c r="AD70" s="10">
        <v>0</v>
      </c>
      <c r="AE70" s="10">
        <v>0</v>
      </c>
      <c r="AF70" s="117">
        <f t="shared" si="32"/>
        <v>0</v>
      </c>
      <c r="AG70" s="118">
        <f t="shared" si="33"/>
        <v>0</v>
      </c>
      <c r="AH70" s="80">
        <f t="shared" si="34"/>
        <v>7</v>
      </c>
      <c r="AI70" s="112">
        <f t="shared" ref="AI70:AI73" si="117">AH70*I70</f>
        <v>7</v>
      </c>
      <c r="AJ70" s="111">
        <v>0</v>
      </c>
      <c r="AK70" s="111">
        <v>0</v>
      </c>
      <c r="AL70" s="112">
        <f t="shared" ca="1" si="96"/>
        <v>0</v>
      </c>
      <c r="AM70" s="112">
        <f t="shared" si="97"/>
        <v>0</v>
      </c>
      <c r="AN70" s="80">
        <f t="shared" si="38"/>
        <v>7</v>
      </c>
      <c r="AO70" s="12">
        <f t="shared" si="39"/>
        <v>7</v>
      </c>
      <c r="AP70" s="10">
        <v>0</v>
      </c>
      <c r="AQ70" s="10">
        <v>0</v>
      </c>
      <c r="AR70" s="12">
        <f t="shared" si="40"/>
        <v>0</v>
      </c>
      <c r="AS70" s="12">
        <f t="shared" si="41"/>
        <v>0</v>
      </c>
      <c r="AT70" s="13">
        <f t="shared" si="42"/>
        <v>7</v>
      </c>
      <c r="AU70" s="12">
        <f t="shared" si="43"/>
        <v>7</v>
      </c>
      <c r="AV70" s="10">
        <v>0</v>
      </c>
      <c r="AW70" s="10">
        <v>0</v>
      </c>
      <c r="AX70" s="12">
        <f t="shared" si="44"/>
        <v>0</v>
      </c>
      <c r="AY70" s="12">
        <f t="shared" si="45"/>
        <v>0</v>
      </c>
      <c r="AZ70" s="32">
        <f t="shared" si="46"/>
        <v>7</v>
      </c>
      <c r="BA70" s="12">
        <f t="shared" si="47"/>
        <v>7</v>
      </c>
      <c r="BB70" s="10">
        <v>0</v>
      </c>
      <c r="BC70" s="10">
        <v>0</v>
      </c>
      <c r="BD70" s="12">
        <f t="shared" si="48"/>
        <v>0</v>
      </c>
      <c r="BE70" s="12">
        <f t="shared" si="49"/>
        <v>0</v>
      </c>
      <c r="BF70" s="31" t="s">
        <v>60</v>
      </c>
      <c r="BG70" s="12">
        <f t="shared" si="83"/>
        <v>7</v>
      </c>
      <c r="BH70" s="10">
        <v>0</v>
      </c>
      <c r="BI70" s="10">
        <v>0</v>
      </c>
      <c r="BJ70" s="12">
        <f t="shared" si="84"/>
        <v>0</v>
      </c>
      <c r="BK70" s="12">
        <f t="shared" si="85"/>
        <v>0</v>
      </c>
      <c r="BL70" s="31" t="s">
        <v>60</v>
      </c>
      <c r="BM70" s="12">
        <f t="shared" si="86"/>
        <v>7</v>
      </c>
      <c r="BN70" s="10">
        <v>0</v>
      </c>
      <c r="BO70" s="10">
        <v>0</v>
      </c>
      <c r="BP70" s="12">
        <f t="shared" si="87"/>
        <v>0</v>
      </c>
      <c r="BQ70" s="12">
        <f t="shared" si="88"/>
        <v>0</v>
      </c>
      <c r="BR70" s="31" t="s">
        <v>60</v>
      </c>
      <c r="BS70" s="12">
        <f t="shared" si="89"/>
        <v>7</v>
      </c>
      <c r="BT70" s="10">
        <v>0</v>
      </c>
      <c r="BU70" s="10">
        <v>0</v>
      </c>
      <c r="BV70" s="12">
        <f t="shared" si="90"/>
        <v>0</v>
      </c>
      <c r="BW70" s="12">
        <f t="shared" si="91"/>
        <v>0</v>
      </c>
      <c r="BX70" s="31" t="s">
        <v>60</v>
      </c>
      <c r="BY70" s="12">
        <f t="shared" si="92"/>
        <v>7</v>
      </c>
      <c r="BZ70" s="10">
        <v>0</v>
      </c>
      <c r="CA70" s="10">
        <v>0</v>
      </c>
      <c r="CB70" s="12">
        <f t="shared" si="93"/>
        <v>0</v>
      </c>
      <c r="CC70" s="12">
        <f t="shared" si="94"/>
        <v>0</v>
      </c>
      <c r="CD70" s="31" t="s">
        <v>60</v>
      </c>
      <c r="CE70" s="12">
        <f t="shared" si="95"/>
        <v>7</v>
      </c>
    </row>
    <row r="71" spans="1:83" ht="80.25" customHeight="1">
      <c r="A71" s="148" t="s">
        <v>272</v>
      </c>
      <c r="B71" s="148" t="s">
        <v>273</v>
      </c>
      <c r="C71" s="151" t="s">
        <v>274</v>
      </c>
      <c r="D71" s="151" t="s">
        <v>181</v>
      </c>
      <c r="E71" s="154"/>
      <c r="F71" s="154"/>
      <c r="G71" s="154"/>
      <c r="H71" s="170">
        <v>113</v>
      </c>
      <c r="I71" s="159">
        <v>1</v>
      </c>
      <c r="J71" s="56">
        <v>0</v>
      </c>
      <c r="K71" s="12">
        <f t="shared" si="108"/>
        <v>0</v>
      </c>
      <c r="L71" s="10">
        <v>0</v>
      </c>
      <c r="M71" s="10">
        <v>0</v>
      </c>
      <c r="N71" s="33">
        <f t="shared" si="109"/>
        <v>0</v>
      </c>
      <c r="O71" s="33">
        <f t="shared" si="110"/>
        <v>0</v>
      </c>
      <c r="P71" s="56">
        <v>0</v>
      </c>
      <c r="Q71" s="33">
        <f t="shared" si="111"/>
        <v>0</v>
      </c>
      <c r="R71" s="56">
        <v>0</v>
      </c>
      <c r="S71" s="56">
        <v>0</v>
      </c>
      <c r="T71" s="33">
        <f t="shared" si="112"/>
        <v>0</v>
      </c>
      <c r="U71" s="33">
        <f t="shared" si="113"/>
        <v>0</v>
      </c>
      <c r="V71" s="56">
        <v>0</v>
      </c>
      <c r="W71" s="33">
        <f t="shared" si="114"/>
        <v>0</v>
      </c>
      <c r="X71" s="56">
        <v>0</v>
      </c>
      <c r="Y71" s="56">
        <v>0</v>
      </c>
      <c r="Z71" s="33">
        <f t="shared" si="115"/>
        <v>0</v>
      </c>
      <c r="AA71" s="33">
        <f t="shared" si="116"/>
        <v>0</v>
      </c>
      <c r="AB71" s="80">
        <v>113</v>
      </c>
      <c r="AC71" s="117">
        <f t="shared" ref="AC71:AC134" si="118">AB71*I71</f>
        <v>113</v>
      </c>
      <c r="AD71" s="10">
        <v>0</v>
      </c>
      <c r="AE71" s="10">
        <v>0</v>
      </c>
      <c r="AF71" s="117">
        <f t="shared" ref="AF71:AF134" si="119">AE71*I71</f>
        <v>0</v>
      </c>
      <c r="AG71" s="118">
        <f t="shared" ref="AG71:AG134" si="120">AD71*I71</f>
        <v>0</v>
      </c>
      <c r="AH71" s="80">
        <f t="shared" ref="AH71:AH134" si="121">SUM(AB71-AD71+AE71)</f>
        <v>113</v>
      </c>
      <c r="AI71" s="112">
        <f t="shared" si="117"/>
        <v>113</v>
      </c>
      <c r="AJ71" s="111">
        <v>0</v>
      </c>
      <c r="AK71" s="111">
        <v>0</v>
      </c>
      <c r="AL71" s="112">
        <f t="shared" ca="1" si="96"/>
        <v>0</v>
      </c>
      <c r="AM71" s="112">
        <f t="shared" si="97"/>
        <v>0</v>
      </c>
      <c r="AN71" s="80">
        <f t="shared" ref="AN71:AN134" si="122">AH71-AJ71+AK71</f>
        <v>113</v>
      </c>
      <c r="AO71" s="12">
        <f t="shared" ref="AO71:AO134" si="123">AN71*I71</f>
        <v>113</v>
      </c>
      <c r="AP71" s="10">
        <v>0</v>
      </c>
      <c r="AQ71" s="10">
        <v>0</v>
      </c>
      <c r="AR71" s="12">
        <f t="shared" ref="AR71:AR134" si="124">AQ71*I71</f>
        <v>0</v>
      </c>
      <c r="AS71" s="12">
        <f t="shared" ref="AS71:AS134" si="125">AP71*I71</f>
        <v>0</v>
      </c>
      <c r="AT71" s="13">
        <f t="shared" ref="AT71:AT134" si="126">AN71-AP71+AQ71</f>
        <v>113</v>
      </c>
      <c r="AU71" s="12">
        <f t="shared" ref="AU71:AU134" si="127">AT71*I71</f>
        <v>113</v>
      </c>
      <c r="AV71" s="10">
        <v>0</v>
      </c>
      <c r="AW71" s="10">
        <v>0</v>
      </c>
      <c r="AX71" s="12">
        <f t="shared" ref="AX71:AX134" si="128">AW71*I71</f>
        <v>0</v>
      </c>
      <c r="AY71" s="12">
        <f t="shared" ref="AY71:AY134" si="129">AV71*I71</f>
        <v>0</v>
      </c>
      <c r="AZ71" s="32">
        <f t="shared" ref="AZ71:AZ134" si="130">AT71-AV71+AW71</f>
        <v>113</v>
      </c>
      <c r="BA71" s="12">
        <f t="shared" ref="BA71:BA134" si="131">AZ71*I71</f>
        <v>113</v>
      </c>
      <c r="BB71" s="10">
        <v>0</v>
      </c>
      <c r="BC71" s="10">
        <v>0</v>
      </c>
      <c r="BD71" s="12">
        <f t="shared" ref="BD71:BD134" si="132">BC71*I71</f>
        <v>0</v>
      </c>
      <c r="BE71" s="12">
        <f t="shared" ref="BE71:BE134" si="133">BB71*I71</f>
        <v>0</v>
      </c>
      <c r="BF71" s="31" t="s">
        <v>74</v>
      </c>
      <c r="BG71" s="12">
        <f t="shared" si="83"/>
        <v>113</v>
      </c>
      <c r="BH71" s="10">
        <v>0</v>
      </c>
      <c r="BI71" s="10">
        <v>0</v>
      </c>
      <c r="BJ71" s="12">
        <f t="shared" si="84"/>
        <v>0</v>
      </c>
      <c r="BK71" s="12">
        <f t="shared" si="85"/>
        <v>0</v>
      </c>
      <c r="BL71" s="31" t="s">
        <v>74</v>
      </c>
      <c r="BM71" s="12">
        <f t="shared" si="86"/>
        <v>113</v>
      </c>
      <c r="BN71" s="10">
        <v>0</v>
      </c>
      <c r="BO71" s="10">
        <v>0</v>
      </c>
      <c r="BP71" s="12">
        <f t="shared" si="87"/>
        <v>0</v>
      </c>
      <c r="BQ71" s="12">
        <f t="shared" si="88"/>
        <v>0</v>
      </c>
      <c r="BR71" s="31" t="s">
        <v>74</v>
      </c>
      <c r="BS71" s="12">
        <f t="shared" si="89"/>
        <v>113</v>
      </c>
      <c r="BT71" s="10">
        <v>0</v>
      </c>
      <c r="BU71" s="10">
        <v>0</v>
      </c>
      <c r="BV71" s="12">
        <f t="shared" si="90"/>
        <v>0</v>
      </c>
      <c r="BW71" s="12">
        <f t="shared" si="91"/>
        <v>0</v>
      </c>
      <c r="BX71" s="31" t="s">
        <v>74</v>
      </c>
      <c r="BY71" s="12">
        <f t="shared" si="92"/>
        <v>113</v>
      </c>
      <c r="BZ71" s="10">
        <v>0</v>
      </c>
      <c r="CA71" s="10">
        <v>0</v>
      </c>
      <c r="CB71" s="12">
        <f t="shared" si="93"/>
        <v>0</v>
      </c>
      <c r="CC71" s="12">
        <f t="shared" si="94"/>
        <v>0</v>
      </c>
      <c r="CD71" s="31" t="s">
        <v>74</v>
      </c>
      <c r="CE71" s="12">
        <f t="shared" si="95"/>
        <v>113</v>
      </c>
    </row>
    <row r="72" spans="1:83" ht="80.25" customHeight="1">
      <c r="A72" s="148" t="s">
        <v>275</v>
      </c>
      <c r="B72" s="148" t="s">
        <v>276</v>
      </c>
      <c r="C72" s="151" t="s">
        <v>277</v>
      </c>
      <c r="D72" s="148" t="s">
        <v>181</v>
      </c>
      <c r="E72" s="154"/>
      <c r="F72" s="154"/>
      <c r="G72" s="154"/>
      <c r="H72" s="170">
        <v>42</v>
      </c>
      <c r="I72" s="159">
        <v>1</v>
      </c>
      <c r="J72" s="56">
        <v>0</v>
      </c>
      <c r="K72" s="12">
        <f t="shared" si="108"/>
        <v>0</v>
      </c>
      <c r="L72" s="10">
        <v>0</v>
      </c>
      <c r="M72" s="10">
        <v>0</v>
      </c>
      <c r="N72" s="33">
        <f t="shared" si="109"/>
        <v>0</v>
      </c>
      <c r="O72" s="33">
        <f t="shared" si="110"/>
        <v>0</v>
      </c>
      <c r="P72" s="56">
        <v>0</v>
      </c>
      <c r="Q72" s="33">
        <f t="shared" si="111"/>
        <v>0</v>
      </c>
      <c r="R72" s="56">
        <v>0</v>
      </c>
      <c r="S72" s="56">
        <v>0</v>
      </c>
      <c r="T72" s="33">
        <f t="shared" si="112"/>
        <v>0</v>
      </c>
      <c r="U72" s="33">
        <f t="shared" si="113"/>
        <v>0</v>
      </c>
      <c r="V72" s="56">
        <v>0</v>
      </c>
      <c r="W72" s="33">
        <f t="shared" si="114"/>
        <v>0</v>
      </c>
      <c r="X72" s="56">
        <v>0</v>
      </c>
      <c r="Y72" s="56">
        <v>0</v>
      </c>
      <c r="Z72" s="33">
        <f t="shared" si="115"/>
        <v>0</v>
      </c>
      <c r="AA72" s="33">
        <f t="shared" si="116"/>
        <v>0</v>
      </c>
      <c r="AB72" s="80">
        <v>42</v>
      </c>
      <c r="AC72" s="117">
        <f t="shared" si="118"/>
        <v>42</v>
      </c>
      <c r="AD72" s="10">
        <v>0</v>
      </c>
      <c r="AE72" s="10">
        <v>0</v>
      </c>
      <c r="AF72" s="117">
        <f t="shared" si="119"/>
        <v>0</v>
      </c>
      <c r="AG72" s="118">
        <f t="shared" si="120"/>
        <v>0</v>
      </c>
      <c r="AH72" s="80">
        <f t="shared" si="121"/>
        <v>42</v>
      </c>
      <c r="AI72" s="112">
        <f t="shared" si="117"/>
        <v>42</v>
      </c>
      <c r="AJ72" s="111">
        <v>0</v>
      </c>
      <c r="AK72" s="111">
        <v>0</v>
      </c>
      <c r="AL72" s="112">
        <f t="shared" ca="1" si="96"/>
        <v>0</v>
      </c>
      <c r="AM72" s="112">
        <f t="shared" si="97"/>
        <v>0</v>
      </c>
      <c r="AN72" s="80">
        <f t="shared" si="122"/>
        <v>42</v>
      </c>
      <c r="AO72" s="12">
        <f t="shared" si="123"/>
        <v>42</v>
      </c>
      <c r="AP72" s="10">
        <v>0</v>
      </c>
      <c r="AQ72" s="10">
        <v>0</v>
      </c>
      <c r="AR72" s="12">
        <f t="shared" si="124"/>
        <v>0</v>
      </c>
      <c r="AS72" s="12">
        <f t="shared" si="125"/>
        <v>0</v>
      </c>
      <c r="AT72" s="13">
        <f t="shared" si="126"/>
        <v>42</v>
      </c>
      <c r="AU72" s="12">
        <f t="shared" si="127"/>
        <v>42</v>
      </c>
      <c r="AV72" s="10">
        <v>0</v>
      </c>
      <c r="AW72" s="10">
        <v>0</v>
      </c>
      <c r="AX72" s="12">
        <f t="shared" si="128"/>
        <v>0</v>
      </c>
      <c r="AY72" s="12">
        <f t="shared" si="129"/>
        <v>0</v>
      </c>
      <c r="AZ72" s="32">
        <f t="shared" si="130"/>
        <v>42</v>
      </c>
      <c r="BA72" s="12">
        <f t="shared" si="131"/>
        <v>42</v>
      </c>
      <c r="BB72" s="10">
        <v>0</v>
      </c>
      <c r="BC72" s="10">
        <v>0</v>
      </c>
      <c r="BD72" s="12">
        <f t="shared" si="132"/>
        <v>0</v>
      </c>
      <c r="BE72" s="12">
        <f t="shared" si="133"/>
        <v>0</v>
      </c>
      <c r="BF72" s="31" t="s">
        <v>190</v>
      </c>
      <c r="BG72" s="12">
        <f t="shared" si="83"/>
        <v>42</v>
      </c>
      <c r="BH72" s="10">
        <v>0</v>
      </c>
      <c r="BI72" s="10">
        <v>0</v>
      </c>
      <c r="BJ72" s="12">
        <f t="shared" si="84"/>
        <v>0</v>
      </c>
      <c r="BK72" s="12">
        <f t="shared" si="85"/>
        <v>0</v>
      </c>
      <c r="BL72" s="31" t="s">
        <v>190</v>
      </c>
      <c r="BM72" s="12">
        <f t="shared" si="86"/>
        <v>42</v>
      </c>
      <c r="BN72" s="10">
        <v>0</v>
      </c>
      <c r="BO72" s="10">
        <v>0</v>
      </c>
      <c r="BP72" s="12">
        <f t="shared" si="87"/>
        <v>0</v>
      </c>
      <c r="BQ72" s="12">
        <f t="shared" si="88"/>
        <v>0</v>
      </c>
      <c r="BR72" s="31" t="s">
        <v>190</v>
      </c>
      <c r="BS72" s="12">
        <f t="shared" si="89"/>
        <v>42</v>
      </c>
      <c r="BT72" s="10">
        <v>0</v>
      </c>
      <c r="BU72" s="10">
        <v>0</v>
      </c>
      <c r="BV72" s="12">
        <f t="shared" si="90"/>
        <v>0</v>
      </c>
      <c r="BW72" s="12">
        <f t="shared" si="91"/>
        <v>0</v>
      </c>
      <c r="BX72" s="31" t="s">
        <v>190</v>
      </c>
      <c r="BY72" s="12">
        <f t="shared" si="92"/>
        <v>42</v>
      </c>
      <c r="BZ72" s="10">
        <v>0</v>
      </c>
      <c r="CA72" s="10">
        <v>0</v>
      </c>
      <c r="CB72" s="12">
        <f t="shared" si="93"/>
        <v>0</v>
      </c>
      <c r="CC72" s="12">
        <f t="shared" si="94"/>
        <v>0</v>
      </c>
      <c r="CD72" s="31" t="s">
        <v>190</v>
      </c>
      <c r="CE72" s="12">
        <f t="shared" si="95"/>
        <v>42</v>
      </c>
    </row>
    <row r="73" spans="1:83" ht="80.25" customHeight="1">
      <c r="A73" s="148" t="s">
        <v>125</v>
      </c>
      <c r="B73" s="148" t="s">
        <v>278</v>
      </c>
      <c r="C73" s="151" t="s">
        <v>279</v>
      </c>
      <c r="D73" s="148" t="s">
        <v>73</v>
      </c>
      <c r="E73" s="154"/>
      <c r="F73" s="154"/>
      <c r="G73" s="154"/>
      <c r="H73" s="170">
        <v>4</v>
      </c>
      <c r="I73" s="159">
        <v>126.2</v>
      </c>
      <c r="J73" s="56">
        <v>0</v>
      </c>
      <c r="K73" s="12">
        <f t="shared" si="108"/>
        <v>0</v>
      </c>
      <c r="L73" s="10">
        <v>0</v>
      </c>
      <c r="M73" s="10">
        <v>0</v>
      </c>
      <c r="N73" s="33">
        <f t="shared" si="109"/>
        <v>0</v>
      </c>
      <c r="O73" s="33">
        <f t="shared" si="110"/>
        <v>0</v>
      </c>
      <c r="P73" s="56">
        <v>0</v>
      </c>
      <c r="Q73" s="33">
        <f t="shared" si="111"/>
        <v>0</v>
      </c>
      <c r="R73" s="56">
        <v>0</v>
      </c>
      <c r="S73" s="56">
        <v>0</v>
      </c>
      <c r="T73" s="33">
        <f t="shared" si="112"/>
        <v>0</v>
      </c>
      <c r="U73" s="33">
        <f t="shared" si="113"/>
        <v>0</v>
      </c>
      <c r="V73" s="56">
        <v>0</v>
      </c>
      <c r="W73" s="33">
        <f t="shared" si="114"/>
        <v>0</v>
      </c>
      <c r="X73" s="56">
        <v>0</v>
      </c>
      <c r="Y73" s="56">
        <v>0</v>
      </c>
      <c r="Z73" s="33">
        <f t="shared" si="115"/>
        <v>0</v>
      </c>
      <c r="AA73" s="33">
        <f t="shared" si="116"/>
        <v>0</v>
      </c>
      <c r="AB73" s="80">
        <v>4</v>
      </c>
      <c r="AC73" s="117">
        <f t="shared" si="118"/>
        <v>504.8</v>
      </c>
      <c r="AD73" s="10">
        <v>0</v>
      </c>
      <c r="AE73" s="10">
        <v>0</v>
      </c>
      <c r="AF73" s="117">
        <f t="shared" si="119"/>
        <v>0</v>
      </c>
      <c r="AG73" s="118">
        <f t="shared" si="120"/>
        <v>0</v>
      </c>
      <c r="AH73" s="80">
        <f t="shared" si="121"/>
        <v>4</v>
      </c>
      <c r="AI73" s="112">
        <f t="shared" si="117"/>
        <v>504.8</v>
      </c>
      <c r="AJ73" s="111">
        <v>0</v>
      </c>
      <c r="AK73" s="111">
        <v>0</v>
      </c>
      <c r="AL73" s="112">
        <f t="shared" ca="1" si="96"/>
        <v>0</v>
      </c>
      <c r="AM73" s="112">
        <f t="shared" si="97"/>
        <v>0</v>
      </c>
      <c r="AN73" s="80">
        <f t="shared" si="122"/>
        <v>4</v>
      </c>
      <c r="AO73" s="12">
        <f t="shared" si="123"/>
        <v>504.8</v>
      </c>
      <c r="AP73" s="10">
        <v>0</v>
      </c>
      <c r="AQ73" s="10">
        <v>0</v>
      </c>
      <c r="AR73" s="12">
        <f t="shared" si="124"/>
        <v>0</v>
      </c>
      <c r="AS73" s="12">
        <f t="shared" si="125"/>
        <v>0</v>
      </c>
      <c r="AT73" s="13">
        <f t="shared" si="126"/>
        <v>4</v>
      </c>
      <c r="AU73" s="12">
        <f t="shared" si="127"/>
        <v>504.8</v>
      </c>
      <c r="AV73" s="10">
        <v>0</v>
      </c>
      <c r="AW73" s="10">
        <v>0</v>
      </c>
      <c r="AX73" s="12">
        <f t="shared" si="128"/>
        <v>0</v>
      </c>
      <c r="AY73" s="12">
        <f t="shared" si="129"/>
        <v>0</v>
      </c>
      <c r="AZ73" s="32">
        <f t="shared" si="130"/>
        <v>4</v>
      </c>
      <c r="BA73" s="12">
        <f t="shared" si="131"/>
        <v>504.8</v>
      </c>
      <c r="BB73" s="10">
        <v>0</v>
      </c>
      <c r="BC73" s="10">
        <v>0</v>
      </c>
      <c r="BD73" s="12">
        <f t="shared" si="132"/>
        <v>0</v>
      </c>
      <c r="BE73" s="12">
        <f t="shared" si="133"/>
        <v>0</v>
      </c>
      <c r="BF73" s="31" t="s">
        <v>48</v>
      </c>
      <c r="BG73" s="12">
        <f t="shared" si="83"/>
        <v>504.8</v>
      </c>
      <c r="BH73" s="10">
        <v>0</v>
      </c>
      <c r="BI73" s="10">
        <v>0</v>
      </c>
      <c r="BJ73" s="12">
        <f t="shared" si="84"/>
        <v>0</v>
      </c>
      <c r="BK73" s="12">
        <f t="shared" si="85"/>
        <v>0</v>
      </c>
      <c r="BL73" s="31" t="s">
        <v>48</v>
      </c>
      <c r="BM73" s="12">
        <f t="shared" si="86"/>
        <v>504.8</v>
      </c>
      <c r="BN73" s="10">
        <v>0</v>
      </c>
      <c r="BO73" s="10">
        <v>0</v>
      </c>
      <c r="BP73" s="12">
        <f t="shared" si="87"/>
        <v>0</v>
      </c>
      <c r="BQ73" s="12">
        <f t="shared" si="88"/>
        <v>0</v>
      </c>
      <c r="BR73" s="31" t="s">
        <v>48</v>
      </c>
      <c r="BS73" s="12">
        <f t="shared" si="89"/>
        <v>504.8</v>
      </c>
      <c r="BT73" s="10">
        <v>0</v>
      </c>
      <c r="BU73" s="10">
        <v>0</v>
      </c>
      <c r="BV73" s="12">
        <f t="shared" si="90"/>
        <v>0</v>
      </c>
      <c r="BW73" s="12">
        <f t="shared" si="91"/>
        <v>0</v>
      </c>
      <c r="BX73" s="31" t="s">
        <v>48</v>
      </c>
      <c r="BY73" s="12">
        <f t="shared" si="92"/>
        <v>504.8</v>
      </c>
      <c r="BZ73" s="10">
        <v>0</v>
      </c>
      <c r="CA73" s="10">
        <v>0</v>
      </c>
      <c r="CB73" s="12">
        <f t="shared" si="93"/>
        <v>0</v>
      </c>
      <c r="CC73" s="12">
        <f t="shared" si="94"/>
        <v>0</v>
      </c>
      <c r="CD73" s="31" t="s">
        <v>48</v>
      </c>
      <c r="CE73" s="12">
        <f t="shared" si="95"/>
        <v>504.8</v>
      </c>
    </row>
    <row r="74" spans="1:83" ht="80.25" customHeight="1">
      <c r="A74" s="148" t="s">
        <v>280</v>
      </c>
      <c r="B74" s="155" t="s">
        <v>281</v>
      </c>
      <c r="C74" s="173" t="s">
        <v>282</v>
      </c>
      <c r="D74" s="156">
        <v>2014</v>
      </c>
      <c r="E74" s="154"/>
      <c r="F74" s="154"/>
      <c r="G74" s="154"/>
      <c r="H74" s="165">
        <v>3</v>
      </c>
      <c r="I74" s="159">
        <v>1</v>
      </c>
      <c r="J74" s="56">
        <v>0</v>
      </c>
      <c r="K74" s="33">
        <f t="shared" si="108"/>
        <v>0</v>
      </c>
      <c r="L74" s="10">
        <v>0</v>
      </c>
      <c r="M74" s="10">
        <v>0</v>
      </c>
      <c r="N74" s="33">
        <f t="shared" si="109"/>
        <v>0</v>
      </c>
      <c r="O74" s="33">
        <f t="shared" si="110"/>
        <v>0</v>
      </c>
      <c r="P74" s="56">
        <v>0</v>
      </c>
      <c r="Q74" s="33">
        <f t="shared" si="111"/>
        <v>0</v>
      </c>
      <c r="R74" s="56">
        <v>0</v>
      </c>
      <c r="S74" s="56">
        <v>0</v>
      </c>
      <c r="T74" s="33">
        <f t="shared" si="112"/>
        <v>0</v>
      </c>
      <c r="U74" s="33">
        <f t="shared" si="113"/>
        <v>0</v>
      </c>
      <c r="V74" s="56">
        <v>0</v>
      </c>
      <c r="W74" s="33">
        <f t="shared" si="114"/>
        <v>0</v>
      </c>
      <c r="X74" s="56">
        <v>0</v>
      </c>
      <c r="Y74" s="56">
        <v>0</v>
      </c>
      <c r="Z74" s="33">
        <f t="shared" si="115"/>
        <v>0</v>
      </c>
      <c r="AA74" s="33">
        <f t="shared" si="116"/>
        <v>0</v>
      </c>
      <c r="AB74" s="146">
        <v>3</v>
      </c>
      <c r="AC74" s="117">
        <f t="shared" si="118"/>
        <v>3</v>
      </c>
      <c r="AD74" s="10">
        <v>0</v>
      </c>
      <c r="AE74" s="10">
        <v>0</v>
      </c>
      <c r="AF74" s="117">
        <f t="shared" si="119"/>
        <v>0</v>
      </c>
      <c r="AG74" s="118">
        <f t="shared" si="120"/>
        <v>0</v>
      </c>
      <c r="AH74" s="80">
        <f t="shared" si="121"/>
        <v>3</v>
      </c>
      <c r="AI74" s="127">
        <f t="shared" ref="AI74:AI105" si="134">AH74*I74</f>
        <v>3</v>
      </c>
      <c r="AJ74" s="111">
        <v>0</v>
      </c>
      <c r="AK74" s="111">
        <v>0</v>
      </c>
      <c r="AL74" s="112">
        <f t="shared" ca="1" si="96"/>
        <v>0</v>
      </c>
      <c r="AM74" s="112">
        <f t="shared" si="97"/>
        <v>0</v>
      </c>
      <c r="AN74" s="80">
        <f t="shared" si="122"/>
        <v>3</v>
      </c>
      <c r="AO74" s="12">
        <f t="shared" si="123"/>
        <v>3</v>
      </c>
      <c r="AP74" s="10">
        <v>0</v>
      </c>
      <c r="AQ74" s="10">
        <v>0</v>
      </c>
      <c r="AR74" s="12">
        <f t="shared" si="124"/>
        <v>0</v>
      </c>
      <c r="AS74" s="12">
        <f t="shared" si="125"/>
        <v>0</v>
      </c>
      <c r="AT74" s="13">
        <f t="shared" si="126"/>
        <v>3</v>
      </c>
      <c r="AU74" s="12">
        <f t="shared" si="127"/>
        <v>3</v>
      </c>
      <c r="AV74" s="10">
        <v>0</v>
      </c>
      <c r="AW74" s="10">
        <v>0</v>
      </c>
      <c r="AX74" s="12">
        <f t="shared" si="128"/>
        <v>0</v>
      </c>
      <c r="AY74" s="12">
        <f t="shared" si="129"/>
        <v>0</v>
      </c>
      <c r="AZ74" s="32">
        <f t="shared" si="130"/>
        <v>3</v>
      </c>
      <c r="BA74" s="12">
        <f t="shared" si="131"/>
        <v>3</v>
      </c>
      <c r="BB74" s="10">
        <v>0</v>
      </c>
      <c r="BC74" s="10">
        <v>0</v>
      </c>
      <c r="BD74" s="12">
        <f t="shared" si="132"/>
        <v>0</v>
      </c>
      <c r="BE74" s="12">
        <f t="shared" si="133"/>
        <v>0</v>
      </c>
      <c r="BF74" s="48">
        <v>3</v>
      </c>
      <c r="BG74" s="12">
        <f t="shared" ref="BG74:BG81" si="135">AN74*I74</f>
        <v>3</v>
      </c>
      <c r="BH74" s="10">
        <v>0</v>
      </c>
      <c r="BI74" s="10">
        <v>0</v>
      </c>
      <c r="BJ74" s="33">
        <f t="shared" ref="BJ74:BJ105" si="136">BI74*AM74</f>
        <v>0</v>
      </c>
      <c r="BK74" s="33">
        <f t="shared" ref="BK74:BK105" si="137">BJ74*AN74</f>
        <v>0</v>
      </c>
      <c r="BL74" s="48">
        <v>3</v>
      </c>
      <c r="BM74" s="12">
        <f t="shared" ref="BM74:BM81" si="138">AN74*I74</f>
        <v>3</v>
      </c>
      <c r="BN74" s="10">
        <v>0</v>
      </c>
      <c r="BO74" s="10">
        <v>0</v>
      </c>
      <c r="BP74" s="33">
        <f t="shared" ref="BP74:BP105" si="139">BO74*AS74</f>
        <v>0</v>
      </c>
      <c r="BQ74" s="33">
        <f t="shared" ref="BQ74:BQ105" si="140">BP74*AT74</f>
        <v>0</v>
      </c>
      <c r="BR74" s="48">
        <v>3</v>
      </c>
      <c r="BS74" s="12">
        <f t="shared" ref="BS74:BS81" si="141">AN74*I74</f>
        <v>3</v>
      </c>
      <c r="BT74" s="10">
        <v>0</v>
      </c>
      <c r="BU74" s="10">
        <v>0</v>
      </c>
      <c r="BV74" s="33">
        <f t="shared" ref="BV74:BV105" si="142">BU74*AY74</f>
        <v>0</v>
      </c>
      <c r="BW74" s="33">
        <f t="shared" ref="BW74:BW105" si="143">BV74*AZ74</f>
        <v>0</v>
      </c>
      <c r="BX74" s="48">
        <v>3</v>
      </c>
      <c r="BY74" s="12">
        <f t="shared" ref="BY74:BY81" si="144">AN74*I74</f>
        <v>3</v>
      </c>
      <c r="BZ74" s="10">
        <v>0</v>
      </c>
      <c r="CA74" s="10">
        <v>0</v>
      </c>
      <c r="CB74" s="33">
        <f t="shared" ref="CB74:CB105" si="145">CA74*BE74</f>
        <v>0</v>
      </c>
      <c r="CC74" s="33">
        <f t="shared" ref="CC74:CC105" si="146">CB74*BF74</f>
        <v>0</v>
      </c>
      <c r="CD74" s="48">
        <v>3</v>
      </c>
      <c r="CE74" s="12">
        <f t="shared" ref="CE74:CE81" si="147">AN74*I74</f>
        <v>3</v>
      </c>
    </row>
    <row r="75" spans="1:83" ht="80.25" customHeight="1">
      <c r="A75" s="148" t="s">
        <v>283</v>
      </c>
      <c r="B75" s="155" t="s">
        <v>284</v>
      </c>
      <c r="C75" s="174" t="s">
        <v>285</v>
      </c>
      <c r="D75" s="157">
        <v>2015</v>
      </c>
      <c r="E75" s="154"/>
      <c r="F75" s="154"/>
      <c r="G75" s="154"/>
      <c r="H75" s="165">
        <v>4</v>
      </c>
      <c r="I75" s="159">
        <v>1</v>
      </c>
      <c r="J75" s="56">
        <v>0</v>
      </c>
      <c r="K75" s="33">
        <f t="shared" si="108"/>
        <v>0</v>
      </c>
      <c r="L75" s="10">
        <v>0</v>
      </c>
      <c r="M75" s="10">
        <v>0</v>
      </c>
      <c r="N75" s="33">
        <f t="shared" si="109"/>
        <v>0</v>
      </c>
      <c r="O75" s="33">
        <f t="shared" si="110"/>
        <v>0</v>
      </c>
      <c r="P75" s="56">
        <v>0</v>
      </c>
      <c r="Q75" s="33">
        <f t="shared" si="111"/>
        <v>0</v>
      </c>
      <c r="R75" s="56">
        <v>0</v>
      </c>
      <c r="S75" s="56">
        <v>0</v>
      </c>
      <c r="T75" s="33">
        <f t="shared" si="112"/>
        <v>0</v>
      </c>
      <c r="U75" s="33">
        <f t="shared" si="113"/>
        <v>0</v>
      </c>
      <c r="V75" s="56">
        <v>0</v>
      </c>
      <c r="W75" s="33">
        <f t="shared" si="114"/>
        <v>0</v>
      </c>
      <c r="X75" s="56">
        <v>0</v>
      </c>
      <c r="Y75" s="56">
        <v>0</v>
      </c>
      <c r="Z75" s="33">
        <f t="shared" si="115"/>
        <v>0</v>
      </c>
      <c r="AA75" s="33">
        <f t="shared" si="116"/>
        <v>0</v>
      </c>
      <c r="AB75" s="146">
        <v>4</v>
      </c>
      <c r="AC75" s="117">
        <f t="shared" si="118"/>
        <v>4</v>
      </c>
      <c r="AD75" s="10">
        <v>0</v>
      </c>
      <c r="AE75" s="10">
        <v>0</v>
      </c>
      <c r="AF75" s="117">
        <f t="shared" si="119"/>
        <v>0</v>
      </c>
      <c r="AG75" s="118">
        <f t="shared" si="120"/>
        <v>0</v>
      </c>
      <c r="AH75" s="80">
        <f t="shared" si="121"/>
        <v>4</v>
      </c>
      <c r="AI75" s="127">
        <f t="shared" si="134"/>
        <v>4</v>
      </c>
      <c r="AJ75" s="111">
        <v>0</v>
      </c>
      <c r="AK75" s="111">
        <v>0</v>
      </c>
      <c r="AL75" s="112">
        <f t="shared" ca="1" si="96"/>
        <v>0</v>
      </c>
      <c r="AM75" s="112">
        <f t="shared" si="97"/>
        <v>0</v>
      </c>
      <c r="AN75" s="80">
        <f t="shared" si="122"/>
        <v>4</v>
      </c>
      <c r="AO75" s="12">
        <f t="shared" si="123"/>
        <v>4</v>
      </c>
      <c r="AP75" s="10">
        <v>0</v>
      </c>
      <c r="AQ75" s="10">
        <v>0</v>
      </c>
      <c r="AR75" s="12">
        <f t="shared" si="124"/>
        <v>0</v>
      </c>
      <c r="AS75" s="12">
        <f t="shared" si="125"/>
        <v>0</v>
      </c>
      <c r="AT75" s="13">
        <f t="shared" si="126"/>
        <v>4</v>
      </c>
      <c r="AU75" s="12">
        <f t="shared" si="127"/>
        <v>4</v>
      </c>
      <c r="AV75" s="10">
        <v>0</v>
      </c>
      <c r="AW75" s="10">
        <v>0</v>
      </c>
      <c r="AX75" s="12">
        <f t="shared" si="128"/>
        <v>0</v>
      </c>
      <c r="AY75" s="12">
        <f t="shared" si="129"/>
        <v>0</v>
      </c>
      <c r="AZ75" s="32">
        <f t="shared" si="130"/>
        <v>4</v>
      </c>
      <c r="BA75" s="12">
        <f t="shared" si="131"/>
        <v>4</v>
      </c>
      <c r="BB75" s="10">
        <v>0</v>
      </c>
      <c r="BC75" s="10">
        <v>0</v>
      </c>
      <c r="BD75" s="12">
        <f t="shared" si="132"/>
        <v>0</v>
      </c>
      <c r="BE75" s="12">
        <f t="shared" si="133"/>
        <v>0</v>
      </c>
      <c r="BF75" s="48">
        <v>4</v>
      </c>
      <c r="BG75" s="12">
        <f t="shared" si="135"/>
        <v>4</v>
      </c>
      <c r="BH75" s="10">
        <v>0</v>
      </c>
      <c r="BI75" s="10">
        <v>0</v>
      </c>
      <c r="BJ75" s="33">
        <f t="shared" si="136"/>
        <v>0</v>
      </c>
      <c r="BK75" s="33">
        <f t="shared" si="137"/>
        <v>0</v>
      </c>
      <c r="BL75" s="48">
        <v>4</v>
      </c>
      <c r="BM75" s="12">
        <f t="shared" si="138"/>
        <v>4</v>
      </c>
      <c r="BN75" s="10">
        <v>0</v>
      </c>
      <c r="BO75" s="10">
        <v>0</v>
      </c>
      <c r="BP75" s="33">
        <f t="shared" si="139"/>
        <v>0</v>
      </c>
      <c r="BQ75" s="33">
        <f t="shared" si="140"/>
        <v>0</v>
      </c>
      <c r="BR75" s="48">
        <v>4</v>
      </c>
      <c r="BS75" s="12">
        <f t="shared" si="141"/>
        <v>4</v>
      </c>
      <c r="BT75" s="10">
        <v>0</v>
      </c>
      <c r="BU75" s="10">
        <v>0</v>
      </c>
      <c r="BV75" s="33">
        <f t="shared" si="142"/>
        <v>0</v>
      </c>
      <c r="BW75" s="33">
        <f t="shared" si="143"/>
        <v>0</v>
      </c>
      <c r="BX75" s="48">
        <v>4</v>
      </c>
      <c r="BY75" s="12">
        <f t="shared" si="144"/>
        <v>4</v>
      </c>
      <c r="BZ75" s="10">
        <v>0</v>
      </c>
      <c r="CA75" s="10">
        <v>0</v>
      </c>
      <c r="CB75" s="33">
        <f t="shared" si="145"/>
        <v>0</v>
      </c>
      <c r="CC75" s="33">
        <f t="shared" si="146"/>
        <v>0</v>
      </c>
      <c r="CD75" s="48">
        <v>4</v>
      </c>
      <c r="CE75" s="12">
        <f t="shared" si="147"/>
        <v>4</v>
      </c>
    </row>
    <row r="76" spans="1:83" ht="80.25" customHeight="1">
      <c r="A76" s="148" t="s">
        <v>259</v>
      </c>
      <c r="B76" s="155" t="s">
        <v>286</v>
      </c>
      <c r="C76" s="174" t="s">
        <v>287</v>
      </c>
      <c r="D76" s="157">
        <v>2015</v>
      </c>
      <c r="E76" s="154"/>
      <c r="F76" s="154"/>
      <c r="G76" s="154"/>
      <c r="H76" s="165">
        <v>11</v>
      </c>
      <c r="I76" s="159">
        <v>1</v>
      </c>
      <c r="J76" s="56">
        <v>0</v>
      </c>
      <c r="K76" s="33">
        <f t="shared" si="108"/>
        <v>0</v>
      </c>
      <c r="L76" s="10">
        <v>0</v>
      </c>
      <c r="M76" s="10">
        <v>0</v>
      </c>
      <c r="N76" s="33">
        <f t="shared" si="109"/>
        <v>0</v>
      </c>
      <c r="O76" s="33">
        <f t="shared" si="110"/>
        <v>0</v>
      </c>
      <c r="P76" s="56">
        <v>0</v>
      </c>
      <c r="Q76" s="33">
        <f t="shared" si="111"/>
        <v>0</v>
      </c>
      <c r="R76" s="56">
        <v>0</v>
      </c>
      <c r="S76" s="56">
        <v>0</v>
      </c>
      <c r="T76" s="33">
        <f t="shared" si="112"/>
        <v>0</v>
      </c>
      <c r="U76" s="33">
        <f t="shared" si="113"/>
        <v>0</v>
      </c>
      <c r="V76" s="56">
        <v>0</v>
      </c>
      <c r="W76" s="33">
        <f t="shared" si="114"/>
        <v>0</v>
      </c>
      <c r="X76" s="56">
        <v>0</v>
      </c>
      <c r="Y76" s="56">
        <v>0</v>
      </c>
      <c r="Z76" s="33">
        <f t="shared" si="115"/>
        <v>0</v>
      </c>
      <c r="AA76" s="33">
        <f t="shared" si="116"/>
        <v>0</v>
      </c>
      <c r="AB76" s="146">
        <v>11</v>
      </c>
      <c r="AC76" s="117">
        <f t="shared" si="118"/>
        <v>11</v>
      </c>
      <c r="AD76" s="10">
        <v>0</v>
      </c>
      <c r="AE76" s="10">
        <v>0</v>
      </c>
      <c r="AF76" s="117">
        <f t="shared" si="119"/>
        <v>0</v>
      </c>
      <c r="AG76" s="118">
        <f t="shared" si="120"/>
        <v>0</v>
      </c>
      <c r="AH76" s="80">
        <f t="shared" si="121"/>
        <v>11</v>
      </c>
      <c r="AI76" s="127">
        <f t="shared" si="134"/>
        <v>11</v>
      </c>
      <c r="AJ76" s="111">
        <v>0</v>
      </c>
      <c r="AK76" s="111">
        <v>0</v>
      </c>
      <c r="AL76" s="112">
        <f t="shared" ca="1" si="96"/>
        <v>0</v>
      </c>
      <c r="AM76" s="112">
        <f t="shared" si="97"/>
        <v>0</v>
      </c>
      <c r="AN76" s="80">
        <f t="shared" si="122"/>
        <v>11</v>
      </c>
      <c r="AO76" s="12">
        <f t="shared" si="123"/>
        <v>11</v>
      </c>
      <c r="AP76" s="10">
        <v>0</v>
      </c>
      <c r="AQ76" s="10">
        <v>0</v>
      </c>
      <c r="AR76" s="12">
        <f t="shared" si="124"/>
        <v>0</v>
      </c>
      <c r="AS76" s="12">
        <f t="shared" si="125"/>
        <v>0</v>
      </c>
      <c r="AT76" s="13">
        <f t="shared" si="126"/>
        <v>11</v>
      </c>
      <c r="AU76" s="12">
        <f t="shared" si="127"/>
        <v>11</v>
      </c>
      <c r="AV76" s="10">
        <v>0</v>
      </c>
      <c r="AW76" s="10">
        <v>0</v>
      </c>
      <c r="AX76" s="12">
        <f t="shared" si="128"/>
        <v>0</v>
      </c>
      <c r="AY76" s="12">
        <f t="shared" si="129"/>
        <v>0</v>
      </c>
      <c r="AZ76" s="32">
        <f t="shared" si="130"/>
        <v>11</v>
      </c>
      <c r="BA76" s="12">
        <f t="shared" si="131"/>
        <v>11</v>
      </c>
      <c r="BB76" s="10">
        <v>0</v>
      </c>
      <c r="BC76" s="10">
        <v>0</v>
      </c>
      <c r="BD76" s="12">
        <f t="shared" si="132"/>
        <v>0</v>
      </c>
      <c r="BE76" s="12">
        <f t="shared" si="133"/>
        <v>0</v>
      </c>
      <c r="BF76" s="48">
        <v>11</v>
      </c>
      <c r="BG76" s="12">
        <f t="shared" si="135"/>
        <v>11</v>
      </c>
      <c r="BH76" s="10">
        <v>0</v>
      </c>
      <c r="BI76" s="10">
        <v>0</v>
      </c>
      <c r="BJ76" s="33">
        <f t="shared" si="136"/>
        <v>0</v>
      </c>
      <c r="BK76" s="33">
        <f t="shared" si="137"/>
        <v>0</v>
      </c>
      <c r="BL76" s="48">
        <v>11</v>
      </c>
      <c r="BM76" s="12">
        <f t="shared" si="138"/>
        <v>11</v>
      </c>
      <c r="BN76" s="10">
        <v>0</v>
      </c>
      <c r="BO76" s="10">
        <v>0</v>
      </c>
      <c r="BP76" s="33">
        <f t="shared" si="139"/>
        <v>0</v>
      </c>
      <c r="BQ76" s="33">
        <f t="shared" si="140"/>
        <v>0</v>
      </c>
      <c r="BR76" s="48">
        <v>11</v>
      </c>
      <c r="BS76" s="12">
        <f t="shared" si="141"/>
        <v>11</v>
      </c>
      <c r="BT76" s="10">
        <v>0</v>
      </c>
      <c r="BU76" s="10">
        <v>0</v>
      </c>
      <c r="BV76" s="33">
        <f t="shared" si="142"/>
        <v>0</v>
      </c>
      <c r="BW76" s="33">
        <f t="shared" si="143"/>
        <v>0</v>
      </c>
      <c r="BX76" s="48">
        <v>11</v>
      </c>
      <c r="BY76" s="12">
        <f t="shared" si="144"/>
        <v>11</v>
      </c>
      <c r="BZ76" s="10">
        <v>0</v>
      </c>
      <c r="CA76" s="10">
        <v>0</v>
      </c>
      <c r="CB76" s="33">
        <f t="shared" si="145"/>
        <v>0</v>
      </c>
      <c r="CC76" s="33">
        <f t="shared" si="146"/>
        <v>0</v>
      </c>
      <c r="CD76" s="48">
        <v>11</v>
      </c>
      <c r="CE76" s="12">
        <f t="shared" si="147"/>
        <v>11</v>
      </c>
    </row>
    <row r="77" spans="1:83" ht="80.25" customHeight="1">
      <c r="A77" s="148" t="s">
        <v>288</v>
      </c>
      <c r="B77" s="155" t="s">
        <v>289</v>
      </c>
      <c r="C77" s="173" t="s">
        <v>290</v>
      </c>
      <c r="D77" s="156">
        <v>2012</v>
      </c>
      <c r="E77" s="154"/>
      <c r="F77" s="154"/>
      <c r="G77" s="154"/>
      <c r="H77" s="165">
        <v>17</v>
      </c>
      <c r="I77" s="159">
        <v>1</v>
      </c>
      <c r="J77" s="56">
        <v>0</v>
      </c>
      <c r="K77" s="33">
        <f t="shared" si="108"/>
        <v>0</v>
      </c>
      <c r="L77" s="10">
        <v>0</v>
      </c>
      <c r="M77" s="10">
        <v>0</v>
      </c>
      <c r="N77" s="33">
        <f t="shared" si="109"/>
        <v>0</v>
      </c>
      <c r="O77" s="33">
        <f t="shared" si="110"/>
        <v>0</v>
      </c>
      <c r="P77" s="56">
        <v>0</v>
      </c>
      <c r="Q77" s="33">
        <f t="shared" si="111"/>
        <v>0</v>
      </c>
      <c r="R77" s="56">
        <v>0</v>
      </c>
      <c r="S77" s="56">
        <v>0</v>
      </c>
      <c r="T77" s="33">
        <f t="shared" si="112"/>
        <v>0</v>
      </c>
      <c r="U77" s="33">
        <f t="shared" si="113"/>
        <v>0</v>
      </c>
      <c r="V77" s="56">
        <v>0</v>
      </c>
      <c r="W77" s="33">
        <f t="shared" si="114"/>
        <v>0</v>
      </c>
      <c r="X77" s="56">
        <v>0</v>
      </c>
      <c r="Y77" s="56">
        <v>0</v>
      </c>
      <c r="Z77" s="33">
        <f t="shared" si="115"/>
        <v>0</v>
      </c>
      <c r="AA77" s="33">
        <f t="shared" si="116"/>
        <v>0</v>
      </c>
      <c r="AB77" s="146">
        <v>17</v>
      </c>
      <c r="AC77" s="117">
        <f t="shared" si="118"/>
        <v>17</v>
      </c>
      <c r="AD77" s="10">
        <v>0</v>
      </c>
      <c r="AE77" s="10">
        <v>0</v>
      </c>
      <c r="AF77" s="117">
        <f t="shared" si="119"/>
        <v>0</v>
      </c>
      <c r="AG77" s="118">
        <f t="shared" si="120"/>
        <v>0</v>
      </c>
      <c r="AH77" s="80">
        <f t="shared" si="121"/>
        <v>17</v>
      </c>
      <c r="AI77" s="127">
        <f t="shared" si="134"/>
        <v>17</v>
      </c>
      <c r="AJ77" s="111">
        <v>0</v>
      </c>
      <c r="AK77" s="111">
        <v>0</v>
      </c>
      <c r="AL77" s="112">
        <f t="shared" ca="1" si="96"/>
        <v>0</v>
      </c>
      <c r="AM77" s="112">
        <f t="shared" si="97"/>
        <v>0</v>
      </c>
      <c r="AN77" s="80">
        <f t="shared" si="122"/>
        <v>17</v>
      </c>
      <c r="AO77" s="12">
        <f t="shared" si="123"/>
        <v>17</v>
      </c>
      <c r="AP77" s="10">
        <v>0</v>
      </c>
      <c r="AQ77" s="10">
        <v>0</v>
      </c>
      <c r="AR77" s="12">
        <f t="shared" si="124"/>
        <v>0</v>
      </c>
      <c r="AS77" s="12">
        <f t="shared" si="125"/>
        <v>0</v>
      </c>
      <c r="AT77" s="13">
        <f t="shared" si="126"/>
        <v>17</v>
      </c>
      <c r="AU77" s="12">
        <f t="shared" si="127"/>
        <v>17</v>
      </c>
      <c r="AV77" s="10">
        <v>0</v>
      </c>
      <c r="AW77" s="10">
        <v>0</v>
      </c>
      <c r="AX77" s="12">
        <f t="shared" si="128"/>
        <v>0</v>
      </c>
      <c r="AY77" s="12">
        <f t="shared" si="129"/>
        <v>0</v>
      </c>
      <c r="AZ77" s="32">
        <f t="shared" si="130"/>
        <v>17</v>
      </c>
      <c r="BA77" s="12">
        <f t="shared" si="131"/>
        <v>17</v>
      </c>
      <c r="BB77" s="10">
        <v>0</v>
      </c>
      <c r="BC77" s="10">
        <v>0</v>
      </c>
      <c r="BD77" s="12">
        <f t="shared" si="132"/>
        <v>0</v>
      </c>
      <c r="BE77" s="12">
        <f t="shared" si="133"/>
        <v>0</v>
      </c>
      <c r="BF77" s="48">
        <v>17</v>
      </c>
      <c r="BG77" s="12">
        <f t="shared" si="135"/>
        <v>17</v>
      </c>
      <c r="BH77" s="10">
        <v>0</v>
      </c>
      <c r="BI77" s="10">
        <v>0</v>
      </c>
      <c r="BJ77" s="33">
        <f t="shared" si="136"/>
        <v>0</v>
      </c>
      <c r="BK77" s="33">
        <f t="shared" si="137"/>
        <v>0</v>
      </c>
      <c r="BL77" s="48">
        <v>17</v>
      </c>
      <c r="BM77" s="12">
        <f t="shared" si="138"/>
        <v>17</v>
      </c>
      <c r="BN77" s="10">
        <v>0</v>
      </c>
      <c r="BO77" s="10">
        <v>0</v>
      </c>
      <c r="BP77" s="33">
        <f t="shared" si="139"/>
        <v>0</v>
      </c>
      <c r="BQ77" s="33">
        <f t="shared" si="140"/>
        <v>0</v>
      </c>
      <c r="BR77" s="48">
        <v>17</v>
      </c>
      <c r="BS77" s="12">
        <f t="shared" si="141"/>
        <v>17</v>
      </c>
      <c r="BT77" s="10">
        <v>0</v>
      </c>
      <c r="BU77" s="10">
        <v>0</v>
      </c>
      <c r="BV77" s="33">
        <f t="shared" si="142"/>
        <v>0</v>
      </c>
      <c r="BW77" s="33">
        <f t="shared" si="143"/>
        <v>0</v>
      </c>
      <c r="BX77" s="48">
        <v>17</v>
      </c>
      <c r="BY77" s="12">
        <f t="shared" si="144"/>
        <v>17</v>
      </c>
      <c r="BZ77" s="10">
        <v>0</v>
      </c>
      <c r="CA77" s="10">
        <v>0</v>
      </c>
      <c r="CB77" s="33">
        <f t="shared" si="145"/>
        <v>0</v>
      </c>
      <c r="CC77" s="33">
        <f t="shared" si="146"/>
        <v>0</v>
      </c>
      <c r="CD77" s="48">
        <v>17</v>
      </c>
      <c r="CE77" s="12">
        <f t="shared" si="147"/>
        <v>17</v>
      </c>
    </row>
    <row r="78" spans="1:83" ht="80.25" customHeight="1">
      <c r="A78" s="148" t="s">
        <v>291</v>
      </c>
      <c r="B78" s="155" t="s">
        <v>292</v>
      </c>
      <c r="C78" s="174" t="s">
        <v>293</v>
      </c>
      <c r="D78" s="157">
        <v>2004</v>
      </c>
      <c r="E78" s="154"/>
      <c r="F78" s="154"/>
      <c r="G78" s="154"/>
      <c r="H78" s="165">
        <v>10</v>
      </c>
      <c r="I78" s="159">
        <v>1</v>
      </c>
      <c r="J78" s="56">
        <v>0</v>
      </c>
      <c r="K78" s="33">
        <f t="shared" si="108"/>
        <v>0</v>
      </c>
      <c r="L78" s="10">
        <v>0</v>
      </c>
      <c r="M78" s="10">
        <v>0</v>
      </c>
      <c r="N78" s="33">
        <f t="shared" si="109"/>
        <v>0</v>
      </c>
      <c r="O78" s="33">
        <f t="shared" si="110"/>
        <v>0</v>
      </c>
      <c r="P78" s="56">
        <v>0</v>
      </c>
      <c r="Q78" s="33">
        <f t="shared" si="111"/>
        <v>0</v>
      </c>
      <c r="R78" s="56">
        <v>0</v>
      </c>
      <c r="S78" s="56">
        <v>0</v>
      </c>
      <c r="T78" s="33">
        <f t="shared" si="112"/>
        <v>0</v>
      </c>
      <c r="U78" s="33">
        <f t="shared" si="113"/>
        <v>0</v>
      </c>
      <c r="V78" s="56">
        <v>0</v>
      </c>
      <c r="W78" s="33">
        <f t="shared" si="114"/>
        <v>0</v>
      </c>
      <c r="X78" s="56">
        <v>0</v>
      </c>
      <c r="Y78" s="56">
        <v>0</v>
      </c>
      <c r="Z78" s="33">
        <f t="shared" si="115"/>
        <v>0</v>
      </c>
      <c r="AA78" s="33">
        <f t="shared" si="116"/>
        <v>0</v>
      </c>
      <c r="AB78" s="146">
        <v>10</v>
      </c>
      <c r="AC78" s="117">
        <f t="shared" si="118"/>
        <v>10</v>
      </c>
      <c r="AD78" s="10">
        <v>0</v>
      </c>
      <c r="AE78" s="10">
        <v>0</v>
      </c>
      <c r="AF78" s="117">
        <f t="shared" si="119"/>
        <v>0</v>
      </c>
      <c r="AG78" s="118">
        <f t="shared" si="120"/>
        <v>0</v>
      </c>
      <c r="AH78" s="80">
        <f t="shared" si="121"/>
        <v>10</v>
      </c>
      <c r="AI78" s="127">
        <f t="shared" si="134"/>
        <v>10</v>
      </c>
      <c r="AJ78" s="111">
        <v>0</v>
      </c>
      <c r="AK78" s="111">
        <v>0</v>
      </c>
      <c r="AL78" s="112">
        <f t="shared" ca="1" si="96"/>
        <v>0</v>
      </c>
      <c r="AM78" s="112">
        <f t="shared" si="97"/>
        <v>0</v>
      </c>
      <c r="AN78" s="80">
        <f t="shared" si="122"/>
        <v>10</v>
      </c>
      <c r="AO78" s="12">
        <f t="shared" si="123"/>
        <v>10</v>
      </c>
      <c r="AP78" s="10">
        <v>0</v>
      </c>
      <c r="AQ78" s="10">
        <v>0</v>
      </c>
      <c r="AR78" s="12">
        <f t="shared" si="124"/>
        <v>0</v>
      </c>
      <c r="AS78" s="12">
        <f t="shared" si="125"/>
        <v>0</v>
      </c>
      <c r="AT78" s="13">
        <f t="shared" si="126"/>
        <v>10</v>
      </c>
      <c r="AU78" s="12">
        <f t="shared" si="127"/>
        <v>10</v>
      </c>
      <c r="AV78" s="10">
        <v>0</v>
      </c>
      <c r="AW78" s="10">
        <v>0</v>
      </c>
      <c r="AX78" s="12">
        <f t="shared" si="128"/>
        <v>0</v>
      </c>
      <c r="AY78" s="12">
        <f t="shared" si="129"/>
        <v>0</v>
      </c>
      <c r="AZ78" s="32">
        <f t="shared" si="130"/>
        <v>10</v>
      </c>
      <c r="BA78" s="12">
        <f t="shared" si="131"/>
        <v>10</v>
      </c>
      <c r="BB78" s="10">
        <v>0</v>
      </c>
      <c r="BC78" s="10">
        <v>0</v>
      </c>
      <c r="BD78" s="12">
        <f t="shared" si="132"/>
        <v>0</v>
      </c>
      <c r="BE78" s="12">
        <f t="shared" si="133"/>
        <v>0</v>
      </c>
      <c r="BF78" s="48">
        <v>10</v>
      </c>
      <c r="BG78" s="12">
        <f t="shared" si="135"/>
        <v>10</v>
      </c>
      <c r="BH78" s="10">
        <v>0</v>
      </c>
      <c r="BI78" s="10">
        <v>0</v>
      </c>
      <c r="BJ78" s="33">
        <f t="shared" si="136"/>
        <v>0</v>
      </c>
      <c r="BK78" s="33">
        <f t="shared" si="137"/>
        <v>0</v>
      </c>
      <c r="BL78" s="48">
        <v>10</v>
      </c>
      <c r="BM78" s="12">
        <f t="shared" si="138"/>
        <v>10</v>
      </c>
      <c r="BN78" s="10">
        <v>0</v>
      </c>
      <c r="BO78" s="10">
        <v>0</v>
      </c>
      <c r="BP78" s="33">
        <f t="shared" si="139"/>
        <v>0</v>
      </c>
      <c r="BQ78" s="33">
        <f t="shared" si="140"/>
        <v>0</v>
      </c>
      <c r="BR78" s="48">
        <v>10</v>
      </c>
      <c r="BS78" s="12">
        <f t="shared" si="141"/>
        <v>10</v>
      </c>
      <c r="BT78" s="10">
        <v>0</v>
      </c>
      <c r="BU78" s="10">
        <v>0</v>
      </c>
      <c r="BV78" s="33">
        <f t="shared" si="142"/>
        <v>0</v>
      </c>
      <c r="BW78" s="33">
        <f t="shared" si="143"/>
        <v>0</v>
      </c>
      <c r="BX78" s="48">
        <v>10</v>
      </c>
      <c r="BY78" s="12">
        <f t="shared" si="144"/>
        <v>10</v>
      </c>
      <c r="BZ78" s="10">
        <v>0</v>
      </c>
      <c r="CA78" s="10">
        <v>0</v>
      </c>
      <c r="CB78" s="33">
        <f t="shared" si="145"/>
        <v>0</v>
      </c>
      <c r="CC78" s="33">
        <f t="shared" si="146"/>
        <v>0</v>
      </c>
      <c r="CD78" s="48">
        <v>10</v>
      </c>
      <c r="CE78" s="12">
        <f t="shared" si="147"/>
        <v>10</v>
      </c>
    </row>
    <row r="79" spans="1:83" ht="80.25" customHeight="1">
      <c r="A79" s="148" t="s">
        <v>294</v>
      </c>
      <c r="B79" s="155" t="s">
        <v>295</v>
      </c>
      <c r="C79" s="173" t="s">
        <v>296</v>
      </c>
      <c r="D79" s="156">
        <v>2014</v>
      </c>
      <c r="E79" s="154"/>
      <c r="F79" s="154"/>
      <c r="G79" s="154"/>
      <c r="H79" s="165">
        <v>46</v>
      </c>
      <c r="I79" s="159">
        <v>1</v>
      </c>
      <c r="J79" s="56">
        <v>0</v>
      </c>
      <c r="K79" s="33">
        <f t="shared" si="108"/>
        <v>0</v>
      </c>
      <c r="L79" s="10">
        <v>0</v>
      </c>
      <c r="M79" s="10">
        <v>0</v>
      </c>
      <c r="N79" s="33">
        <f t="shared" si="109"/>
        <v>0</v>
      </c>
      <c r="O79" s="33">
        <f t="shared" si="110"/>
        <v>0</v>
      </c>
      <c r="P79" s="56">
        <v>0</v>
      </c>
      <c r="Q79" s="33">
        <f t="shared" si="111"/>
        <v>0</v>
      </c>
      <c r="R79" s="56">
        <v>0</v>
      </c>
      <c r="S79" s="56">
        <v>0</v>
      </c>
      <c r="T79" s="33">
        <f t="shared" si="112"/>
        <v>0</v>
      </c>
      <c r="U79" s="33">
        <f t="shared" si="113"/>
        <v>0</v>
      </c>
      <c r="V79" s="56">
        <v>0</v>
      </c>
      <c r="W79" s="33">
        <f t="shared" si="114"/>
        <v>0</v>
      </c>
      <c r="X79" s="56">
        <v>0</v>
      </c>
      <c r="Y79" s="56">
        <v>0</v>
      </c>
      <c r="Z79" s="33">
        <f t="shared" si="115"/>
        <v>0</v>
      </c>
      <c r="AA79" s="33">
        <f t="shared" si="116"/>
        <v>0</v>
      </c>
      <c r="AB79" s="146">
        <v>46</v>
      </c>
      <c r="AC79" s="117">
        <f t="shared" si="118"/>
        <v>46</v>
      </c>
      <c r="AD79" s="10">
        <v>0</v>
      </c>
      <c r="AE79" s="10">
        <v>0</v>
      </c>
      <c r="AF79" s="117">
        <f t="shared" si="119"/>
        <v>0</v>
      </c>
      <c r="AG79" s="118">
        <f t="shared" si="120"/>
        <v>0</v>
      </c>
      <c r="AH79" s="80">
        <f t="shared" si="121"/>
        <v>46</v>
      </c>
      <c r="AI79" s="127">
        <f t="shared" si="134"/>
        <v>46</v>
      </c>
      <c r="AJ79" s="111">
        <v>0</v>
      </c>
      <c r="AK79" s="111">
        <v>0</v>
      </c>
      <c r="AL79" s="112">
        <f t="shared" ca="1" si="96"/>
        <v>0</v>
      </c>
      <c r="AM79" s="112">
        <f t="shared" si="97"/>
        <v>0</v>
      </c>
      <c r="AN79" s="80">
        <f t="shared" si="122"/>
        <v>46</v>
      </c>
      <c r="AO79" s="12">
        <f t="shared" si="123"/>
        <v>46</v>
      </c>
      <c r="AP79" s="10">
        <v>0</v>
      </c>
      <c r="AQ79" s="10">
        <v>0</v>
      </c>
      <c r="AR79" s="12">
        <f t="shared" si="124"/>
        <v>0</v>
      </c>
      <c r="AS79" s="12">
        <f t="shared" si="125"/>
        <v>0</v>
      </c>
      <c r="AT79" s="13">
        <f t="shared" si="126"/>
        <v>46</v>
      </c>
      <c r="AU79" s="12">
        <f t="shared" si="127"/>
        <v>46</v>
      </c>
      <c r="AV79" s="10">
        <v>0</v>
      </c>
      <c r="AW79" s="10">
        <v>0</v>
      </c>
      <c r="AX79" s="12">
        <f t="shared" si="128"/>
        <v>0</v>
      </c>
      <c r="AY79" s="12">
        <f t="shared" si="129"/>
        <v>0</v>
      </c>
      <c r="AZ79" s="32">
        <f t="shared" si="130"/>
        <v>46</v>
      </c>
      <c r="BA79" s="12">
        <f t="shared" si="131"/>
        <v>46</v>
      </c>
      <c r="BB79" s="10">
        <v>0</v>
      </c>
      <c r="BC79" s="10">
        <v>0</v>
      </c>
      <c r="BD79" s="12">
        <f t="shared" si="132"/>
        <v>0</v>
      </c>
      <c r="BE79" s="12">
        <f t="shared" si="133"/>
        <v>0</v>
      </c>
      <c r="BF79" s="48">
        <v>46</v>
      </c>
      <c r="BG79" s="12">
        <f t="shared" si="135"/>
        <v>46</v>
      </c>
      <c r="BH79" s="10">
        <v>0</v>
      </c>
      <c r="BI79" s="10">
        <v>0</v>
      </c>
      <c r="BJ79" s="33">
        <f t="shared" si="136"/>
        <v>0</v>
      </c>
      <c r="BK79" s="33">
        <f t="shared" si="137"/>
        <v>0</v>
      </c>
      <c r="BL79" s="48">
        <v>46</v>
      </c>
      <c r="BM79" s="12">
        <f t="shared" si="138"/>
        <v>46</v>
      </c>
      <c r="BN79" s="10">
        <v>0</v>
      </c>
      <c r="BO79" s="10">
        <v>0</v>
      </c>
      <c r="BP79" s="33">
        <f t="shared" si="139"/>
        <v>0</v>
      </c>
      <c r="BQ79" s="33">
        <f t="shared" si="140"/>
        <v>0</v>
      </c>
      <c r="BR79" s="48">
        <v>46</v>
      </c>
      <c r="BS79" s="12">
        <f t="shared" si="141"/>
        <v>46</v>
      </c>
      <c r="BT79" s="10">
        <v>0</v>
      </c>
      <c r="BU79" s="10">
        <v>0</v>
      </c>
      <c r="BV79" s="33">
        <f t="shared" si="142"/>
        <v>0</v>
      </c>
      <c r="BW79" s="33">
        <f t="shared" si="143"/>
        <v>0</v>
      </c>
      <c r="BX79" s="48">
        <v>46</v>
      </c>
      <c r="BY79" s="12">
        <f t="shared" si="144"/>
        <v>46</v>
      </c>
      <c r="BZ79" s="10">
        <v>0</v>
      </c>
      <c r="CA79" s="10">
        <v>0</v>
      </c>
      <c r="CB79" s="33">
        <f t="shared" si="145"/>
        <v>0</v>
      </c>
      <c r="CC79" s="33">
        <f t="shared" si="146"/>
        <v>0</v>
      </c>
      <c r="CD79" s="48">
        <v>46</v>
      </c>
      <c r="CE79" s="12">
        <f t="shared" si="147"/>
        <v>46</v>
      </c>
    </row>
    <row r="80" spans="1:83" ht="80.25" customHeight="1">
      <c r="A80" s="148" t="s">
        <v>269</v>
      </c>
      <c r="B80" s="155" t="s">
        <v>297</v>
      </c>
      <c r="C80" s="174" t="s">
        <v>298</v>
      </c>
      <c r="D80" s="157">
        <v>2004</v>
      </c>
      <c r="E80" s="154"/>
      <c r="F80" s="154"/>
      <c r="G80" s="154"/>
      <c r="H80" s="165">
        <v>8</v>
      </c>
      <c r="I80" s="159">
        <v>1</v>
      </c>
      <c r="J80" s="56">
        <v>0</v>
      </c>
      <c r="K80" s="33">
        <f t="shared" si="108"/>
        <v>0</v>
      </c>
      <c r="L80" s="10">
        <v>0</v>
      </c>
      <c r="M80" s="10">
        <v>0</v>
      </c>
      <c r="N80" s="33">
        <f t="shared" si="109"/>
        <v>0</v>
      </c>
      <c r="O80" s="33">
        <f t="shared" si="110"/>
        <v>0</v>
      </c>
      <c r="P80" s="56">
        <v>0</v>
      </c>
      <c r="Q80" s="33">
        <f t="shared" si="111"/>
        <v>0</v>
      </c>
      <c r="R80" s="56">
        <v>0</v>
      </c>
      <c r="S80" s="56">
        <v>0</v>
      </c>
      <c r="T80" s="33">
        <f t="shared" si="112"/>
        <v>0</v>
      </c>
      <c r="U80" s="33">
        <f t="shared" si="113"/>
        <v>0</v>
      </c>
      <c r="V80" s="56">
        <v>0</v>
      </c>
      <c r="W80" s="33">
        <f t="shared" si="114"/>
        <v>0</v>
      </c>
      <c r="X80" s="56">
        <v>0</v>
      </c>
      <c r="Y80" s="56">
        <v>0</v>
      </c>
      <c r="Z80" s="33">
        <f t="shared" si="115"/>
        <v>0</v>
      </c>
      <c r="AA80" s="33">
        <f t="shared" si="116"/>
        <v>0</v>
      </c>
      <c r="AB80" s="146">
        <v>8</v>
      </c>
      <c r="AC80" s="117">
        <f t="shared" si="118"/>
        <v>8</v>
      </c>
      <c r="AD80" s="10">
        <v>0</v>
      </c>
      <c r="AE80" s="10">
        <v>0</v>
      </c>
      <c r="AF80" s="117">
        <f t="shared" si="119"/>
        <v>0</v>
      </c>
      <c r="AG80" s="118">
        <f t="shared" si="120"/>
        <v>0</v>
      </c>
      <c r="AH80" s="80">
        <f t="shared" si="121"/>
        <v>8</v>
      </c>
      <c r="AI80" s="127">
        <f t="shared" si="134"/>
        <v>8</v>
      </c>
      <c r="AJ80" s="111">
        <v>0</v>
      </c>
      <c r="AK80" s="111">
        <v>0</v>
      </c>
      <c r="AL80" s="112">
        <f t="shared" ca="1" si="96"/>
        <v>0</v>
      </c>
      <c r="AM80" s="112">
        <f t="shared" si="97"/>
        <v>0</v>
      </c>
      <c r="AN80" s="80">
        <f t="shared" si="122"/>
        <v>8</v>
      </c>
      <c r="AO80" s="12">
        <f t="shared" si="123"/>
        <v>8</v>
      </c>
      <c r="AP80" s="10">
        <v>0</v>
      </c>
      <c r="AQ80" s="10">
        <v>0</v>
      </c>
      <c r="AR80" s="12">
        <f t="shared" si="124"/>
        <v>0</v>
      </c>
      <c r="AS80" s="12">
        <f t="shared" si="125"/>
        <v>0</v>
      </c>
      <c r="AT80" s="13">
        <f t="shared" si="126"/>
        <v>8</v>
      </c>
      <c r="AU80" s="12">
        <f t="shared" si="127"/>
        <v>8</v>
      </c>
      <c r="AV80" s="10">
        <v>0</v>
      </c>
      <c r="AW80" s="10">
        <v>0</v>
      </c>
      <c r="AX80" s="12">
        <f t="shared" si="128"/>
        <v>0</v>
      </c>
      <c r="AY80" s="12">
        <f t="shared" si="129"/>
        <v>0</v>
      </c>
      <c r="AZ80" s="32">
        <f t="shared" si="130"/>
        <v>8</v>
      </c>
      <c r="BA80" s="12">
        <f t="shared" si="131"/>
        <v>8</v>
      </c>
      <c r="BB80" s="10">
        <v>0</v>
      </c>
      <c r="BC80" s="10">
        <v>0</v>
      </c>
      <c r="BD80" s="12">
        <f t="shared" si="132"/>
        <v>0</v>
      </c>
      <c r="BE80" s="12">
        <f t="shared" si="133"/>
        <v>0</v>
      </c>
      <c r="BF80" s="48">
        <v>8</v>
      </c>
      <c r="BG80" s="12">
        <f t="shared" si="135"/>
        <v>8</v>
      </c>
      <c r="BH80" s="10">
        <v>0</v>
      </c>
      <c r="BI80" s="10">
        <v>0</v>
      </c>
      <c r="BJ80" s="33">
        <f t="shared" si="136"/>
        <v>0</v>
      </c>
      <c r="BK80" s="33">
        <f t="shared" si="137"/>
        <v>0</v>
      </c>
      <c r="BL80" s="48">
        <v>8</v>
      </c>
      <c r="BM80" s="12">
        <f t="shared" si="138"/>
        <v>8</v>
      </c>
      <c r="BN80" s="10">
        <v>0</v>
      </c>
      <c r="BO80" s="10">
        <v>0</v>
      </c>
      <c r="BP80" s="33">
        <f t="shared" si="139"/>
        <v>0</v>
      </c>
      <c r="BQ80" s="33">
        <f t="shared" si="140"/>
        <v>0</v>
      </c>
      <c r="BR80" s="48">
        <v>8</v>
      </c>
      <c r="BS80" s="12">
        <f t="shared" si="141"/>
        <v>8</v>
      </c>
      <c r="BT80" s="10">
        <v>0</v>
      </c>
      <c r="BU80" s="10">
        <v>0</v>
      </c>
      <c r="BV80" s="33">
        <f t="shared" si="142"/>
        <v>0</v>
      </c>
      <c r="BW80" s="33">
        <f t="shared" si="143"/>
        <v>0</v>
      </c>
      <c r="BX80" s="48">
        <v>8</v>
      </c>
      <c r="BY80" s="12">
        <f t="shared" si="144"/>
        <v>8</v>
      </c>
      <c r="BZ80" s="10">
        <v>0</v>
      </c>
      <c r="CA80" s="10">
        <v>0</v>
      </c>
      <c r="CB80" s="33">
        <f t="shared" si="145"/>
        <v>0</v>
      </c>
      <c r="CC80" s="33">
        <f t="shared" si="146"/>
        <v>0</v>
      </c>
      <c r="CD80" s="48">
        <v>8</v>
      </c>
      <c r="CE80" s="12">
        <f t="shared" si="147"/>
        <v>8</v>
      </c>
    </row>
    <row r="81" spans="1:83" ht="80.25" customHeight="1">
      <c r="A81" s="148" t="s">
        <v>299</v>
      </c>
      <c r="B81" s="155" t="s">
        <v>300</v>
      </c>
      <c r="C81" s="173" t="s">
        <v>301</v>
      </c>
      <c r="D81" s="156">
        <v>2019</v>
      </c>
      <c r="E81" s="154"/>
      <c r="F81" s="154"/>
      <c r="G81" s="154"/>
      <c r="H81" s="165">
        <v>1</v>
      </c>
      <c r="I81" s="159">
        <v>1</v>
      </c>
      <c r="J81" s="56">
        <v>0</v>
      </c>
      <c r="K81" s="33">
        <f t="shared" si="108"/>
        <v>0</v>
      </c>
      <c r="L81" s="10">
        <v>0</v>
      </c>
      <c r="M81" s="10">
        <v>0</v>
      </c>
      <c r="N81" s="33">
        <f t="shared" si="109"/>
        <v>0</v>
      </c>
      <c r="O81" s="33">
        <f t="shared" si="110"/>
        <v>0</v>
      </c>
      <c r="P81" s="56">
        <v>0</v>
      </c>
      <c r="Q81" s="33">
        <f t="shared" si="111"/>
        <v>0</v>
      </c>
      <c r="R81" s="56">
        <v>0</v>
      </c>
      <c r="S81" s="56">
        <v>0</v>
      </c>
      <c r="T81" s="33">
        <f t="shared" si="112"/>
        <v>0</v>
      </c>
      <c r="U81" s="33">
        <f t="shared" si="113"/>
        <v>0</v>
      </c>
      <c r="V81" s="56">
        <v>0</v>
      </c>
      <c r="W81" s="33">
        <f t="shared" si="114"/>
        <v>0</v>
      </c>
      <c r="X81" s="56">
        <v>0</v>
      </c>
      <c r="Y81" s="56">
        <v>0</v>
      </c>
      <c r="Z81" s="33">
        <f t="shared" si="115"/>
        <v>0</v>
      </c>
      <c r="AA81" s="33">
        <f t="shared" si="116"/>
        <v>0</v>
      </c>
      <c r="AB81" s="146">
        <v>1</v>
      </c>
      <c r="AC81" s="117">
        <f t="shared" si="118"/>
        <v>1</v>
      </c>
      <c r="AD81" s="10">
        <v>0</v>
      </c>
      <c r="AE81" s="10">
        <v>0</v>
      </c>
      <c r="AF81" s="117">
        <f t="shared" si="119"/>
        <v>0</v>
      </c>
      <c r="AG81" s="118">
        <f t="shared" si="120"/>
        <v>0</v>
      </c>
      <c r="AH81" s="80">
        <f t="shared" si="121"/>
        <v>1</v>
      </c>
      <c r="AI81" s="127">
        <f t="shared" si="134"/>
        <v>1</v>
      </c>
      <c r="AJ81" s="111">
        <v>0</v>
      </c>
      <c r="AK81" s="111">
        <v>0</v>
      </c>
      <c r="AL81" s="112">
        <f t="shared" ca="1" si="96"/>
        <v>0</v>
      </c>
      <c r="AM81" s="112">
        <f t="shared" si="97"/>
        <v>0</v>
      </c>
      <c r="AN81" s="80">
        <f t="shared" si="122"/>
        <v>1</v>
      </c>
      <c r="AO81" s="12">
        <f t="shared" si="123"/>
        <v>1</v>
      </c>
      <c r="AP81" s="10">
        <v>0</v>
      </c>
      <c r="AQ81" s="10">
        <v>0</v>
      </c>
      <c r="AR81" s="12">
        <f t="shared" si="124"/>
        <v>0</v>
      </c>
      <c r="AS81" s="12">
        <f t="shared" si="125"/>
        <v>0</v>
      </c>
      <c r="AT81" s="13">
        <f t="shared" si="126"/>
        <v>1</v>
      </c>
      <c r="AU81" s="12">
        <f t="shared" si="127"/>
        <v>1</v>
      </c>
      <c r="AV81" s="10">
        <v>0</v>
      </c>
      <c r="AW81" s="10">
        <v>0</v>
      </c>
      <c r="AX81" s="12">
        <f t="shared" si="128"/>
        <v>0</v>
      </c>
      <c r="AY81" s="12">
        <f t="shared" si="129"/>
        <v>0</v>
      </c>
      <c r="AZ81" s="32">
        <f t="shared" si="130"/>
        <v>1</v>
      </c>
      <c r="BA81" s="12">
        <f t="shared" si="131"/>
        <v>1</v>
      </c>
      <c r="BB81" s="10">
        <v>0</v>
      </c>
      <c r="BC81" s="10">
        <v>0</v>
      </c>
      <c r="BD81" s="12">
        <f t="shared" si="132"/>
        <v>0</v>
      </c>
      <c r="BE81" s="12">
        <f t="shared" si="133"/>
        <v>0</v>
      </c>
      <c r="BF81" s="48">
        <v>1</v>
      </c>
      <c r="BG81" s="12">
        <f t="shared" si="135"/>
        <v>1</v>
      </c>
      <c r="BH81" s="10">
        <v>0</v>
      </c>
      <c r="BI81" s="10">
        <v>0</v>
      </c>
      <c r="BJ81" s="33">
        <f t="shared" si="136"/>
        <v>0</v>
      </c>
      <c r="BK81" s="33">
        <f t="shared" si="137"/>
        <v>0</v>
      </c>
      <c r="BL81" s="48">
        <v>1</v>
      </c>
      <c r="BM81" s="12">
        <f t="shared" si="138"/>
        <v>1</v>
      </c>
      <c r="BN81" s="10">
        <v>0</v>
      </c>
      <c r="BO81" s="10">
        <v>0</v>
      </c>
      <c r="BP81" s="33">
        <f t="shared" si="139"/>
        <v>0</v>
      </c>
      <c r="BQ81" s="33">
        <f t="shared" si="140"/>
        <v>0</v>
      </c>
      <c r="BR81" s="48">
        <v>1</v>
      </c>
      <c r="BS81" s="12">
        <f t="shared" si="141"/>
        <v>1</v>
      </c>
      <c r="BT81" s="10">
        <v>0</v>
      </c>
      <c r="BU81" s="10">
        <v>0</v>
      </c>
      <c r="BV81" s="33">
        <f t="shared" si="142"/>
        <v>0</v>
      </c>
      <c r="BW81" s="33">
        <f t="shared" si="143"/>
        <v>0</v>
      </c>
      <c r="BX81" s="48">
        <v>1</v>
      </c>
      <c r="BY81" s="12">
        <f t="shared" si="144"/>
        <v>1</v>
      </c>
      <c r="BZ81" s="10">
        <v>0</v>
      </c>
      <c r="CA81" s="10">
        <v>0</v>
      </c>
      <c r="CB81" s="33">
        <f t="shared" si="145"/>
        <v>0</v>
      </c>
      <c r="CC81" s="33">
        <f t="shared" si="146"/>
        <v>0</v>
      </c>
      <c r="CD81" s="48">
        <v>1</v>
      </c>
      <c r="CE81" s="12">
        <f t="shared" si="147"/>
        <v>1</v>
      </c>
    </row>
    <row r="82" spans="1:83" ht="80.25" customHeight="1">
      <c r="A82" s="148" t="s">
        <v>302</v>
      </c>
      <c r="B82" s="155" t="s">
        <v>303</v>
      </c>
      <c r="C82" s="174" t="s">
        <v>304</v>
      </c>
      <c r="D82" s="157">
        <v>2002</v>
      </c>
      <c r="E82" s="154"/>
      <c r="F82" s="154"/>
      <c r="G82" s="154"/>
      <c r="H82" s="165">
        <v>2</v>
      </c>
      <c r="I82" s="159">
        <v>1</v>
      </c>
      <c r="J82" s="56">
        <v>0</v>
      </c>
      <c r="K82" s="33">
        <f t="shared" si="108"/>
        <v>0</v>
      </c>
      <c r="L82" s="10">
        <v>0</v>
      </c>
      <c r="M82" s="10">
        <v>0</v>
      </c>
      <c r="N82" s="33">
        <f t="shared" si="109"/>
        <v>0</v>
      </c>
      <c r="O82" s="33">
        <f t="shared" si="110"/>
        <v>0</v>
      </c>
      <c r="P82" s="56">
        <v>0</v>
      </c>
      <c r="Q82" s="33">
        <f t="shared" si="111"/>
        <v>0</v>
      </c>
      <c r="R82" s="56">
        <v>0</v>
      </c>
      <c r="S82" s="56">
        <v>0</v>
      </c>
      <c r="T82" s="33">
        <f t="shared" si="112"/>
        <v>0</v>
      </c>
      <c r="U82" s="33">
        <f t="shared" si="113"/>
        <v>0</v>
      </c>
      <c r="V82" s="56">
        <v>0</v>
      </c>
      <c r="W82" s="33">
        <f t="shared" si="114"/>
        <v>0</v>
      </c>
      <c r="X82" s="56">
        <v>0</v>
      </c>
      <c r="Y82" s="56">
        <v>0</v>
      </c>
      <c r="Z82" s="33">
        <f t="shared" si="115"/>
        <v>0</v>
      </c>
      <c r="AA82" s="33">
        <f t="shared" si="116"/>
        <v>0</v>
      </c>
      <c r="AB82" s="146">
        <v>2</v>
      </c>
      <c r="AC82" s="117">
        <f t="shared" si="118"/>
        <v>2</v>
      </c>
      <c r="AD82" s="10">
        <v>0</v>
      </c>
      <c r="AE82" s="10">
        <v>0</v>
      </c>
      <c r="AF82" s="117">
        <f t="shared" si="119"/>
        <v>0</v>
      </c>
      <c r="AG82" s="118">
        <f t="shared" si="120"/>
        <v>0</v>
      </c>
      <c r="AH82" s="80">
        <f t="shared" si="121"/>
        <v>2</v>
      </c>
      <c r="AI82" s="127">
        <f t="shared" si="134"/>
        <v>2</v>
      </c>
      <c r="AJ82" s="111">
        <v>0</v>
      </c>
      <c r="AK82" s="111">
        <v>0</v>
      </c>
      <c r="AL82" s="112">
        <f t="shared" ca="1" si="96"/>
        <v>0</v>
      </c>
      <c r="AM82" s="112">
        <f t="shared" si="97"/>
        <v>0</v>
      </c>
      <c r="AN82" s="80">
        <f t="shared" si="122"/>
        <v>2</v>
      </c>
      <c r="AO82" s="12">
        <f t="shared" si="123"/>
        <v>2</v>
      </c>
      <c r="AP82" s="10">
        <v>0</v>
      </c>
      <c r="AQ82" s="10">
        <v>0</v>
      </c>
      <c r="AR82" s="12">
        <f t="shared" si="124"/>
        <v>0</v>
      </c>
      <c r="AS82" s="12">
        <f t="shared" si="125"/>
        <v>0</v>
      </c>
      <c r="AT82" s="13">
        <f t="shared" si="126"/>
        <v>2</v>
      </c>
      <c r="AU82" s="12">
        <f t="shared" si="127"/>
        <v>2</v>
      </c>
      <c r="AV82" s="10">
        <v>0</v>
      </c>
      <c r="AW82" s="10">
        <v>0</v>
      </c>
      <c r="AX82" s="12">
        <f t="shared" si="128"/>
        <v>0</v>
      </c>
      <c r="AY82" s="12">
        <f t="shared" si="129"/>
        <v>0</v>
      </c>
      <c r="AZ82" s="32">
        <f t="shared" si="130"/>
        <v>2</v>
      </c>
      <c r="BA82" s="12">
        <f t="shared" si="131"/>
        <v>2</v>
      </c>
      <c r="BB82" s="10">
        <v>0</v>
      </c>
      <c r="BC82" s="10">
        <v>0</v>
      </c>
      <c r="BD82" s="12">
        <f t="shared" si="132"/>
        <v>0</v>
      </c>
      <c r="BE82" s="12">
        <f t="shared" si="133"/>
        <v>0</v>
      </c>
      <c r="BF82" s="48">
        <v>2</v>
      </c>
      <c r="BG82" s="12">
        <f t="shared" ref="BG82:BG113" si="148">AN82*I82</f>
        <v>2</v>
      </c>
      <c r="BH82" s="10">
        <v>0</v>
      </c>
      <c r="BI82" s="10">
        <v>0</v>
      </c>
      <c r="BJ82" s="33">
        <f t="shared" si="136"/>
        <v>0</v>
      </c>
      <c r="BK82" s="33">
        <f t="shared" si="137"/>
        <v>0</v>
      </c>
      <c r="BL82" s="48">
        <v>2</v>
      </c>
      <c r="BM82" s="12">
        <f t="shared" ref="BM82:BM113" si="149">AN82*I82</f>
        <v>2</v>
      </c>
      <c r="BN82" s="10">
        <v>0</v>
      </c>
      <c r="BO82" s="10">
        <v>0</v>
      </c>
      <c r="BP82" s="33">
        <f t="shared" si="139"/>
        <v>0</v>
      </c>
      <c r="BQ82" s="33">
        <f t="shared" si="140"/>
        <v>0</v>
      </c>
      <c r="BR82" s="48">
        <v>2</v>
      </c>
      <c r="BS82" s="12">
        <f t="shared" ref="BS82:BS113" si="150">AN82*I82</f>
        <v>2</v>
      </c>
      <c r="BT82" s="10">
        <v>0</v>
      </c>
      <c r="BU82" s="10">
        <v>0</v>
      </c>
      <c r="BV82" s="33">
        <f t="shared" si="142"/>
        <v>0</v>
      </c>
      <c r="BW82" s="33">
        <f t="shared" si="143"/>
        <v>0</v>
      </c>
      <c r="BX82" s="48">
        <v>2</v>
      </c>
      <c r="BY82" s="12">
        <f t="shared" ref="BY82:BY113" si="151">AN82*I82</f>
        <v>2</v>
      </c>
      <c r="BZ82" s="10">
        <v>0</v>
      </c>
      <c r="CA82" s="10">
        <v>0</v>
      </c>
      <c r="CB82" s="33">
        <f t="shared" si="145"/>
        <v>0</v>
      </c>
      <c r="CC82" s="33">
        <f t="shared" si="146"/>
        <v>0</v>
      </c>
      <c r="CD82" s="48">
        <v>2</v>
      </c>
      <c r="CE82" s="12">
        <f t="shared" ref="CE82:CE113" si="152">AN82*I82</f>
        <v>2</v>
      </c>
    </row>
    <row r="83" spans="1:83" ht="80.25" customHeight="1">
      <c r="A83" s="148" t="s">
        <v>262</v>
      </c>
      <c r="B83" s="155" t="s">
        <v>305</v>
      </c>
      <c r="C83" s="174" t="s">
        <v>306</v>
      </c>
      <c r="D83" s="157">
        <v>2003</v>
      </c>
      <c r="E83" s="154"/>
      <c r="F83" s="154"/>
      <c r="G83" s="154"/>
      <c r="H83" s="165">
        <v>1</v>
      </c>
      <c r="I83" s="159">
        <v>1</v>
      </c>
      <c r="J83" s="56">
        <v>0</v>
      </c>
      <c r="K83" s="33">
        <f t="shared" si="108"/>
        <v>0</v>
      </c>
      <c r="L83" s="10">
        <v>0</v>
      </c>
      <c r="M83" s="10">
        <v>0</v>
      </c>
      <c r="N83" s="33">
        <f t="shared" si="109"/>
        <v>0</v>
      </c>
      <c r="O83" s="33">
        <f t="shared" si="110"/>
        <v>0</v>
      </c>
      <c r="P83" s="56">
        <v>0</v>
      </c>
      <c r="Q83" s="33">
        <f t="shared" si="111"/>
        <v>0</v>
      </c>
      <c r="R83" s="56">
        <v>0</v>
      </c>
      <c r="S83" s="56">
        <v>0</v>
      </c>
      <c r="T83" s="33">
        <f t="shared" si="112"/>
        <v>0</v>
      </c>
      <c r="U83" s="33">
        <f t="shared" si="113"/>
        <v>0</v>
      </c>
      <c r="V83" s="56">
        <v>0</v>
      </c>
      <c r="W83" s="33">
        <f t="shared" si="114"/>
        <v>0</v>
      </c>
      <c r="X83" s="56">
        <v>0</v>
      </c>
      <c r="Y83" s="56">
        <v>0</v>
      </c>
      <c r="Z83" s="33">
        <f t="shared" si="115"/>
        <v>0</v>
      </c>
      <c r="AA83" s="33">
        <f t="shared" si="116"/>
        <v>0</v>
      </c>
      <c r="AB83" s="146">
        <v>1</v>
      </c>
      <c r="AC83" s="117">
        <f t="shared" si="118"/>
        <v>1</v>
      </c>
      <c r="AD83" s="10">
        <v>0</v>
      </c>
      <c r="AE83" s="10">
        <v>0</v>
      </c>
      <c r="AF83" s="117">
        <f t="shared" si="119"/>
        <v>0</v>
      </c>
      <c r="AG83" s="118">
        <f t="shared" si="120"/>
        <v>0</v>
      </c>
      <c r="AH83" s="80">
        <f t="shared" si="121"/>
        <v>1</v>
      </c>
      <c r="AI83" s="127">
        <f t="shared" si="134"/>
        <v>1</v>
      </c>
      <c r="AJ83" s="111">
        <v>0</v>
      </c>
      <c r="AK83" s="111">
        <v>0</v>
      </c>
      <c r="AL83" s="112">
        <f t="shared" ca="1" si="96"/>
        <v>0</v>
      </c>
      <c r="AM83" s="112">
        <f t="shared" si="97"/>
        <v>0</v>
      </c>
      <c r="AN83" s="80">
        <f t="shared" si="122"/>
        <v>1</v>
      </c>
      <c r="AO83" s="12">
        <f t="shared" si="123"/>
        <v>1</v>
      </c>
      <c r="AP83" s="10">
        <v>0</v>
      </c>
      <c r="AQ83" s="10">
        <v>0</v>
      </c>
      <c r="AR83" s="12">
        <f t="shared" si="124"/>
        <v>0</v>
      </c>
      <c r="AS83" s="12">
        <f t="shared" si="125"/>
        <v>0</v>
      </c>
      <c r="AT83" s="13">
        <f t="shared" si="126"/>
        <v>1</v>
      </c>
      <c r="AU83" s="12">
        <f t="shared" si="127"/>
        <v>1</v>
      </c>
      <c r="AV83" s="10">
        <v>0</v>
      </c>
      <c r="AW83" s="10">
        <v>0</v>
      </c>
      <c r="AX83" s="12">
        <f t="shared" si="128"/>
        <v>0</v>
      </c>
      <c r="AY83" s="12">
        <f t="shared" si="129"/>
        <v>0</v>
      </c>
      <c r="AZ83" s="32">
        <f t="shared" si="130"/>
        <v>1</v>
      </c>
      <c r="BA83" s="12">
        <f t="shared" si="131"/>
        <v>1</v>
      </c>
      <c r="BB83" s="10">
        <v>0</v>
      </c>
      <c r="BC83" s="10">
        <v>0</v>
      </c>
      <c r="BD83" s="12">
        <f t="shared" si="132"/>
        <v>0</v>
      </c>
      <c r="BE83" s="12">
        <f t="shared" si="133"/>
        <v>0</v>
      </c>
      <c r="BF83" s="48">
        <v>1</v>
      </c>
      <c r="BG83" s="12">
        <f t="shared" si="148"/>
        <v>1</v>
      </c>
      <c r="BH83" s="10">
        <v>0</v>
      </c>
      <c r="BI83" s="10">
        <v>0</v>
      </c>
      <c r="BJ83" s="33">
        <f t="shared" si="136"/>
        <v>0</v>
      </c>
      <c r="BK83" s="33">
        <f t="shared" si="137"/>
        <v>0</v>
      </c>
      <c r="BL83" s="48">
        <v>1</v>
      </c>
      <c r="BM83" s="12">
        <f t="shared" si="149"/>
        <v>1</v>
      </c>
      <c r="BN83" s="10">
        <v>0</v>
      </c>
      <c r="BO83" s="10">
        <v>0</v>
      </c>
      <c r="BP83" s="33">
        <f t="shared" si="139"/>
        <v>0</v>
      </c>
      <c r="BQ83" s="33">
        <f t="shared" si="140"/>
        <v>0</v>
      </c>
      <c r="BR83" s="48">
        <v>1</v>
      </c>
      <c r="BS83" s="12">
        <f t="shared" si="150"/>
        <v>1</v>
      </c>
      <c r="BT83" s="10">
        <v>0</v>
      </c>
      <c r="BU83" s="10">
        <v>0</v>
      </c>
      <c r="BV83" s="33">
        <f t="shared" si="142"/>
        <v>0</v>
      </c>
      <c r="BW83" s="33">
        <f t="shared" si="143"/>
        <v>0</v>
      </c>
      <c r="BX83" s="48">
        <v>1</v>
      </c>
      <c r="BY83" s="12">
        <f t="shared" si="151"/>
        <v>1</v>
      </c>
      <c r="BZ83" s="10">
        <v>0</v>
      </c>
      <c r="CA83" s="10">
        <v>0</v>
      </c>
      <c r="CB83" s="33">
        <f t="shared" si="145"/>
        <v>0</v>
      </c>
      <c r="CC83" s="33">
        <f t="shared" si="146"/>
        <v>0</v>
      </c>
      <c r="CD83" s="48">
        <v>1</v>
      </c>
      <c r="CE83" s="12">
        <f t="shared" si="152"/>
        <v>1</v>
      </c>
    </row>
    <row r="84" spans="1:83" ht="80.25" customHeight="1">
      <c r="A84" s="148" t="s">
        <v>307</v>
      </c>
      <c r="B84" s="155" t="s">
        <v>308</v>
      </c>
      <c r="C84" s="174" t="s">
        <v>309</v>
      </c>
      <c r="D84" s="157">
        <v>2004</v>
      </c>
      <c r="E84" s="154"/>
      <c r="F84" s="154"/>
      <c r="G84" s="154"/>
      <c r="H84" s="165">
        <v>1</v>
      </c>
      <c r="I84" s="159">
        <v>1</v>
      </c>
      <c r="J84" s="56">
        <v>0</v>
      </c>
      <c r="K84" s="33">
        <f t="shared" si="108"/>
        <v>0</v>
      </c>
      <c r="L84" s="10">
        <v>0</v>
      </c>
      <c r="M84" s="10">
        <v>0</v>
      </c>
      <c r="N84" s="33">
        <f t="shared" si="109"/>
        <v>0</v>
      </c>
      <c r="O84" s="33">
        <f t="shared" si="110"/>
        <v>0</v>
      </c>
      <c r="P84" s="56">
        <v>0</v>
      </c>
      <c r="Q84" s="33">
        <f t="shared" si="111"/>
        <v>0</v>
      </c>
      <c r="R84" s="56">
        <v>0</v>
      </c>
      <c r="S84" s="56">
        <v>0</v>
      </c>
      <c r="T84" s="33">
        <f t="shared" si="112"/>
        <v>0</v>
      </c>
      <c r="U84" s="33">
        <f t="shared" si="113"/>
        <v>0</v>
      </c>
      <c r="V84" s="56">
        <v>0</v>
      </c>
      <c r="W84" s="33">
        <f t="shared" si="114"/>
        <v>0</v>
      </c>
      <c r="X84" s="56">
        <v>0</v>
      </c>
      <c r="Y84" s="56">
        <v>0</v>
      </c>
      <c r="Z84" s="33">
        <f t="shared" si="115"/>
        <v>0</v>
      </c>
      <c r="AA84" s="33">
        <f t="shared" si="116"/>
        <v>0</v>
      </c>
      <c r="AB84" s="146">
        <v>1</v>
      </c>
      <c r="AC84" s="117">
        <f t="shared" si="118"/>
        <v>1</v>
      </c>
      <c r="AD84" s="10">
        <v>0</v>
      </c>
      <c r="AE84" s="10">
        <v>0</v>
      </c>
      <c r="AF84" s="117">
        <f t="shared" si="119"/>
        <v>0</v>
      </c>
      <c r="AG84" s="118">
        <f t="shared" si="120"/>
        <v>0</v>
      </c>
      <c r="AH84" s="80">
        <f t="shared" si="121"/>
        <v>1</v>
      </c>
      <c r="AI84" s="127">
        <f t="shared" si="134"/>
        <v>1</v>
      </c>
      <c r="AJ84" s="111">
        <v>0</v>
      </c>
      <c r="AK84" s="111">
        <v>0</v>
      </c>
      <c r="AL84" s="112">
        <f t="shared" ca="1" si="96"/>
        <v>0</v>
      </c>
      <c r="AM84" s="112">
        <f t="shared" si="97"/>
        <v>0</v>
      </c>
      <c r="AN84" s="80">
        <f t="shared" si="122"/>
        <v>1</v>
      </c>
      <c r="AO84" s="12">
        <f t="shared" si="123"/>
        <v>1</v>
      </c>
      <c r="AP84" s="10">
        <v>0</v>
      </c>
      <c r="AQ84" s="10">
        <v>0</v>
      </c>
      <c r="AR84" s="12">
        <f t="shared" si="124"/>
        <v>0</v>
      </c>
      <c r="AS84" s="12">
        <f t="shared" si="125"/>
        <v>0</v>
      </c>
      <c r="AT84" s="13">
        <f t="shared" si="126"/>
        <v>1</v>
      </c>
      <c r="AU84" s="12">
        <f t="shared" si="127"/>
        <v>1</v>
      </c>
      <c r="AV84" s="10">
        <v>0</v>
      </c>
      <c r="AW84" s="10">
        <v>0</v>
      </c>
      <c r="AX84" s="12">
        <f t="shared" si="128"/>
        <v>0</v>
      </c>
      <c r="AY84" s="12">
        <f t="shared" si="129"/>
        <v>0</v>
      </c>
      <c r="AZ84" s="32">
        <f t="shared" si="130"/>
        <v>1</v>
      </c>
      <c r="BA84" s="12">
        <f t="shared" si="131"/>
        <v>1</v>
      </c>
      <c r="BB84" s="10">
        <v>0</v>
      </c>
      <c r="BC84" s="10">
        <v>0</v>
      </c>
      <c r="BD84" s="12">
        <f t="shared" si="132"/>
        <v>0</v>
      </c>
      <c r="BE84" s="12">
        <f t="shared" si="133"/>
        <v>0</v>
      </c>
      <c r="BF84" s="48">
        <v>1</v>
      </c>
      <c r="BG84" s="12">
        <f t="shared" si="148"/>
        <v>1</v>
      </c>
      <c r="BH84" s="10">
        <v>0</v>
      </c>
      <c r="BI84" s="10">
        <v>0</v>
      </c>
      <c r="BJ84" s="33">
        <f t="shared" si="136"/>
        <v>0</v>
      </c>
      <c r="BK84" s="33">
        <f t="shared" si="137"/>
        <v>0</v>
      </c>
      <c r="BL84" s="48">
        <v>1</v>
      </c>
      <c r="BM84" s="12">
        <f t="shared" si="149"/>
        <v>1</v>
      </c>
      <c r="BN84" s="10">
        <v>0</v>
      </c>
      <c r="BO84" s="10">
        <v>0</v>
      </c>
      <c r="BP84" s="33">
        <f t="shared" si="139"/>
        <v>0</v>
      </c>
      <c r="BQ84" s="33">
        <f t="shared" si="140"/>
        <v>0</v>
      </c>
      <c r="BR84" s="48">
        <v>1</v>
      </c>
      <c r="BS84" s="12">
        <f t="shared" si="150"/>
        <v>1</v>
      </c>
      <c r="BT84" s="10">
        <v>0</v>
      </c>
      <c r="BU84" s="10">
        <v>0</v>
      </c>
      <c r="BV84" s="33">
        <f t="shared" si="142"/>
        <v>0</v>
      </c>
      <c r="BW84" s="33">
        <f t="shared" si="143"/>
        <v>0</v>
      </c>
      <c r="BX84" s="48">
        <v>1</v>
      </c>
      <c r="BY84" s="12">
        <f t="shared" si="151"/>
        <v>1</v>
      </c>
      <c r="BZ84" s="10">
        <v>0</v>
      </c>
      <c r="CA84" s="10">
        <v>0</v>
      </c>
      <c r="CB84" s="33">
        <f t="shared" si="145"/>
        <v>0</v>
      </c>
      <c r="CC84" s="33">
        <f t="shared" si="146"/>
        <v>0</v>
      </c>
      <c r="CD84" s="48">
        <v>1</v>
      </c>
      <c r="CE84" s="12">
        <f t="shared" si="152"/>
        <v>1</v>
      </c>
    </row>
    <row r="85" spans="1:83" ht="80.25" customHeight="1">
      <c r="A85" s="148" t="s">
        <v>310</v>
      </c>
      <c r="B85" s="155" t="s">
        <v>311</v>
      </c>
      <c r="C85" s="174" t="s">
        <v>312</v>
      </c>
      <c r="D85" s="157">
        <v>2006</v>
      </c>
      <c r="E85" s="154"/>
      <c r="F85" s="154"/>
      <c r="G85" s="154"/>
      <c r="H85" s="165">
        <v>2</v>
      </c>
      <c r="I85" s="159">
        <v>1</v>
      </c>
      <c r="J85" s="56">
        <v>0</v>
      </c>
      <c r="K85" s="33">
        <f t="shared" si="108"/>
        <v>0</v>
      </c>
      <c r="L85" s="10">
        <v>0</v>
      </c>
      <c r="M85" s="10">
        <v>0</v>
      </c>
      <c r="N85" s="33">
        <f t="shared" si="109"/>
        <v>0</v>
      </c>
      <c r="O85" s="33">
        <f t="shared" si="110"/>
        <v>0</v>
      </c>
      <c r="P85" s="56">
        <v>0</v>
      </c>
      <c r="Q85" s="33">
        <f t="shared" si="111"/>
        <v>0</v>
      </c>
      <c r="R85" s="56">
        <v>0</v>
      </c>
      <c r="S85" s="56">
        <v>0</v>
      </c>
      <c r="T85" s="33">
        <f t="shared" si="112"/>
        <v>0</v>
      </c>
      <c r="U85" s="33">
        <f t="shared" si="113"/>
        <v>0</v>
      </c>
      <c r="V85" s="56">
        <v>0</v>
      </c>
      <c r="W85" s="33">
        <f t="shared" si="114"/>
        <v>0</v>
      </c>
      <c r="X85" s="56">
        <v>0</v>
      </c>
      <c r="Y85" s="56">
        <v>0</v>
      </c>
      <c r="Z85" s="33">
        <f t="shared" si="115"/>
        <v>0</v>
      </c>
      <c r="AA85" s="33">
        <f t="shared" si="116"/>
        <v>0</v>
      </c>
      <c r="AB85" s="146">
        <v>2</v>
      </c>
      <c r="AC85" s="117">
        <f t="shared" si="118"/>
        <v>2</v>
      </c>
      <c r="AD85" s="10">
        <v>0</v>
      </c>
      <c r="AE85" s="10">
        <v>0</v>
      </c>
      <c r="AF85" s="117">
        <f t="shared" si="119"/>
        <v>0</v>
      </c>
      <c r="AG85" s="118">
        <f t="shared" si="120"/>
        <v>0</v>
      </c>
      <c r="AH85" s="80">
        <f t="shared" si="121"/>
        <v>2</v>
      </c>
      <c r="AI85" s="127">
        <f t="shared" si="134"/>
        <v>2</v>
      </c>
      <c r="AJ85" s="111">
        <v>0</v>
      </c>
      <c r="AK85" s="111">
        <v>0</v>
      </c>
      <c r="AL85" s="112">
        <f t="shared" ca="1" si="96"/>
        <v>0</v>
      </c>
      <c r="AM85" s="112">
        <f t="shared" si="97"/>
        <v>0</v>
      </c>
      <c r="AN85" s="80">
        <f t="shared" si="122"/>
        <v>2</v>
      </c>
      <c r="AO85" s="12">
        <f t="shared" si="123"/>
        <v>2</v>
      </c>
      <c r="AP85" s="10">
        <v>0</v>
      </c>
      <c r="AQ85" s="10">
        <v>0</v>
      </c>
      <c r="AR85" s="12">
        <f t="shared" si="124"/>
        <v>0</v>
      </c>
      <c r="AS85" s="12">
        <f t="shared" si="125"/>
        <v>0</v>
      </c>
      <c r="AT85" s="13">
        <f t="shared" si="126"/>
        <v>2</v>
      </c>
      <c r="AU85" s="12">
        <f t="shared" si="127"/>
        <v>2</v>
      </c>
      <c r="AV85" s="10">
        <v>0</v>
      </c>
      <c r="AW85" s="10">
        <v>0</v>
      </c>
      <c r="AX85" s="12">
        <f t="shared" si="128"/>
        <v>0</v>
      </c>
      <c r="AY85" s="12">
        <f t="shared" si="129"/>
        <v>0</v>
      </c>
      <c r="AZ85" s="32">
        <f t="shared" si="130"/>
        <v>2</v>
      </c>
      <c r="BA85" s="12">
        <f t="shared" si="131"/>
        <v>2</v>
      </c>
      <c r="BB85" s="10">
        <v>0</v>
      </c>
      <c r="BC85" s="10">
        <v>0</v>
      </c>
      <c r="BD85" s="12">
        <f t="shared" si="132"/>
        <v>0</v>
      </c>
      <c r="BE85" s="12">
        <f t="shared" si="133"/>
        <v>0</v>
      </c>
      <c r="BF85" s="48">
        <v>2</v>
      </c>
      <c r="BG85" s="12">
        <f t="shared" si="148"/>
        <v>2</v>
      </c>
      <c r="BH85" s="10">
        <v>0</v>
      </c>
      <c r="BI85" s="10">
        <v>0</v>
      </c>
      <c r="BJ85" s="33">
        <f t="shared" si="136"/>
        <v>0</v>
      </c>
      <c r="BK85" s="33">
        <f t="shared" si="137"/>
        <v>0</v>
      </c>
      <c r="BL85" s="48">
        <v>2</v>
      </c>
      <c r="BM85" s="12">
        <f t="shared" si="149"/>
        <v>2</v>
      </c>
      <c r="BN85" s="10">
        <v>0</v>
      </c>
      <c r="BO85" s="10">
        <v>0</v>
      </c>
      <c r="BP85" s="33">
        <f t="shared" si="139"/>
        <v>0</v>
      </c>
      <c r="BQ85" s="33">
        <f t="shared" si="140"/>
        <v>0</v>
      </c>
      <c r="BR85" s="48">
        <v>2</v>
      </c>
      <c r="BS85" s="12">
        <f t="shared" si="150"/>
        <v>2</v>
      </c>
      <c r="BT85" s="10">
        <v>0</v>
      </c>
      <c r="BU85" s="10">
        <v>0</v>
      </c>
      <c r="BV85" s="33">
        <f t="shared" si="142"/>
        <v>0</v>
      </c>
      <c r="BW85" s="33">
        <f t="shared" si="143"/>
        <v>0</v>
      </c>
      <c r="BX85" s="48">
        <v>2</v>
      </c>
      <c r="BY85" s="12">
        <f t="shared" si="151"/>
        <v>2</v>
      </c>
      <c r="BZ85" s="10">
        <v>0</v>
      </c>
      <c r="CA85" s="10">
        <v>0</v>
      </c>
      <c r="CB85" s="33">
        <f t="shared" si="145"/>
        <v>0</v>
      </c>
      <c r="CC85" s="33">
        <f t="shared" si="146"/>
        <v>0</v>
      </c>
      <c r="CD85" s="48">
        <v>2</v>
      </c>
      <c r="CE85" s="12">
        <f t="shared" si="152"/>
        <v>2</v>
      </c>
    </row>
    <row r="86" spans="1:83" ht="80.25" customHeight="1">
      <c r="A86" s="148" t="s">
        <v>313</v>
      </c>
      <c r="B86" s="155" t="s">
        <v>314</v>
      </c>
      <c r="C86" s="174" t="s">
        <v>315</v>
      </c>
      <c r="D86" s="157">
        <v>2008</v>
      </c>
      <c r="E86" s="154"/>
      <c r="F86" s="154"/>
      <c r="G86" s="154"/>
      <c r="H86" s="165">
        <v>1</v>
      </c>
      <c r="I86" s="159">
        <v>1</v>
      </c>
      <c r="J86" s="56">
        <v>0</v>
      </c>
      <c r="K86" s="33">
        <f t="shared" si="108"/>
        <v>0</v>
      </c>
      <c r="L86" s="10">
        <v>0</v>
      </c>
      <c r="M86" s="10">
        <v>0</v>
      </c>
      <c r="N86" s="33">
        <f t="shared" si="109"/>
        <v>0</v>
      </c>
      <c r="O86" s="33">
        <f t="shared" si="110"/>
        <v>0</v>
      </c>
      <c r="P86" s="56">
        <v>0</v>
      </c>
      <c r="Q86" s="33">
        <f t="shared" si="111"/>
        <v>0</v>
      </c>
      <c r="R86" s="56">
        <v>0</v>
      </c>
      <c r="S86" s="56">
        <v>0</v>
      </c>
      <c r="T86" s="33">
        <f t="shared" si="112"/>
        <v>0</v>
      </c>
      <c r="U86" s="33">
        <f t="shared" si="113"/>
        <v>0</v>
      </c>
      <c r="V86" s="56">
        <v>0</v>
      </c>
      <c r="W86" s="33">
        <f t="shared" si="114"/>
        <v>0</v>
      </c>
      <c r="X86" s="56">
        <v>0</v>
      </c>
      <c r="Y86" s="56">
        <v>0</v>
      </c>
      <c r="Z86" s="33">
        <f t="shared" si="115"/>
        <v>0</v>
      </c>
      <c r="AA86" s="33">
        <f t="shared" si="116"/>
        <v>0</v>
      </c>
      <c r="AB86" s="146">
        <v>1</v>
      </c>
      <c r="AC86" s="117">
        <f t="shared" si="118"/>
        <v>1</v>
      </c>
      <c r="AD86" s="10">
        <v>0</v>
      </c>
      <c r="AE86" s="10">
        <v>0</v>
      </c>
      <c r="AF86" s="117">
        <f t="shared" si="119"/>
        <v>0</v>
      </c>
      <c r="AG86" s="118">
        <f t="shared" si="120"/>
        <v>0</v>
      </c>
      <c r="AH86" s="80">
        <f t="shared" si="121"/>
        <v>1</v>
      </c>
      <c r="AI86" s="127">
        <f t="shared" si="134"/>
        <v>1</v>
      </c>
      <c r="AJ86" s="111">
        <v>0</v>
      </c>
      <c r="AK86" s="111">
        <v>0</v>
      </c>
      <c r="AL86" s="112">
        <f t="shared" ca="1" si="96"/>
        <v>0</v>
      </c>
      <c r="AM86" s="112">
        <f t="shared" si="97"/>
        <v>0</v>
      </c>
      <c r="AN86" s="80">
        <f t="shared" si="122"/>
        <v>1</v>
      </c>
      <c r="AO86" s="12">
        <f t="shared" si="123"/>
        <v>1</v>
      </c>
      <c r="AP86" s="10">
        <v>0</v>
      </c>
      <c r="AQ86" s="10">
        <v>0</v>
      </c>
      <c r="AR86" s="12">
        <f t="shared" si="124"/>
        <v>0</v>
      </c>
      <c r="AS86" s="12">
        <f t="shared" si="125"/>
        <v>0</v>
      </c>
      <c r="AT86" s="13">
        <f t="shared" si="126"/>
        <v>1</v>
      </c>
      <c r="AU86" s="12">
        <f t="shared" si="127"/>
        <v>1</v>
      </c>
      <c r="AV86" s="10">
        <v>0</v>
      </c>
      <c r="AW86" s="10">
        <v>0</v>
      </c>
      <c r="AX86" s="12">
        <f t="shared" si="128"/>
        <v>0</v>
      </c>
      <c r="AY86" s="12">
        <f t="shared" si="129"/>
        <v>0</v>
      </c>
      <c r="AZ86" s="32">
        <f t="shared" si="130"/>
        <v>1</v>
      </c>
      <c r="BA86" s="12">
        <f t="shared" si="131"/>
        <v>1</v>
      </c>
      <c r="BB86" s="10">
        <v>0</v>
      </c>
      <c r="BC86" s="10">
        <v>0</v>
      </c>
      <c r="BD86" s="12">
        <f t="shared" si="132"/>
        <v>0</v>
      </c>
      <c r="BE86" s="12">
        <f t="shared" si="133"/>
        <v>0</v>
      </c>
      <c r="BF86" s="48">
        <v>1</v>
      </c>
      <c r="BG86" s="12">
        <f t="shared" si="148"/>
        <v>1</v>
      </c>
      <c r="BH86" s="10">
        <v>0</v>
      </c>
      <c r="BI86" s="10">
        <v>0</v>
      </c>
      <c r="BJ86" s="33">
        <f t="shared" si="136"/>
        <v>0</v>
      </c>
      <c r="BK86" s="33">
        <f t="shared" si="137"/>
        <v>0</v>
      </c>
      <c r="BL86" s="48">
        <v>1</v>
      </c>
      <c r="BM86" s="12">
        <f t="shared" si="149"/>
        <v>1</v>
      </c>
      <c r="BN86" s="10">
        <v>0</v>
      </c>
      <c r="BO86" s="10">
        <v>0</v>
      </c>
      <c r="BP86" s="33">
        <f t="shared" si="139"/>
        <v>0</v>
      </c>
      <c r="BQ86" s="33">
        <f t="shared" si="140"/>
        <v>0</v>
      </c>
      <c r="BR86" s="48">
        <v>1</v>
      </c>
      <c r="BS86" s="12">
        <f t="shared" si="150"/>
        <v>1</v>
      </c>
      <c r="BT86" s="10">
        <v>0</v>
      </c>
      <c r="BU86" s="10">
        <v>0</v>
      </c>
      <c r="BV86" s="33">
        <f t="shared" si="142"/>
        <v>0</v>
      </c>
      <c r="BW86" s="33">
        <f t="shared" si="143"/>
        <v>0</v>
      </c>
      <c r="BX86" s="48">
        <v>1</v>
      </c>
      <c r="BY86" s="12">
        <f t="shared" si="151"/>
        <v>1</v>
      </c>
      <c r="BZ86" s="10">
        <v>0</v>
      </c>
      <c r="CA86" s="10">
        <v>0</v>
      </c>
      <c r="CB86" s="33">
        <f t="shared" si="145"/>
        <v>0</v>
      </c>
      <c r="CC86" s="33">
        <f t="shared" si="146"/>
        <v>0</v>
      </c>
      <c r="CD86" s="48">
        <v>1</v>
      </c>
      <c r="CE86" s="12">
        <f t="shared" si="152"/>
        <v>1</v>
      </c>
    </row>
    <row r="87" spans="1:83" ht="80.25" customHeight="1">
      <c r="A87" s="148" t="s">
        <v>316</v>
      </c>
      <c r="B87" s="155" t="s">
        <v>317</v>
      </c>
      <c r="C87" s="175" t="s">
        <v>318</v>
      </c>
      <c r="D87" s="155">
        <v>2009</v>
      </c>
      <c r="E87" s="154"/>
      <c r="F87" s="154"/>
      <c r="G87" s="154"/>
      <c r="H87" s="166">
        <v>1</v>
      </c>
      <c r="I87" s="161">
        <v>1</v>
      </c>
      <c r="J87" s="56">
        <v>0</v>
      </c>
      <c r="K87" s="33">
        <f t="shared" si="108"/>
        <v>0</v>
      </c>
      <c r="L87" s="56">
        <v>0</v>
      </c>
      <c r="M87" s="56">
        <v>0</v>
      </c>
      <c r="N87" s="33">
        <f t="shared" si="109"/>
        <v>0</v>
      </c>
      <c r="O87" s="33">
        <f t="shared" si="110"/>
        <v>0</v>
      </c>
      <c r="P87" s="56">
        <v>0</v>
      </c>
      <c r="Q87" s="33">
        <f t="shared" si="111"/>
        <v>0</v>
      </c>
      <c r="R87" s="56">
        <v>0</v>
      </c>
      <c r="S87" s="56">
        <v>0</v>
      </c>
      <c r="T87" s="33">
        <f t="shared" si="112"/>
        <v>0</v>
      </c>
      <c r="U87" s="33">
        <f t="shared" si="113"/>
        <v>0</v>
      </c>
      <c r="V87" s="56">
        <v>0</v>
      </c>
      <c r="W87" s="33">
        <f t="shared" si="114"/>
        <v>0</v>
      </c>
      <c r="X87" s="56">
        <v>0</v>
      </c>
      <c r="Y87" s="56">
        <v>0</v>
      </c>
      <c r="Z87" s="33">
        <f t="shared" si="115"/>
        <v>0</v>
      </c>
      <c r="AA87" s="33">
        <f t="shared" si="116"/>
        <v>0</v>
      </c>
      <c r="AB87" s="76">
        <v>1</v>
      </c>
      <c r="AC87" s="117">
        <f t="shared" si="118"/>
        <v>1</v>
      </c>
      <c r="AD87" s="56">
        <v>0</v>
      </c>
      <c r="AE87" s="56">
        <v>0</v>
      </c>
      <c r="AF87" s="117">
        <f t="shared" si="119"/>
        <v>0</v>
      </c>
      <c r="AG87" s="118">
        <f t="shared" si="120"/>
        <v>0</v>
      </c>
      <c r="AH87" s="80">
        <f t="shared" si="121"/>
        <v>1</v>
      </c>
      <c r="AI87" s="127">
        <f t="shared" si="134"/>
        <v>1</v>
      </c>
      <c r="AJ87" s="111">
        <v>0</v>
      </c>
      <c r="AK87" s="111">
        <v>0</v>
      </c>
      <c r="AL87" s="112">
        <f t="shared" ca="1" si="96"/>
        <v>0</v>
      </c>
      <c r="AM87" s="112">
        <f t="shared" si="97"/>
        <v>0</v>
      </c>
      <c r="AN87" s="80">
        <f t="shared" si="122"/>
        <v>1</v>
      </c>
      <c r="AO87" s="12">
        <f t="shared" si="123"/>
        <v>1</v>
      </c>
      <c r="AP87" s="10">
        <v>0</v>
      </c>
      <c r="AQ87" s="10">
        <v>0</v>
      </c>
      <c r="AR87" s="12">
        <f t="shared" si="124"/>
        <v>0</v>
      </c>
      <c r="AS87" s="12">
        <f t="shared" si="125"/>
        <v>0</v>
      </c>
      <c r="AT87" s="13">
        <f t="shared" si="126"/>
        <v>1</v>
      </c>
      <c r="AU87" s="12">
        <f t="shared" si="127"/>
        <v>1</v>
      </c>
      <c r="AV87" s="10">
        <v>0</v>
      </c>
      <c r="AW87" s="10">
        <v>0</v>
      </c>
      <c r="AX87" s="12">
        <f t="shared" si="128"/>
        <v>0</v>
      </c>
      <c r="AY87" s="12">
        <f t="shared" si="129"/>
        <v>0</v>
      </c>
      <c r="AZ87" s="32">
        <f t="shared" si="130"/>
        <v>1</v>
      </c>
      <c r="BA87" s="12">
        <f t="shared" si="131"/>
        <v>1</v>
      </c>
      <c r="BB87" s="10">
        <v>0</v>
      </c>
      <c r="BC87" s="10">
        <v>0</v>
      </c>
      <c r="BD87" s="12">
        <f t="shared" si="132"/>
        <v>0</v>
      </c>
      <c r="BE87" s="12">
        <f t="shared" si="133"/>
        <v>0</v>
      </c>
      <c r="BF87" s="28">
        <v>1</v>
      </c>
      <c r="BG87" s="33">
        <f t="shared" si="148"/>
        <v>1</v>
      </c>
      <c r="BH87" s="56">
        <v>0</v>
      </c>
      <c r="BI87" s="56">
        <v>0</v>
      </c>
      <c r="BJ87" s="33">
        <f t="shared" si="136"/>
        <v>0</v>
      </c>
      <c r="BK87" s="33">
        <f t="shared" si="137"/>
        <v>0</v>
      </c>
      <c r="BL87" s="28">
        <v>1</v>
      </c>
      <c r="BM87" s="33">
        <f t="shared" si="149"/>
        <v>1</v>
      </c>
      <c r="BN87" s="56">
        <v>0</v>
      </c>
      <c r="BO87" s="56">
        <v>0</v>
      </c>
      <c r="BP87" s="33">
        <f t="shared" si="139"/>
        <v>0</v>
      </c>
      <c r="BQ87" s="33">
        <f t="shared" si="140"/>
        <v>0</v>
      </c>
      <c r="BR87" s="28">
        <v>1</v>
      </c>
      <c r="BS87" s="33">
        <f t="shared" si="150"/>
        <v>1</v>
      </c>
      <c r="BT87" s="56">
        <v>0</v>
      </c>
      <c r="BU87" s="56">
        <v>0</v>
      </c>
      <c r="BV87" s="33">
        <f t="shared" si="142"/>
        <v>0</v>
      </c>
      <c r="BW87" s="33">
        <f t="shared" si="143"/>
        <v>0</v>
      </c>
      <c r="BX87" s="73">
        <v>1</v>
      </c>
      <c r="BY87" s="33">
        <f t="shared" si="151"/>
        <v>1</v>
      </c>
      <c r="BZ87" s="56">
        <v>0</v>
      </c>
      <c r="CA87" s="56">
        <v>0</v>
      </c>
      <c r="CB87" s="33">
        <f t="shared" si="145"/>
        <v>0</v>
      </c>
      <c r="CC87" s="33">
        <f t="shared" si="146"/>
        <v>0</v>
      </c>
      <c r="CD87" s="28">
        <v>1</v>
      </c>
      <c r="CE87" s="33">
        <f t="shared" si="152"/>
        <v>1</v>
      </c>
    </row>
    <row r="88" spans="1:83" ht="80.25" customHeight="1">
      <c r="A88" s="148" t="s">
        <v>319</v>
      </c>
      <c r="B88" s="155" t="s">
        <v>320</v>
      </c>
      <c r="C88" s="175" t="s">
        <v>321</v>
      </c>
      <c r="D88" s="155">
        <v>2010</v>
      </c>
      <c r="E88" s="154"/>
      <c r="F88" s="154"/>
      <c r="G88" s="154"/>
      <c r="H88" s="166">
        <v>2</v>
      </c>
      <c r="I88" s="161">
        <v>1</v>
      </c>
      <c r="J88" s="56">
        <v>0</v>
      </c>
      <c r="K88" s="33">
        <f t="shared" si="108"/>
        <v>0</v>
      </c>
      <c r="L88" s="56">
        <v>0</v>
      </c>
      <c r="M88" s="56">
        <v>0</v>
      </c>
      <c r="N88" s="33">
        <f t="shared" si="109"/>
        <v>0</v>
      </c>
      <c r="O88" s="33">
        <f t="shared" si="110"/>
        <v>0</v>
      </c>
      <c r="P88" s="56">
        <v>0</v>
      </c>
      <c r="Q88" s="33">
        <f t="shared" si="111"/>
        <v>0</v>
      </c>
      <c r="R88" s="56">
        <v>0</v>
      </c>
      <c r="S88" s="56">
        <v>0</v>
      </c>
      <c r="T88" s="33">
        <f t="shared" si="112"/>
        <v>0</v>
      </c>
      <c r="U88" s="33">
        <f t="shared" si="113"/>
        <v>0</v>
      </c>
      <c r="V88" s="56">
        <v>0</v>
      </c>
      <c r="W88" s="33">
        <f t="shared" si="114"/>
        <v>0</v>
      </c>
      <c r="X88" s="56">
        <v>0</v>
      </c>
      <c r="Y88" s="56">
        <v>0</v>
      </c>
      <c r="Z88" s="33">
        <f t="shared" si="115"/>
        <v>0</v>
      </c>
      <c r="AA88" s="33">
        <f t="shared" si="116"/>
        <v>0</v>
      </c>
      <c r="AB88" s="76">
        <v>2</v>
      </c>
      <c r="AC88" s="117">
        <f t="shared" si="118"/>
        <v>2</v>
      </c>
      <c r="AD88" s="56">
        <v>0</v>
      </c>
      <c r="AE88" s="56">
        <v>0</v>
      </c>
      <c r="AF88" s="117">
        <f t="shared" si="119"/>
        <v>0</v>
      </c>
      <c r="AG88" s="118">
        <f t="shared" si="120"/>
        <v>0</v>
      </c>
      <c r="AH88" s="80">
        <f t="shared" si="121"/>
        <v>2</v>
      </c>
      <c r="AI88" s="127">
        <f t="shared" si="134"/>
        <v>2</v>
      </c>
      <c r="AJ88" s="111">
        <v>0</v>
      </c>
      <c r="AK88" s="111">
        <v>0</v>
      </c>
      <c r="AL88" s="112">
        <f t="shared" ca="1" si="96"/>
        <v>0</v>
      </c>
      <c r="AM88" s="112">
        <f t="shared" si="97"/>
        <v>0</v>
      </c>
      <c r="AN88" s="80">
        <f t="shared" si="122"/>
        <v>2</v>
      </c>
      <c r="AO88" s="12">
        <f t="shared" si="123"/>
        <v>2</v>
      </c>
      <c r="AP88" s="10">
        <v>0</v>
      </c>
      <c r="AQ88" s="10">
        <v>0</v>
      </c>
      <c r="AR88" s="12">
        <f t="shared" si="124"/>
        <v>0</v>
      </c>
      <c r="AS88" s="12">
        <f t="shared" si="125"/>
        <v>0</v>
      </c>
      <c r="AT88" s="13">
        <f t="shared" si="126"/>
        <v>2</v>
      </c>
      <c r="AU88" s="12">
        <f t="shared" si="127"/>
        <v>2</v>
      </c>
      <c r="AV88" s="10">
        <v>0</v>
      </c>
      <c r="AW88" s="10">
        <v>0</v>
      </c>
      <c r="AX88" s="12">
        <f t="shared" si="128"/>
        <v>0</v>
      </c>
      <c r="AY88" s="12">
        <f t="shared" si="129"/>
        <v>0</v>
      </c>
      <c r="AZ88" s="32">
        <f t="shared" si="130"/>
        <v>2</v>
      </c>
      <c r="BA88" s="12">
        <f t="shared" si="131"/>
        <v>2</v>
      </c>
      <c r="BB88" s="10">
        <v>0</v>
      </c>
      <c r="BC88" s="10">
        <v>0</v>
      </c>
      <c r="BD88" s="12">
        <f t="shared" si="132"/>
        <v>0</v>
      </c>
      <c r="BE88" s="12">
        <f t="shared" si="133"/>
        <v>0</v>
      </c>
      <c r="BF88" s="28">
        <v>2</v>
      </c>
      <c r="BG88" s="33">
        <f t="shared" si="148"/>
        <v>2</v>
      </c>
      <c r="BH88" s="56">
        <v>0</v>
      </c>
      <c r="BI88" s="56">
        <v>0</v>
      </c>
      <c r="BJ88" s="33">
        <f t="shared" si="136"/>
        <v>0</v>
      </c>
      <c r="BK88" s="33">
        <f t="shared" si="137"/>
        <v>0</v>
      </c>
      <c r="BL88" s="28">
        <v>2</v>
      </c>
      <c r="BM88" s="33">
        <f t="shared" si="149"/>
        <v>2</v>
      </c>
      <c r="BN88" s="56">
        <v>0</v>
      </c>
      <c r="BO88" s="56">
        <v>0</v>
      </c>
      <c r="BP88" s="33">
        <f t="shared" si="139"/>
        <v>0</v>
      </c>
      <c r="BQ88" s="33">
        <f t="shared" si="140"/>
        <v>0</v>
      </c>
      <c r="BR88" s="28">
        <v>2</v>
      </c>
      <c r="BS88" s="33">
        <f t="shared" si="150"/>
        <v>2</v>
      </c>
      <c r="BT88" s="56">
        <v>0</v>
      </c>
      <c r="BU88" s="56">
        <v>0</v>
      </c>
      <c r="BV88" s="33">
        <f t="shared" si="142"/>
        <v>0</v>
      </c>
      <c r="BW88" s="33">
        <f t="shared" si="143"/>
        <v>0</v>
      </c>
      <c r="BX88" s="73">
        <v>2</v>
      </c>
      <c r="BY88" s="33">
        <f t="shared" si="151"/>
        <v>2</v>
      </c>
      <c r="BZ88" s="56">
        <v>0</v>
      </c>
      <c r="CA88" s="56">
        <v>0</v>
      </c>
      <c r="CB88" s="33">
        <f t="shared" si="145"/>
        <v>0</v>
      </c>
      <c r="CC88" s="33">
        <f t="shared" si="146"/>
        <v>0</v>
      </c>
      <c r="CD88" s="28">
        <v>2</v>
      </c>
      <c r="CE88" s="33">
        <f t="shared" si="152"/>
        <v>2</v>
      </c>
    </row>
    <row r="89" spans="1:83" ht="80.25" customHeight="1">
      <c r="A89" s="148" t="s">
        <v>322</v>
      </c>
      <c r="B89" s="155" t="s">
        <v>323</v>
      </c>
      <c r="C89" s="175" t="s">
        <v>324</v>
      </c>
      <c r="D89" s="155">
        <v>2011</v>
      </c>
      <c r="E89" s="154"/>
      <c r="F89" s="154"/>
      <c r="G89" s="154"/>
      <c r="H89" s="166">
        <v>2</v>
      </c>
      <c r="I89" s="161">
        <v>1</v>
      </c>
      <c r="J89" s="56">
        <v>0</v>
      </c>
      <c r="K89" s="33">
        <f t="shared" si="108"/>
        <v>0</v>
      </c>
      <c r="L89" s="56">
        <v>0</v>
      </c>
      <c r="M89" s="56">
        <v>0</v>
      </c>
      <c r="N89" s="33">
        <f t="shared" si="109"/>
        <v>0</v>
      </c>
      <c r="O89" s="33">
        <f t="shared" si="110"/>
        <v>0</v>
      </c>
      <c r="P89" s="56">
        <v>0</v>
      </c>
      <c r="Q89" s="33">
        <f t="shared" si="111"/>
        <v>0</v>
      </c>
      <c r="R89" s="56">
        <v>0</v>
      </c>
      <c r="S89" s="56">
        <v>0</v>
      </c>
      <c r="T89" s="33">
        <f t="shared" si="112"/>
        <v>0</v>
      </c>
      <c r="U89" s="33">
        <f t="shared" si="113"/>
        <v>0</v>
      </c>
      <c r="V89" s="56">
        <v>0</v>
      </c>
      <c r="W89" s="33">
        <f t="shared" si="114"/>
        <v>0</v>
      </c>
      <c r="X89" s="56">
        <v>0</v>
      </c>
      <c r="Y89" s="56">
        <v>0</v>
      </c>
      <c r="Z89" s="33">
        <f t="shared" si="115"/>
        <v>0</v>
      </c>
      <c r="AA89" s="33">
        <f t="shared" si="116"/>
        <v>0</v>
      </c>
      <c r="AB89" s="76">
        <v>2</v>
      </c>
      <c r="AC89" s="117">
        <f t="shared" si="118"/>
        <v>2</v>
      </c>
      <c r="AD89" s="56">
        <v>0</v>
      </c>
      <c r="AE89" s="56">
        <v>0</v>
      </c>
      <c r="AF89" s="117">
        <f t="shared" si="119"/>
        <v>0</v>
      </c>
      <c r="AG89" s="118">
        <f t="shared" si="120"/>
        <v>0</v>
      </c>
      <c r="AH89" s="80">
        <f t="shared" si="121"/>
        <v>2</v>
      </c>
      <c r="AI89" s="127">
        <f t="shared" si="134"/>
        <v>2</v>
      </c>
      <c r="AJ89" s="111">
        <v>0</v>
      </c>
      <c r="AK89" s="111">
        <v>0</v>
      </c>
      <c r="AL89" s="112">
        <f t="shared" ca="1" si="96"/>
        <v>0</v>
      </c>
      <c r="AM89" s="112">
        <f t="shared" si="97"/>
        <v>0</v>
      </c>
      <c r="AN89" s="80">
        <f t="shared" si="122"/>
        <v>2</v>
      </c>
      <c r="AO89" s="12">
        <f t="shared" si="123"/>
        <v>2</v>
      </c>
      <c r="AP89" s="10">
        <v>0</v>
      </c>
      <c r="AQ89" s="10">
        <v>0</v>
      </c>
      <c r="AR89" s="12">
        <f t="shared" si="124"/>
        <v>0</v>
      </c>
      <c r="AS89" s="12">
        <f t="shared" si="125"/>
        <v>0</v>
      </c>
      <c r="AT89" s="13">
        <f t="shared" si="126"/>
        <v>2</v>
      </c>
      <c r="AU89" s="12">
        <f t="shared" si="127"/>
        <v>2</v>
      </c>
      <c r="AV89" s="10">
        <v>0</v>
      </c>
      <c r="AW89" s="10">
        <v>0</v>
      </c>
      <c r="AX89" s="12">
        <f t="shared" si="128"/>
        <v>0</v>
      </c>
      <c r="AY89" s="12">
        <f t="shared" si="129"/>
        <v>0</v>
      </c>
      <c r="AZ89" s="32">
        <f t="shared" si="130"/>
        <v>2</v>
      </c>
      <c r="BA89" s="12">
        <f t="shared" si="131"/>
        <v>2</v>
      </c>
      <c r="BB89" s="10">
        <v>0</v>
      </c>
      <c r="BC89" s="10">
        <v>0</v>
      </c>
      <c r="BD89" s="12">
        <f t="shared" si="132"/>
        <v>0</v>
      </c>
      <c r="BE89" s="12">
        <f t="shared" si="133"/>
        <v>0</v>
      </c>
      <c r="BF89" s="28">
        <v>2</v>
      </c>
      <c r="BG89" s="33">
        <f t="shared" si="148"/>
        <v>2</v>
      </c>
      <c r="BH89" s="56">
        <v>0</v>
      </c>
      <c r="BI89" s="56">
        <v>0</v>
      </c>
      <c r="BJ89" s="33">
        <f t="shared" si="136"/>
        <v>0</v>
      </c>
      <c r="BK89" s="33">
        <f t="shared" si="137"/>
        <v>0</v>
      </c>
      <c r="BL89" s="28">
        <v>2</v>
      </c>
      <c r="BM89" s="33">
        <f t="shared" si="149"/>
        <v>2</v>
      </c>
      <c r="BN89" s="56">
        <v>0</v>
      </c>
      <c r="BO89" s="56">
        <v>0</v>
      </c>
      <c r="BP89" s="33">
        <f t="shared" si="139"/>
        <v>0</v>
      </c>
      <c r="BQ89" s="33">
        <f t="shared" si="140"/>
        <v>0</v>
      </c>
      <c r="BR89" s="28">
        <v>2</v>
      </c>
      <c r="BS89" s="33">
        <f t="shared" si="150"/>
        <v>2</v>
      </c>
      <c r="BT89" s="56">
        <v>0</v>
      </c>
      <c r="BU89" s="56">
        <v>0</v>
      </c>
      <c r="BV89" s="33">
        <f t="shared" si="142"/>
        <v>0</v>
      </c>
      <c r="BW89" s="33">
        <f t="shared" si="143"/>
        <v>0</v>
      </c>
      <c r="BX89" s="73">
        <v>2</v>
      </c>
      <c r="BY89" s="33">
        <f t="shared" si="151"/>
        <v>2</v>
      </c>
      <c r="BZ89" s="56">
        <v>0</v>
      </c>
      <c r="CA89" s="56">
        <v>0</v>
      </c>
      <c r="CB89" s="33">
        <f t="shared" si="145"/>
        <v>0</v>
      </c>
      <c r="CC89" s="33">
        <f t="shared" si="146"/>
        <v>0</v>
      </c>
      <c r="CD89" s="28">
        <v>2</v>
      </c>
      <c r="CE89" s="33">
        <f t="shared" si="152"/>
        <v>2</v>
      </c>
    </row>
    <row r="90" spans="1:83" ht="80.25" customHeight="1">
      <c r="A90" s="148" t="s">
        <v>325</v>
      </c>
      <c r="B90" s="155" t="s">
        <v>326</v>
      </c>
      <c r="C90" s="175" t="s">
        <v>327</v>
      </c>
      <c r="D90" s="155">
        <v>2012</v>
      </c>
      <c r="E90" s="154"/>
      <c r="F90" s="154"/>
      <c r="G90" s="154"/>
      <c r="H90" s="166">
        <v>1</v>
      </c>
      <c r="I90" s="161">
        <v>1</v>
      </c>
      <c r="J90" s="56">
        <v>0</v>
      </c>
      <c r="K90" s="33">
        <f t="shared" si="108"/>
        <v>0</v>
      </c>
      <c r="L90" s="56">
        <v>0</v>
      </c>
      <c r="M90" s="56">
        <v>0</v>
      </c>
      <c r="N90" s="33">
        <f t="shared" si="109"/>
        <v>0</v>
      </c>
      <c r="O90" s="33">
        <f t="shared" si="110"/>
        <v>0</v>
      </c>
      <c r="P90" s="56">
        <v>0</v>
      </c>
      <c r="Q90" s="33">
        <f t="shared" si="111"/>
        <v>0</v>
      </c>
      <c r="R90" s="56">
        <v>0</v>
      </c>
      <c r="S90" s="56">
        <v>0</v>
      </c>
      <c r="T90" s="33">
        <f t="shared" si="112"/>
        <v>0</v>
      </c>
      <c r="U90" s="33">
        <f t="shared" si="113"/>
        <v>0</v>
      </c>
      <c r="V90" s="56">
        <v>0</v>
      </c>
      <c r="W90" s="33">
        <f t="shared" si="114"/>
        <v>0</v>
      </c>
      <c r="X90" s="56">
        <v>0</v>
      </c>
      <c r="Y90" s="56">
        <v>0</v>
      </c>
      <c r="Z90" s="33">
        <f t="shared" si="115"/>
        <v>0</v>
      </c>
      <c r="AA90" s="33">
        <f t="shared" si="116"/>
        <v>0</v>
      </c>
      <c r="AB90" s="76">
        <v>1</v>
      </c>
      <c r="AC90" s="117">
        <f t="shared" si="118"/>
        <v>1</v>
      </c>
      <c r="AD90" s="56">
        <v>0</v>
      </c>
      <c r="AE90" s="56">
        <v>0</v>
      </c>
      <c r="AF90" s="117">
        <f t="shared" si="119"/>
        <v>0</v>
      </c>
      <c r="AG90" s="118">
        <f t="shared" si="120"/>
        <v>0</v>
      </c>
      <c r="AH90" s="80">
        <f t="shared" si="121"/>
        <v>1</v>
      </c>
      <c r="AI90" s="127">
        <f t="shared" si="134"/>
        <v>1</v>
      </c>
      <c r="AJ90" s="111">
        <v>0</v>
      </c>
      <c r="AK90" s="111">
        <v>0</v>
      </c>
      <c r="AL90" s="112">
        <f t="shared" ca="1" si="96"/>
        <v>0</v>
      </c>
      <c r="AM90" s="112">
        <f t="shared" si="97"/>
        <v>0</v>
      </c>
      <c r="AN90" s="80">
        <f t="shared" si="122"/>
        <v>1</v>
      </c>
      <c r="AO90" s="12">
        <f t="shared" si="123"/>
        <v>1</v>
      </c>
      <c r="AP90" s="10">
        <v>0</v>
      </c>
      <c r="AQ90" s="10">
        <v>0</v>
      </c>
      <c r="AR90" s="12">
        <f t="shared" si="124"/>
        <v>0</v>
      </c>
      <c r="AS90" s="12">
        <f t="shared" si="125"/>
        <v>0</v>
      </c>
      <c r="AT90" s="13">
        <f t="shared" si="126"/>
        <v>1</v>
      </c>
      <c r="AU90" s="12">
        <f t="shared" si="127"/>
        <v>1</v>
      </c>
      <c r="AV90" s="10">
        <v>0</v>
      </c>
      <c r="AW90" s="10">
        <v>0</v>
      </c>
      <c r="AX90" s="12">
        <f t="shared" si="128"/>
        <v>0</v>
      </c>
      <c r="AY90" s="12">
        <f t="shared" si="129"/>
        <v>0</v>
      </c>
      <c r="AZ90" s="32">
        <f t="shared" si="130"/>
        <v>1</v>
      </c>
      <c r="BA90" s="12">
        <f t="shared" si="131"/>
        <v>1</v>
      </c>
      <c r="BB90" s="10">
        <v>0</v>
      </c>
      <c r="BC90" s="10">
        <v>0</v>
      </c>
      <c r="BD90" s="12">
        <f t="shared" si="132"/>
        <v>0</v>
      </c>
      <c r="BE90" s="12">
        <f t="shared" si="133"/>
        <v>0</v>
      </c>
      <c r="BF90" s="28">
        <v>1</v>
      </c>
      <c r="BG90" s="33">
        <f t="shared" si="148"/>
        <v>1</v>
      </c>
      <c r="BH90" s="56">
        <v>0</v>
      </c>
      <c r="BI90" s="56">
        <v>0</v>
      </c>
      <c r="BJ90" s="33">
        <f t="shared" si="136"/>
        <v>0</v>
      </c>
      <c r="BK90" s="33">
        <f t="shared" si="137"/>
        <v>0</v>
      </c>
      <c r="BL90" s="28">
        <v>1</v>
      </c>
      <c r="BM90" s="33">
        <f t="shared" si="149"/>
        <v>1</v>
      </c>
      <c r="BN90" s="56">
        <v>0</v>
      </c>
      <c r="BO90" s="56">
        <v>0</v>
      </c>
      <c r="BP90" s="33">
        <f t="shared" si="139"/>
        <v>0</v>
      </c>
      <c r="BQ90" s="33">
        <f t="shared" si="140"/>
        <v>0</v>
      </c>
      <c r="BR90" s="28">
        <v>1</v>
      </c>
      <c r="BS90" s="33">
        <f t="shared" si="150"/>
        <v>1</v>
      </c>
      <c r="BT90" s="56">
        <v>0</v>
      </c>
      <c r="BU90" s="56">
        <v>0</v>
      </c>
      <c r="BV90" s="33">
        <f t="shared" si="142"/>
        <v>0</v>
      </c>
      <c r="BW90" s="33">
        <f t="shared" si="143"/>
        <v>0</v>
      </c>
      <c r="BX90" s="73">
        <v>1</v>
      </c>
      <c r="BY90" s="33">
        <f t="shared" si="151"/>
        <v>1</v>
      </c>
      <c r="BZ90" s="56">
        <v>0</v>
      </c>
      <c r="CA90" s="56">
        <v>0</v>
      </c>
      <c r="CB90" s="33">
        <f t="shared" si="145"/>
        <v>0</v>
      </c>
      <c r="CC90" s="33">
        <f t="shared" si="146"/>
        <v>0</v>
      </c>
      <c r="CD90" s="28">
        <v>1</v>
      </c>
      <c r="CE90" s="33">
        <f t="shared" si="152"/>
        <v>1</v>
      </c>
    </row>
    <row r="91" spans="1:83" ht="80.25" customHeight="1">
      <c r="A91" s="148" t="s">
        <v>208</v>
      </c>
      <c r="B91" s="155" t="s">
        <v>328</v>
      </c>
      <c r="C91" s="175" t="s">
        <v>329</v>
      </c>
      <c r="D91" s="155">
        <v>2014</v>
      </c>
      <c r="E91" s="154"/>
      <c r="F91" s="154"/>
      <c r="G91" s="154"/>
      <c r="H91" s="166">
        <v>4</v>
      </c>
      <c r="I91" s="161">
        <v>1</v>
      </c>
      <c r="J91" s="56">
        <v>0</v>
      </c>
      <c r="K91" s="33">
        <f t="shared" si="108"/>
        <v>0</v>
      </c>
      <c r="L91" s="56">
        <v>0</v>
      </c>
      <c r="M91" s="56">
        <v>0</v>
      </c>
      <c r="N91" s="33">
        <f t="shared" si="109"/>
        <v>0</v>
      </c>
      <c r="O91" s="33">
        <f t="shared" si="110"/>
        <v>0</v>
      </c>
      <c r="P91" s="56">
        <v>0</v>
      </c>
      <c r="Q91" s="33">
        <f t="shared" si="111"/>
        <v>0</v>
      </c>
      <c r="R91" s="56">
        <v>0</v>
      </c>
      <c r="S91" s="56">
        <v>0</v>
      </c>
      <c r="T91" s="33">
        <f t="shared" si="112"/>
        <v>0</v>
      </c>
      <c r="U91" s="33">
        <f t="shared" si="113"/>
        <v>0</v>
      </c>
      <c r="V91" s="56">
        <v>0</v>
      </c>
      <c r="W91" s="33">
        <f t="shared" si="114"/>
        <v>0</v>
      </c>
      <c r="X91" s="56">
        <v>0</v>
      </c>
      <c r="Y91" s="56">
        <v>0</v>
      </c>
      <c r="Z91" s="33">
        <f t="shared" si="115"/>
        <v>0</v>
      </c>
      <c r="AA91" s="33">
        <f t="shared" si="116"/>
        <v>0</v>
      </c>
      <c r="AB91" s="76">
        <v>4</v>
      </c>
      <c r="AC91" s="117">
        <f t="shared" si="118"/>
        <v>4</v>
      </c>
      <c r="AD91" s="56">
        <v>0</v>
      </c>
      <c r="AE91" s="56">
        <v>0</v>
      </c>
      <c r="AF91" s="117">
        <f t="shared" si="119"/>
        <v>0</v>
      </c>
      <c r="AG91" s="118">
        <f t="shared" si="120"/>
        <v>0</v>
      </c>
      <c r="AH91" s="80">
        <f t="shared" si="121"/>
        <v>4</v>
      </c>
      <c r="AI91" s="127">
        <f t="shared" si="134"/>
        <v>4</v>
      </c>
      <c r="AJ91" s="111">
        <v>0</v>
      </c>
      <c r="AK91" s="111">
        <v>0</v>
      </c>
      <c r="AL91" s="112">
        <f t="shared" ca="1" si="96"/>
        <v>0</v>
      </c>
      <c r="AM91" s="112">
        <f t="shared" si="97"/>
        <v>0</v>
      </c>
      <c r="AN91" s="80">
        <f t="shared" si="122"/>
        <v>4</v>
      </c>
      <c r="AO91" s="12">
        <f t="shared" si="123"/>
        <v>4</v>
      </c>
      <c r="AP91" s="10">
        <v>0</v>
      </c>
      <c r="AQ91" s="10">
        <v>0</v>
      </c>
      <c r="AR91" s="12">
        <f t="shared" si="124"/>
        <v>0</v>
      </c>
      <c r="AS91" s="12">
        <f t="shared" si="125"/>
        <v>0</v>
      </c>
      <c r="AT91" s="13">
        <f t="shared" si="126"/>
        <v>4</v>
      </c>
      <c r="AU91" s="12">
        <f t="shared" si="127"/>
        <v>4</v>
      </c>
      <c r="AV91" s="10">
        <v>0</v>
      </c>
      <c r="AW91" s="10">
        <v>0</v>
      </c>
      <c r="AX91" s="12">
        <f t="shared" si="128"/>
        <v>0</v>
      </c>
      <c r="AY91" s="12">
        <f t="shared" si="129"/>
        <v>0</v>
      </c>
      <c r="AZ91" s="32">
        <f t="shared" si="130"/>
        <v>4</v>
      </c>
      <c r="BA91" s="12">
        <f t="shared" si="131"/>
        <v>4</v>
      </c>
      <c r="BB91" s="10">
        <v>0</v>
      </c>
      <c r="BC91" s="10">
        <v>0</v>
      </c>
      <c r="BD91" s="12">
        <f t="shared" si="132"/>
        <v>0</v>
      </c>
      <c r="BE91" s="12">
        <f t="shared" si="133"/>
        <v>0</v>
      </c>
      <c r="BF91" s="28">
        <v>4</v>
      </c>
      <c r="BG91" s="33">
        <f t="shared" si="148"/>
        <v>4</v>
      </c>
      <c r="BH91" s="56">
        <v>0</v>
      </c>
      <c r="BI91" s="56">
        <v>0</v>
      </c>
      <c r="BJ91" s="33">
        <f t="shared" si="136"/>
        <v>0</v>
      </c>
      <c r="BK91" s="33">
        <f t="shared" si="137"/>
        <v>0</v>
      </c>
      <c r="BL91" s="28">
        <v>4</v>
      </c>
      <c r="BM91" s="33">
        <f t="shared" si="149"/>
        <v>4</v>
      </c>
      <c r="BN91" s="56">
        <v>0</v>
      </c>
      <c r="BO91" s="56">
        <v>0</v>
      </c>
      <c r="BP91" s="33">
        <f t="shared" si="139"/>
        <v>0</v>
      </c>
      <c r="BQ91" s="33">
        <f t="shared" si="140"/>
        <v>0</v>
      </c>
      <c r="BR91" s="28">
        <v>4</v>
      </c>
      <c r="BS91" s="33">
        <f t="shared" si="150"/>
        <v>4</v>
      </c>
      <c r="BT91" s="56">
        <v>0</v>
      </c>
      <c r="BU91" s="56">
        <v>0</v>
      </c>
      <c r="BV91" s="33">
        <f t="shared" si="142"/>
        <v>0</v>
      </c>
      <c r="BW91" s="33">
        <f t="shared" si="143"/>
        <v>0</v>
      </c>
      <c r="BX91" s="73">
        <v>4</v>
      </c>
      <c r="BY91" s="33">
        <f t="shared" si="151"/>
        <v>4</v>
      </c>
      <c r="BZ91" s="56">
        <v>0</v>
      </c>
      <c r="CA91" s="56">
        <v>0</v>
      </c>
      <c r="CB91" s="33">
        <f t="shared" si="145"/>
        <v>0</v>
      </c>
      <c r="CC91" s="33">
        <f t="shared" si="146"/>
        <v>0</v>
      </c>
      <c r="CD91" s="28">
        <v>4</v>
      </c>
      <c r="CE91" s="33">
        <f t="shared" si="152"/>
        <v>4</v>
      </c>
    </row>
    <row r="92" spans="1:83" ht="80.25" customHeight="1">
      <c r="A92" s="148" t="s">
        <v>244</v>
      </c>
      <c r="B92" s="155" t="s">
        <v>330</v>
      </c>
      <c r="C92" s="174" t="s">
        <v>331</v>
      </c>
      <c r="D92" s="157">
        <v>2015</v>
      </c>
      <c r="E92" s="154"/>
      <c r="F92" s="154"/>
      <c r="G92" s="154"/>
      <c r="H92" s="165">
        <v>1</v>
      </c>
      <c r="I92" s="159">
        <v>1</v>
      </c>
      <c r="J92" s="56">
        <v>0</v>
      </c>
      <c r="K92" s="33">
        <f t="shared" si="108"/>
        <v>0</v>
      </c>
      <c r="L92" s="10">
        <v>0</v>
      </c>
      <c r="M92" s="10">
        <v>0</v>
      </c>
      <c r="N92" s="33">
        <f t="shared" si="109"/>
        <v>0</v>
      </c>
      <c r="O92" s="33">
        <f t="shared" si="110"/>
        <v>0</v>
      </c>
      <c r="P92" s="56">
        <v>0</v>
      </c>
      <c r="Q92" s="33">
        <f t="shared" si="111"/>
        <v>0</v>
      </c>
      <c r="R92" s="56">
        <v>0</v>
      </c>
      <c r="S92" s="56">
        <v>0</v>
      </c>
      <c r="T92" s="33">
        <f t="shared" si="112"/>
        <v>0</v>
      </c>
      <c r="U92" s="33">
        <f t="shared" si="113"/>
        <v>0</v>
      </c>
      <c r="V92" s="56">
        <v>0</v>
      </c>
      <c r="W92" s="33">
        <f t="shared" si="114"/>
        <v>0</v>
      </c>
      <c r="X92" s="56">
        <v>0</v>
      </c>
      <c r="Y92" s="56">
        <v>0</v>
      </c>
      <c r="Z92" s="33">
        <f t="shared" si="115"/>
        <v>0</v>
      </c>
      <c r="AA92" s="33">
        <f t="shared" si="116"/>
        <v>0</v>
      </c>
      <c r="AB92" s="146">
        <v>1</v>
      </c>
      <c r="AC92" s="117">
        <f t="shared" si="118"/>
        <v>1</v>
      </c>
      <c r="AD92" s="10">
        <v>0</v>
      </c>
      <c r="AE92" s="10">
        <v>0</v>
      </c>
      <c r="AF92" s="117">
        <f t="shared" si="119"/>
        <v>0</v>
      </c>
      <c r="AG92" s="118">
        <f t="shared" si="120"/>
        <v>0</v>
      </c>
      <c r="AH92" s="80">
        <f t="shared" si="121"/>
        <v>1</v>
      </c>
      <c r="AI92" s="127">
        <f t="shared" si="134"/>
        <v>1</v>
      </c>
      <c r="AJ92" s="111">
        <v>0</v>
      </c>
      <c r="AK92" s="111">
        <v>0</v>
      </c>
      <c r="AL92" s="112">
        <f t="shared" ca="1" si="96"/>
        <v>0</v>
      </c>
      <c r="AM92" s="112">
        <f t="shared" si="97"/>
        <v>0</v>
      </c>
      <c r="AN92" s="80">
        <f t="shared" si="122"/>
        <v>1</v>
      </c>
      <c r="AO92" s="12">
        <f t="shared" si="123"/>
        <v>1</v>
      </c>
      <c r="AP92" s="10">
        <v>0</v>
      </c>
      <c r="AQ92" s="10">
        <v>0</v>
      </c>
      <c r="AR92" s="12">
        <f t="shared" si="124"/>
        <v>0</v>
      </c>
      <c r="AS92" s="12">
        <f t="shared" si="125"/>
        <v>0</v>
      </c>
      <c r="AT92" s="13">
        <f t="shared" si="126"/>
        <v>1</v>
      </c>
      <c r="AU92" s="12">
        <f t="shared" si="127"/>
        <v>1</v>
      </c>
      <c r="AV92" s="10">
        <v>0</v>
      </c>
      <c r="AW92" s="10">
        <v>0</v>
      </c>
      <c r="AX92" s="12">
        <f t="shared" si="128"/>
        <v>0</v>
      </c>
      <c r="AY92" s="12">
        <f t="shared" si="129"/>
        <v>0</v>
      </c>
      <c r="AZ92" s="32">
        <f t="shared" si="130"/>
        <v>1</v>
      </c>
      <c r="BA92" s="12">
        <f t="shared" si="131"/>
        <v>1</v>
      </c>
      <c r="BB92" s="10">
        <v>0</v>
      </c>
      <c r="BC92" s="10">
        <v>0</v>
      </c>
      <c r="BD92" s="12">
        <f t="shared" si="132"/>
        <v>0</v>
      </c>
      <c r="BE92" s="12">
        <f t="shared" si="133"/>
        <v>0</v>
      </c>
      <c r="BF92" s="48">
        <v>1</v>
      </c>
      <c r="BG92" s="12">
        <f t="shared" si="148"/>
        <v>1</v>
      </c>
      <c r="BH92" s="10">
        <v>0</v>
      </c>
      <c r="BI92" s="10">
        <v>0</v>
      </c>
      <c r="BJ92" s="33">
        <f t="shared" si="136"/>
        <v>0</v>
      </c>
      <c r="BK92" s="33">
        <f t="shared" si="137"/>
        <v>0</v>
      </c>
      <c r="BL92" s="48">
        <v>1</v>
      </c>
      <c r="BM92" s="12">
        <f t="shared" si="149"/>
        <v>1</v>
      </c>
      <c r="BN92" s="10">
        <v>0</v>
      </c>
      <c r="BO92" s="10">
        <v>0</v>
      </c>
      <c r="BP92" s="33">
        <f t="shared" si="139"/>
        <v>0</v>
      </c>
      <c r="BQ92" s="33">
        <f t="shared" si="140"/>
        <v>0</v>
      </c>
      <c r="BR92" s="48">
        <v>1</v>
      </c>
      <c r="BS92" s="12">
        <f t="shared" si="150"/>
        <v>1</v>
      </c>
      <c r="BT92" s="10">
        <v>0</v>
      </c>
      <c r="BU92" s="10">
        <v>0</v>
      </c>
      <c r="BV92" s="33">
        <f t="shared" si="142"/>
        <v>0</v>
      </c>
      <c r="BW92" s="33">
        <f t="shared" si="143"/>
        <v>0</v>
      </c>
      <c r="BX92" s="48">
        <v>1</v>
      </c>
      <c r="BY92" s="12">
        <f t="shared" si="151"/>
        <v>1</v>
      </c>
      <c r="BZ92" s="10">
        <v>0</v>
      </c>
      <c r="CA92" s="10">
        <v>0</v>
      </c>
      <c r="CB92" s="33">
        <f t="shared" si="145"/>
        <v>0</v>
      </c>
      <c r="CC92" s="33">
        <f t="shared" si="146"/>
        <v>0</v>
      </c>
      <c r="CD92" s="48">
        <v>1</v>
      </c>
      <c r="CE92" s="12">
        <f t="shared" si="152"/>
        <v>1</v>
      </c>
    </row>
    <row r="93" spans="1:83" ht="80.25" customHeight="1">
      <c r="A93" s="148" t="s">
        <v>332</v>
      </c>
      <c r="B93" s="155" t="s">
        <v>333</v>
      </c>
      <c r="C93" s="174" t="s">
        <v>334</v>
      </c>
      <c r="D93" s="157">
        <v>2016</v>
      </c>
      <c r="E93" s="154"/>
      <c r="F93" s="154"/>
      <c r="G93" s="154"/>
      <c r="H93" s="165">
        <v>52</v>
      </c>
      <c r="I93" s="159">
        <v>1</v>
      </c>
      <c r="J93" s="56">
        <v>0</v>
      </c>
      <c r="K93" s="33">
        <f t="shared" si="108"/>
        <v>0</v>
      </c>
      <c r="L93" s="10">
        <v>0</v>
      </c>
      <c r="M93" s="10">
        <v>0</v>
      </c>
      <c r="N93" s="33">
        <f t="shared" si="109"/>
        <v>0</v>
      </c>
      <c r="O93" s="33">
        <f t="shared" si="110"/>
        <v>0</v>
      </c>
      <c r="P93" s="56">
        <v>0</v>
      </c>
      <c r="Q93" s="33">
        <f t="shared" si="111"/>
        <v>0</v>
      </c>
      <c r="R93" s="56">
        <v>0</v>
      </c>
      <c r="S93" s="56">
        <v>0</v>
      </c>
      <c r="T93" s="33">
        <f t="shared" si="112"/>
        <v>0</v>
      </c>
      <c r="U93" s="33">
        <f t="shared" si="113"/>
        <v>0</v>
      </c>
      <c r="V93" s="56">
        <v>0</v>
      </c>
      <c r="W93" s="33">
        <f t="shared" si="114"/>
        <v>0</v>
      </c>
      <c r="X93" s="56">
        <v>0</v>
      </c>
      <c r="Y93" s="56">
        <v>0</v>
      </c>
      <c r="Z93" s="33">
        <f t="shared" si="115"/>
        <v>0</v>
      </c>
      <c r="AA93" s="33">
        <f t="shared" si="116"/>
        <v>0</v>
      </c>
      <c r="AB93" s="146">
        <v>52</v>
      </c>
      <c r="AC93" s="117">
        <f t="shared" si="118"/>
        <v>52</v>
      </c>
      <c r="AD93" s="10">
        <v>0</v>
      </c>
      <c r="AE93" s="10">
        <v>0</v>
      </c>
      <c r="AF93" s="117">
        <f t="shared" si="119"/>
        <v>0</v>
      </c>
      <c r="AG93" s="118">
        <f t="shared" si="120"/>
        <v>0</v>
      </c>
      <c r="AH93" s="80">
        <f t="shared" si="121"/>
        <v>52</v>
      </c>
      <c r="AI93" s="127">
        <f t="shared" si="134"/>
        <v>52</v>
      </c>
      <c r="AJ93" s="111">
        <v>0</v>
      </c>
      <c r="AK93" s="111">
        <v>0</v>
      </c>
      <c r="AL93" s="112">
        <f t="shared" ca="1" si="96"/>
        <v>0</v>
      </c>
      <c r="AM93" s="112">
        <f t="shared" si="97"/>
        <v>0</v>
      </c>
      <c r="AN93" s="80">
        <f t="shared" si="122"/>
        <v>52</v>
      </c>
      <c r="AO93" s="12">
        <f t="shared" si="123"/>
        <v>52</v>
      </c>
      <c r="AP93" s="10">
        <v>0</v>
      </c>
      <c r="AQ93" s="10">
        <v>0</v>
      </c>
      <c r="AR93" s="12">
        <f t="shared" si="124"/>
        <v>0</v>
      </c>
      <c r="AS93" s="12">
        <f t="shared" si="125"/>
        <v>0</v>
      </c>
      <c r="AT93" s="13">
        <f t="shared" si="126"/>
        <v>52</v>
      </c>
      <c r="AU93" s="12">
        <f t="shared" si="127"/>
        <v>52</v>
      </c>
      <c r="AV93" s="10">
        <v>0</v>
      </c>
      <c r="AW93" s="10">
        <v>0</v>
      </c>
      <c r="AX93" s="12">
        <f t="shared" si="128"/>
        <v>0</v>
      </c>
      <c r="AY93" s="12">
        <f t="shared" si="129"/>
        <v>0</v>
      </c>
      <c r="AZ93" s="32">
        <f t="shared" si="130"/>
        <v>52</v>
      </c>
      <c r="BA93" s="12">
        <f t="shared" si="131"/>
        <v>52</v>
      </c>
      <c r="BB93" s="10">
        <v>0</v>
      </c>
      <c r="BC93" s="10">
        <v>0</v>
      </c>
      <c r="BD93" s="12">
        <f t="shared" si="132"/>
        <v>0</v>
      </c>
      <c r="BE93" s="12">
        <f t="shared" si="133"/>
        <v>0</v>
      </c>
      <c r="BF93" s="48">
        <v>52</v>
      </c>
      <c r="BG93" s="12">
        <f t="shared" si="148"/>
        <v>52</v>
      </c>
      <c r="BH93" s="10">
        <v>0</v>
      </c>
      <c r="BI93" s="10">
        <v>0</v>
      </c>
      <c r="BJ93" s="33">
        <f t="shared" si="136"/>
        <v>0</v>
      </c>
      <c r="BK93" s="33">
        <f t="shared" si="137"/>
        <v>0</v>
      </c>
      <c r="BL93" s="48">
        <v>52</v>
      </c>
      <c r="BM93" s="12">
        <f t="shared" si="149"/>
        <v>52</v>
      </c>
      <c r="BN93" s="10">
        <v>0</v>
      </c>
      <c r="BO93" s="10">
        <v>0</v>
      </c>
      <c r="BP93" s="33">
        <f t="shared" si="139"/>
        <v>0</v>
      </c>
      <c r="BQ93" s="33">
        <f t="shared" si="140"/>
        <v>0</v>
      </c>
      <c r="BR93" s="48">
        <v>52</v>
      </c>
      <c r="BS93" s="12">
        <f t="shared" si="150"/>
        <v>52</v>
      </c>
      <c r="BT93" s="10">
        <v>0</v>
      </c>
      <c r="BU93" s="10">
        <v>0</v>
      </c>
      <c r="BV93" s="33">
        <f t="shared" si="142"/>
        <v>0</v>
      </c>
      <c r="BW93" s="33">
        <f t="shared" si="143"/>
        <v>0</v>
      </c>
      <c r="BX93" s="48">
        <v>52</v>
      </c>
      <c r="BY93" s="12">
        <f t="shared" si="151"/>
        <v>52</v>
      </c>
      <c r="BZ93" s="10">
        <v>0</v>
      </c>
      <c r="CA93" s="10">
        <v>0</v>
      </c>
      <c r="CB93" s="33">
        <f t="shared" si="145"/>
        <v>0</v>
      </c>
      <c r="CC93" s="33">
        <f t="shared" si="146"/>
        <v>0</v>
      </c>
      <c r="CD93" s="48">
        <v>52</v>
      </c>
      <c r="CE93" s="12">
        <f t="shared" si="152"/>
        <v>52</v>
      </c>
    </row>
    <row r="94" spans="1:83" ht="80.25" customHeight="1">
      <c r="A94" s="148" t="s">
        <v>129</v>
      </c>
      <c r="B94" s="155" t="s">
        <v>335</v>
      </c>
      <c r="C94" s="173" t="s">
        <v>336</v>
      </c>
      <c r="D94" s="156">
        <v>2012</v>
      </c>
      <c r="E94" s="154"/>
      <c r="F94" s="154"/>
      <c r="G94" s="154"/>
      <c r="H94" s="165">
        <v>2</v>
      </c>
      <c r="I94" s="159">
        <v>1</v>
      </c>
      <c r="J94" s="56">
        <v>0</v>
      </c>
      <c r="K94" s="33">
        <f t="shared" si="108"/>
        <v>0</v>
      </c>
      <c r="L94" s="10">
        <v>0</v>
      </c>
      <c r="M94" s="10">
        <v>0</v>
      </c>
      <c r="N94" s="33">
        <f t="shared" si="109"/>
        <v>0</v>
      </c>
      <c r="O94" s="33">
        <f t="shared" si="110"/>
        <v>0</v>
      </c>
      <c r="P94" s="56">
        <v>0</v>
      </c>
      <c r="Q94" s="33">
        <f t="shared" si="111"/>
        <v>0</v>
      </c>
      <c r="R94" s="56">
        <v>0</v>
      </c>
      <c r="S94" s="56">
        <v>0</v>
      </c>
      <c r="T94" s="33">
        <f t="shared" si="112"/>
        <v>0</v>
      </c>
      <c r="U94" s="33">
        <f t="shared" si="113"/>
        <v>0</v>
      </c>
      <c r="V94" s="56">
        <v>0</v>
      </c>
      <c r="W94" s="33">
        <f t="shared" si="114"/>
        <v>0</v>
      </c>
      <c r="X94" s="56">
        <v>0</v>
      </c>
      <c r="Y94" s="56">
        <v>0</v>
      </c>
      <c r="Z94" s="33">
        <f t="shared" si="115"/>
        <v>0</v>
      </c>
      <c r="AA94" s="33">
        <f t="shared" si="116"/>
        <v>0</v>
      </c>
      <c r="AB94" s="146">
        <v>2</v>
      </c>
      <c r="AC94" s="117">
        <f t="shared" si="118"/>
        <v>2</v>
      </c>
      <c r="AD94" s="10">
        <v>0</v>
      </c>
      <c r="AE94" s="10">
        <v>0</v>
      </c>
      <c r="AF94" s="117">
        <f t="shared" si="119"/>
        <v>0</v>
      </c>
      <c r="AG94" s="118">
        <f t="shared" si="120"/>
        <v>0</v>
      </c>
      <c r="AH94" s="80">
        <f t="shared" si="121"/>
        <v>2</v>
      </c>
      <c r="AI94" s="127">
        <f t="shared" si="134"/>
        <v>2</v>
      </c>
      <c r="AJ94" s="111">
        <v>0</v>
      </c>
      <c r="AK94" s="111">
        <v>0</v>
      </c>
      <c r="AL94" s="112">
        <f t="shared" ca="1" si="96"/>
        <v>0</v>
      </c>
      <c r="AM94" s="112">
        <f t="shared" si="97"/>
        <v>0</v>
      </c>
      <c r="AN94" s="80">
        <f t="shared" si="122"/>
        <v>2</v>
      </c>
      <c r="AO94" s="12">
        <f t="shared" si="123"/>
        <v>2</v>
      </c>
      <c r="AP94" s="10">
        <v>0</v>
      </c>
      <c r="AQ94" s="10">
        <v>0</v>
      </c>
      <c r="AR94" s="12">
        <f t="shared" si="124"/>
        <v>0</v>
      </c>
      <c r="AS94" s="12">
        <f t="shared" si="125"/>
        <v>0</v>
      </c>
      <c r="AT94" s="13">
        <f t="shared" si="126"/>
        <v>2</v>
      </c>
      <c r="AU94" s="12">
        <f t="shared" si="127"/>
        <v>2</v>
      </c>
      <c r="AV94" s="10">
        <v>0</v>
      </c>
      <c r="AW94" s="10">
        <v>0</v>
      </c>
      <c r="AX94" s="12">
        <f t="shared" si="128"/>
        <v>0</v>
      </c>
      <c r="AY94" s="12">
        <f t="shared" si="129"/>
        <v>0</v>
      </c>
      <c r="AZ94" s="32">
        <f t="shared" si="130"/>
        <v>2</v>
      </c>
      <c r="BA94" s="12">
        <f t="shared" si="131"/>
        <v>2</v>
      </c>
      <c r="BB94" s="10">
        <v>0</v>
      </c>
      <c r="BC94" s="10">
        <v>0</v>
      </c>
      <c r="BD94" s="12">
        <f t="shared" si="132"/>
        <v>0</v>
      </c>
      <c r="BE94" s="12">
        <f t="shared" si="133"/>
        <v>0</v>
      </c>
      <c r="BF94" s="48">
        <v>2</v>
      </c>
      <c r="BG94" s="12">
        <f t="shared" si="148"/>
        <v>2</v>
      </c>
      <c r="BH94" s="10">
        <v>0</v>
      </c>
      <c r="BI94" s="10">
        <v>0</v>
      </c>
      <c r="BJ94" s="33">
        <f t="shared" si="136"/>
        <v>0</v>
      </c>
      <c r="BK94" s="33">
        <f t="shared" si="137"/>
        <v>0</v>
      </c>
      <c r="BL94" s="48">
        <v>2</v>
      </c>
      <c r="BM94" s="12">
        <f t="shared" si="149"/>
        <v>2</v>
      </c>
      <c r="BN94" s="10">
        <v>0</v>
      </c>
      <c r="BO94" s="10">
        <v>0</v>
      </c>
      <c r="BP94" s="33">
        <f t="shared" si="139"/>
        <v>0</v>
      </c>
      <c r="BQ94" s="33">
        <f t="shared" si="140"/>
        <v>0</v>
      </c>
      <c r="BR94" s="48">
        <v>2</v>
      </c>
      <c r="BS94" s="12">
        <f t="shared" si="150"/>
        <v>2</v>
      </c>
      <c r="BT94" s="10">
        <v>0</v>
      </c>
      <c r="BU94" s="10">
        <v>0</v>
      </c>
      <c r="BV94" s="33">
        <f t="shared" si="142"/>
        <v>0</v>
      </c>
      <c r="BW94" s="33">
        <f t="shared" si="143"/>
        <v>0</v>
      </c>
      <c r="BX94" s="48">
        <v>2</v>
      </c>
      <c r="BY94" s="12">
        <f t="shared" si="151"/>
        <v>2</v>
      </c>
      <c r="BZ94" s="10">
        <v>0</v>
      </c>
      <c r="CA94" s="10">
        <v>0</v>
      </c>
      <c r="CB94" s="33">
        <f t="shared" si="145"/>
        <v>0</v>
      </c>
      <c r="CC94" s="33">
        <f t="shared" si="146"/>
        <v>0</v>
      </c>
      <c r="CD94" s="48">
        <v>2</v>
      </c>
      <c r="CE94" s="12">
        <f t="shared" si="152"/>
        <v>2</v>
      </c>
    </row>
    <row r="95" spans="1:83" ht="80.25" customHeight="1">
      <c r="A95" s="148" t="s">
        <v>136</v>
      </c>
      <c r="B95" s="155" t="s">
        <v>337</v>
      </c>
      <c r="C95" s="174" t="s">
        <v>338</v>
      </c>
      <c r="D95" s="157">
        <v>2003</v>
      </c>
      <c r="E95" s="154"/>
      <c r="F95" s="154"/>
      <c r="G95" s="154"/>
      <c r="H95" s="165">
        <v>1</v>
      </c>
      <c r="I95" s="159">
        <v>1</v>
      </c>
      <c r="J95" s="56">
        <v>0</v>
      </c>
      <c r="K95" s="33">
        <f t="shared" si="108"/>
        <v>0</v>
      </c>
      <c r="L95" s="10">
        <v>0</v>
      </c>
      <c r="M95" s="10">
        <v>0</v>
      </c>
      <c r="N95" s="33">
        <f t="shared" si="109"/>
        <v>0</v>
      </c>
      <c r="O95" s="33">
        <f t="shared" si="110"/>
        <v>0</v>
      </c>
      <c r="P95" s="56">
        <v>0</v>
      </c>
      <c r="Q95" s="33">
        <f t="shared" si="111"/>
        <v>0</v>
      </c>
      <c r="R95" s="56">
        <v>0</v>
      </c>
      <c r="S95" s="56">
        <v>0</v>
      </c>
      <c r="T95" s="33">
        <f t="shared" si="112"/>
        <v>0</v>
      </c>
      <c r="U95" s="33">
        <f t="shared" si="113"/>
        <v>0</v>
      </c>
      <c r="V95" s="56">
        <v>0</v>
      </c>
      <c r="W95" s="33">
        <f t="shared" si="114"/>
        <v>0</v>
      </c>
      <c r="X95" s="56">
        <v>0</v>
      </c>
      <c r="Y95" s="56">
        <v>0</v>
      </c>
      <c r="Z95" s="33">
        <f t="shared" si="115"/>
        <v>0</v>
      </c>
      <c r="AA95" s="33">
        <f t="shared" si="116"/>
        <v>0</v>
      </c>
      <c r="AB95" s="146">
        <v>1</v>
      </c>
      <c r="AC95" s="117">
        <f t="shared" si="118"/>
        <v>1</v>
      </c>
      <c r="AD95" s="10">
        <v>0</v>
      </c>
      <c r="AE95" s="10">
        <v>0</v>
      </c>
      <c r="AF95" s="117">
        <f t="shared" si="119"/>
        <v>0</v>
      </c>
      <c r="AG95" s="118">
        <f t="shared" si="120"/>
        <v>0</v>
      </c>
      <c r="AH95" s="80">
        <f t="shared" si="121"/>
        <v>1</v>
      </c>
      <c r="AI95" s="127">
        <f t="shared" si="134"/>
        <v>1</v>
      </c>
      <c r="AJ95" s="111">
        <v>0</v>
      </c>
      <c r="AK95" s="111">
        <v>0</v>
      </c>
      <c r="AL95" s="112">
        <f t="shared" ca="1" si="96"/>
        <v>0</v>
      </c>
      <c r="AM95" s="112">
        <f t="shared" si="97"/>
        <v>0</v>
      </c>
      <c r="AN95" s="80">
        <f t="shared" si="122"/>
        <v>1</v>
      </c>
      <c r="AO95" s="12">
        <f t="shared" si="123"/>
        <v>1</v>
      </c>
      <c r="AP95" s="10">
        <v>0</v>
      </c>
      <c r="AQ95" s="10">
        <v>0</v>
      </c>
      <c r="AR95" s="12">
        <f t="shared" si="124"/>
        <v>0</v>
      </c>
      <c r="AS95" s="12">
        <f t="shared" si="125"/>
        <v>0</v>
      </c>
      <c r="AT95" s="13">
        <f t="shared" si="126"/>
        <v>1</v>
      </c>
      <c r="AU95" s="12">
        <f t="shared" si="127"/>
        <v>1</v>
      </c>
      <c r="AV95" s="10">
        <v>0</v>
      </c>
      <c r="AW95" s="10">
        <v>0</v>
      </c>
      <c r="AX95" s="12">
        <f t="shared" si="128"/>
        <v>0</v>
      </c>
      <c r="AY95" s="12">
        <f t="shared" si="129"/>
        <v>0</v>
      </c>
      <c r="AZ95" s="32">
        <f t="shared" si="130"/>
        <v>1</v>
      </c>
      <c r="BA95" s="12">
        <f t="shared" si="131"/>
        <v>1</v>
      </c>
      <c r="BB95" s="10">
        <v>0</v>
      </c>
      <c r="BC95" s="10">
        <v>0</v>
      </c>
      <c r="BD95" s="12">
        <f t="shared" si="132"/>
        <v>0</v>
      </c>
      <c r="BE95" s="12">
        <f t="shared" si="133"/>
        <v>0</v>
      </c>
      <c r="BF95" s="48">
        <v>1</v>
      </c>
      <c r="BG95" s="12">
        <f t="shared" si="148"/>
        <v>1</v>
      </c>
      <c r="BH95" s="10">
        <v>0</v>
      </c>
      <c r="BI95" s="10">
        <v>0</v>
      </c>
      <c r="BJ95" s="33">
        <f t="shared" si="136"/>
        <v>0</v>
      </c>
      <c r="BK95" s="33">
        <f t="shared" si="137"/>
        <v>0</v>
      </c>
      <c r="BL95" s="48">
        <v>1</v>
      </c>
      <c r="BM95" s="12">
        <f t="shared" si="149"/>
        <v>1</v>
      </c>
      <c r="BN95" s="10">
        <v>0</v>
      </c>
      <c r="BO95" s="10">
        <v>0</v>
      </c>
      <c r="BP95" s="33">
        <f t="shared" si="139"/>
        <v>0</v>
      </c>
      <c r="BQ95" s="33">
        <f t="shared" si="140"/>
        <v>0</v>
      </c>
      <c r="BR95" s="48">
        <v>1</v>
      </c>
      <c r="BS95" s="12">
        <f t="shared" si="150"/>
        <v>1</v>
      </c>
      <c r="BT95" s="10">
        <v>0</v>
      </c>
      <c r="BU95" s="10">
        <v>0</v>
      </c>
      <c r="BV95" s="33">
        <f t="shared" si="142"/>
        <v>0</v>
      </c>
      <c r="BW95" s="33">
        <f t="shared" si="143"/>
        <v>0</v>
      </c>
      <c r="BX95" s="48">
        <v>1</v>
      </c>
      <c r="BY95" s="12">
        <f t="shared" si="151"/>
        <v>1</v>
      </c>
      <c r="BZ95" s="10">
        <v>0</v>
      </c>
      <c r="CA95" s="10">
        <v>0</v>
      </c>
      <c r="CB95" s="33">
        <f t="shared" si="145"/>
        <v>0</v>
      </c>
      <c r="CC95" s="33">
        <f t="shared" si="146"/>
        <v>0</v>
      </c>
      <c r="CD95" s="48">
        <v>1</v>
      </c>
      <c r="CE95" s="12">
        <f t="shared" si="152"/>
        <v>1</v>
      </c>
    </row>
    <row r="96" spans="1:83" ht="80.25" customHeight="1">
      <c r="A96" s="148" t="s">
        <v>339</v>
      </c>
      <c r="B96" s="155" t="s">
        <v>340</v>
      </c>
      <c r="C96" s="173" t="s">
        <v>341</v>
      </c>
      <c r="D96" s="156">
        <v>2014</v>
      </c>
      <c r="E96" s="154"/>
      <c r="F96" s="154"/>
      <c r="G96" s="154"/>
      <c r="H96" s="165">
        <v>44</v>
      </c>
      <c r="I96" s="159">
        <v>1</v>
      </c>
      <c r="J96" s="56">
        <v>0</v>
      </c>
      <c r="K96" s="33">
        <f t="shared" si="108"/>
        <v>0</v>
      </c>
      <c r="L96" s="10">
        <v>0</v>
      </c>
      <c r="M96" s="10">
        <v>0</v>
      </c>
      <c r="N96" s="33">
        <f t="shared" si="109"/>
        <v>0</v>
      </c>
      <c r="O96" s="33">
        <f t="shared" si="110"/>
        <v>0</v>
      </c>
      <c r="P96" s="56">
        <v>0</v>
      </c>
      <c r="Q96" s="33">
        <f t="shared" si="111"/>
        <v>0</v>
      </c>
      <c r="R96" s="56">
        <v>0</v>
      </c>
      <c r="S96" s="56">
        <v>0</v>
      </c>
      <c r="T96" s="33">
        <f t="shared" si="112"/>
        <v>0</v>
      </c>
      <c r="U96" s="33">
        <f t="shared" si="113"/>
        <v>0</v>
      </c>
      <c r="V96" s="56">
        <v>0</v>
      </c>
      <c r="W96" s="33">
        <f t="shared" si="114"/>
        <v>0</v>
      </c>
      <c r="X96" s="56">
        <v>0</v>
      </c>
      <c r="Y96" s="56">
        <v>0</v>
      </c>
      <c r="Z96" s="33">
        <f t="shared" si="115"/>
        <v>0</v>
      </c>
      <c r="AA96" s="33">
        <f t="shared" si="116"/>
        <v>0</v>
      </c>
      <c r="AB96" s="146">
        <v>44</v>
      </c>
      <c r="AC96" s="117">
        <f t="shared" si="118"/>
        <v>44</v>
      </c>
      <c r="AD96" s="10">
        <v>0</v>
      </c>
      <c r="AE96" s="10">
        <v>0</v>
      </c>
      <c r="AF96" s="117">
        <f t="shared" si="119"/>
        <v>0</v>
      </c>
      <c r="AG96" s="118">
        <f t="shared" si="120"/>
        <v>0</v>
      </c>
      <c r="AH96" s="80">
        <f t="shared" si="121"/>
        <v>44</v>
      </c>
      <c r="AI96" s="127">
        <f t="shared" si="134"/>
        <v>44</v>
      </c>
      <c r="AJ96" s="111">
        <v>0</v>
      </c>
      <c r="AK96" s="111">
        <v>0</v>
      </c>
      <c r="AL96" s="112">
        <f t="shared" ca="1" si="96"/>
        <v>0</v>
      </c>
      <c r="AM96" s="112">
        <f t="shared" si="97"/>
        <v>0</v>
      </c>
      <c r="AN96" s="80">
        <f t="shared" si="122"/>
        <v>44</v>
      </c>
      <c r="AO96" s="12">
        <f t="shared" si="123"/>
        <v>44</v>
      </c>
      <c r="AP96" s="10">
        <v>0</v>
      </c>
      <c r="AQ96" s="10">
        <v>0</v>
      </c>
      <c r="AR96" s="12">
        <f t="shared" si="124"/>
        <v>0</v>
      </c>
      <c r="AS96" s="12">
        <f t="shared" si="125"/>
        <v>0</v>
      </c>
      <c r="AT96" s="13">
        <f t="shared" si="126"/>
        <v>44</v>
      </c>
      <c r="AU96" s="12">
        <f t="shared" si="127"/>
        <v>44</v>
      </c>
      <c r="AV96" s="10">
        <v>0</v>
      </c>
      <c r="AW96" s="10">
        <v>0</v>
      </c>
      <c r="AX96" s="12">
        <f t="shared" si="128"/>
        <v>0</v>
      </c>
      <c r="AY96" s="12">
        <f t="shared" si="129"/>
        <v>0</v>
      </c>
      <c r="AZ96" s="32">
        <f t="shared" si="130"/>
        <v>44</v>
      </c>
      <c r="BA96" s="12">
        <f t="shared" si="131"/>
        <v>44</v>
      </c>
      <c r="BB96" s="10">
        <v>0</v>
      </c>
      <c r="BC96" s="10">
        <v>0</v>
      </c>
      <c r="BD96" s="12">
        <f t="shared" si="132"/>
        <v>0</v>
      </c>
      <c r="BE96" s="12">
        <f t="shared" si="133"/>
        <v>0</v>
      </c>
      <c r="BF96" s="48">
        <v>44</v>
      </c>
      <c r="BG96" s="12">
        <f t="shared" si="148"/>
        <v>44</v>
      </c>
      <c r="BH96" s="10">
        <v>0</v>
      </c>
      <c r="BI96" s="10">
        <v>0</v>
      </c>
      <c r="BJ96" s="33">
        <f t="shared" si="136"/>
        <v>0</v>
      </c>
      <c r="BK96" s="33">
        <f t="shared" si="137"/>
        <v>0</v>
      </c>
      <c r="BL96" s="48">
        <v>44</v>
      </c>
      <c r="BM96" s="12">
        <f t="shared" si="149"/>
        <v>44</v>
      </c>
      <c r="BN96" s="10">
        <v>0</v>
      </c>
      <c r="BO96" s="10">
        <v>0</v>
      </c>
      <c r="BP96" s="33">
        <f t="shared" si="139"/>
        <v>0</v>
      </c>
      <c r="BQ96" s="33">
        <f t="shared" si="140"/>
        <v>0</v>
      </c>
      <c r="BR96" s="48">
        <v>44</v>
      </c>
      <c r="BS96" s="12">
        <f t="shared" si="150"/>
        <v>44</v>
      </c>
      <c r="BT96" s="10">
        <v>0</v>
      </c>
      <c r="BU96" s="10">
        <v>0</v>
      </c>
      <c r="BV96" s="33">
        <f t="shared" si="142"/>
        <v>0</v>
      </c>
      <c r="BW96" s="33">
        <f t="shared" si="143"/>
        <v>0</v>
      </c>
      <c r="BX96" s="48">
        <v>44</v>
      </c>
      <c r="BY96" s="12">
        <f t="shared" si="151"/>
        <v>44</v>
      </c>
      <c r="BZ96" s="10">
        <v>0</v>
      </c>
      <c r="CA96" s="10">
        <v>0</v>
      </c>
      <c r="CB96" s="33">
        <f t="shared" si="145"/>
        <v>0</v>
      </c>
      <c r="CC96" s="33">
        <f t="shared" si="146"/>
        <v>0</v>
      </c>
      <c r="CD96" s="48">
        <v>44</v>
      </c>
      <c r="CE96" s="12">
        <f t="shared" si="152"/>
        <v>44</v>
      </c>
    </row>
    <row r="97" spans="1:83" ht="80.25" customHeight="1">
      <c r="A97" s="148" t="s">
        <v>342</v>
      </c>
      <c r="B97" s="155" t="s">
        <v>343</v>
      </c>
      <c r="C97" s="174" t="s">
        <v>344</v>
      </c>
      <c r="D97" s="157">
        <v>2011</v>
      </c>
      <c r="E97" s="154"/>
      <c r="F97" s="154"/>
      <c r="G97" s="154"/>
      <c r="H97" s="165">
        <v>4</v>
      </c>
      <c r="I97" s="159">
        <v>1</v>
      </c>
      <c r="J97" s="56">
        <v>0</v>
      </c>
      <c r="K97" s="33">
        <f t="shared" si="108"/>
        <v>0</v>
      </c>
      <c r="L97" s="10">
        <v>0</v>
      </c>
      <c r="M97" s="10">
        <v>0</v>
      </c>
      <c r="N97" s="33">
        <f t="shared" si="109"/>
        <v>0</v>
      </c>
      <c r="O97" s="33">
        <f t="shared" si="110"/>
        <v>0</v>
      </c>
      <c r="P97" s="56">
        <v>0</v>
      </c>
      <c r="Q97" s="33">
        <f t="shared" si="111"/>
        <v>0</v>
      </c>
      <c r="R97" s="56">
        <v>0</v>
      </c>
      <c r="S97" s="56">
        <v>0</v>
      </c>
      <c r="T97" s="33">
        <f t="shared" si="112"/>
        <v>0</v>
      </c>
      <c r="U97" s="33">
        <f t="shared" si="113"/>
        <v>0</v>
      </c>
      <c r="V97" s="56">
        <v>0</v>
      </c>
      <c r="W97" s="33">
        <f t="shared" si="114"/>
        <v>0</v>
      </c>
      <c r="X97" s="56">
        <v>0</v>
      </c>
      <c r="Y97" s="56">
        <v>0</v>
      </c>
      <c r="Z97" s="33">
        <f t="shared" si="115"/>
        <v>0</v>
      </c>
      <c r="AA97" s="33">
        <f t="shared" si="116"/>
        <v>0</v>
      </c>
      <c r="AB97" s="146">
        <v>4</v>
      </c>
      <c r="AC97" s="117">
        <f t="shared" si="118"/>
        <v>4</v>
      </c>
      <c r="AD97" s="10">
        <v>0</v>
      </c>
      <c r="AE97" s="10">
        <v>0</v>
      </c>
      <c r="AF97" s="117">
        <f t="shared" si="119"/>
        <v>0</v>
      </c>
      <c r="AG97" s="118">
        <f t="shared" si="120"/>
        <v>0</v>
      </c>
      <c r="AH97" s="80">
        <f t="shared" si="121"/>
        <v>4</v>
      </c>
      <c r="AI97" s="127">
        <f t="shared" si="134"/>
        <v>4</v>
      </c>
      <c r="AJ97" s="111">
        <v>0</v>
      </c>
      <c r="AK97" s="111">
        <v>0</v>
      </c>
      <c r="AL97" s="112">
        <f t="shared" ca="1" si="96"/>
        <v>0</v>
      </c>
      <c r="AM97" s="112">
        <f t="shared" si="97"/>
        <v>0</v>
      </c>
      <c r="AN97" s="80">
        <f t="shared" si="122"/>
        <v>4</v>
      </c>
      <c r="AO97" s="12">
        <f t="shared" si="123"/>
        <v>4</v>
      </c>
      <c r="AP97" s="10">
        <v>0</v>
      </c>
      <c r="AQ97" s="10">
        <v>0</v>
      </c>
      <c r="AR97" s="12">
        <f t="shared" si="124"/>
        <v>0</v>
      </c>
      <c r="AS97" s="12">
        <f t="shared" si="125"/>
        <v>0</v>
      </c>
      <c r="AT97" s="13">
        <f t="shared" si="126"/>
        <v>4</v>
      </c>
      <c r="AU97" s="12">
        <f t="shared" si="127"/>
        <v>4</v>
      </c>
      <c r="AV97" s="10">
        <v>0</v>
      </c>
      <c r="AW97" s="10">
        <v>0</v>
      </c>
      <c r="AX97" s="12">
        <f t="shared" si="128"/>
        <v>0</v>
      </c>
      <c r="AY97" s="12">
        <f t="shared" si="129"/>
        <v>0</v>
      </c>
      <c r="AZ97" s="32">
        <f t="shared" si="130"/>
        <v>4</v>
      </c>
      <c r="BA97" s="12">
        <f t="shared" si="131"/>
        <v>4</v>
      </c>
      <c r="BB97" s="10">
        <v>0</v>
      </c>
      <c r="BC97" s="10">
        <v>0</v>
      </c>
      <c r="BD97" s="12">
        <f t="shared" si="132"/>
        <v>0</v>
      </c>
      <c r="BE97" s="12">
        <f t="shared" si="133"/>
        <v>0</v>
      </c>
      <c r="BF97" s="48">
        <v>4</v>
      </c>
      <c r="BG97" s="12">
        <f t="shared" si="148"/>
        <v>4</v>
      </c>
      <c r="BH97" s="10">
        <v>0</v>
      </c>
      <c r="BI97" s="10">
        <v>0</v>
      </c>
      <c r="BJ97" s="33">
        <f t="shared" si="136"/>
        <v>0</v>
      </c>
      <c r="BK97" s="33">
        <f t="shared" si="137"/>
        <v>0</v>
      </c>
      <c r="BL97" s="48">
        <v>4</v>
      </c>
      <c r="BM97" s="12">
        <f t="shared" si="149"/>
        <v>4</v>
      </c>
      <c r="BN97" s="10">
        <v>0</v>
      </c>
      <c r="BO97" s="10">
        <v>0</v>
      </c>
      <c r="BP97" s="33">
        <f t="shared" si="139"/>
        <v>0</v>
      </c>
      <c r="BQ97" s="33">
        <f t="shared" si="140"/>
        <v>0</v>
      </c>
      <c r="BR97" s="48">
        <v>4</v>
      </c>
      <c r="BS97" s="12">
        <f t="shared" si="150"/>
        <v>4</v>
      </c>
      <c r="BT97" s="10">
        <v>0</v>
      </c>
      <c r="BU97" s="10">
        <v>0</v>
      </c>
      <c r="BV97" s="33">
        <f t="shared" si="142"/>
        <v>0</v>
      </c>
      <c r="BW97" s="33">
        <f t="shared" si="143"/>
        <v>0</v>
      </c>
      <c r="BX97" s="48">
        <v>4</v>
      </c>
      <c r="BY97" s="12">
        <f t="shared" si="151"/>
        <v>4</v>
      </c>
      <c r="BZ97" s="10">
        <v>0</v>
      </c>
      <c r="CA97" s="10">
        <v>0</v>
      </c>
      <c r="CB97" s="33">
        <f t="shared" si="145"/>
        <v>0</v>
      </c>
      <c r="CC97" s="33">
        <f t="shared" si="146"/>
        <v>0</v>
      </c>
      <c r="CD97" s="48">
        <v>4</v>
      </c>
      <c r="CE97" s="12">
        <f t="shared" si="152"/>
        <v>4</v>
      </c>
    </row>
    <row r="98" spans="1:83" ht="80.25" customHeight="1">
      <c r="A98" s="148" t="s">
        <v>345</v>
      </c>
      <c r="B98" s="155" t="s">
        <v>346</v>
      </c>
      <c r="C98" s="174" t="s">
        <v>347</v>
      </c>
      <c r="D98" s="157">
        <v>2011</v>
      </c>
      <c r="E98" s="154"/>
      <c r="F98" s="154"/>
      <c r="G98" s="154"/>
      <c r="H98" s="165">
        <v>1</v>
      </c>
      <c r="I98" s="159">
        <v>1</v>
      </c>
      <c r="J98" s="56">
        <v>0</v>
      </c>
      <c r="K98" s="33">
        <f t="shared" si="108"/>
        <v>0</v>
      </c>
      <c r="L98" s="10">
        <v>0</v>
      </c>
      <c r="M98" s="10">
        <v>0</v>
      </c>
      <c r="N98" s="33">
        <f t="shared" si="109"/>
        <v>0</v>
      </c>
      <c r="O98" s="33">
        <f t="shared" si="110"/>
        <v>0</v>
      </c>
      <c r="P98" s="56">
        <v>0</v>
      </c>
      <c r="Q98" s="33">
        <f t="shared" si="111"/>
        <v>0</v>
      </c>
      <c r="R98" s="56">
        <v>0</v>
      </c>
      <c r="S98" s="56">
        <v>0</v>
      </c>
      <c r="T98" s="33">
        <f t="shared" si="112"/>
        <v>0</v>
      </c>
      <c r="U98" s="33">
        <f t="shared" si="113"/>
        <v>0</v>
      </c>
      <c r="V98" s="56">
        <v>0</v>
      </c>
      <c r="W98" s="33">
        <f t="shared" si="114"/>
        <v>0</v>
      </c>
      <c r="X98" s="56">
        <v>0</v>
      </c>
      <c r="Y98" s="56">
        <v>0</v>
      </c>
      <c r="Z98" s="33">
        <f t="shared" si="115"/>
        <v>0</v>
      </c>
      <c r="AA98" s="33">
        <f t="shared" si="116"/>
        <v>0</v>
      </c>
      <c r="AB98" s="146">
        <v>1</v>
      </c>
      <c r="AC98" s="117">
        <f t="shared" si="118"/>
        <v>1</v>
      </c>
      <c r="AD98" s="10">
        <v>0</v>
      </c>
      <c r="AE98" s="10">
        <v>0</v>
      </c>
      <c r="AF98" s="117">
        <f t="shared" si="119"/>
        <v>0</v>
      </c>
      <c r="AG98" s="118">
        <f t="shared" si="120"/>
        <v>0</v>
      </c>
      <c r="AH98" s="80">
        <f t="shared" si="121"/>
        <v>1</v>
      </c>
      <c r="AI98" s="127">
        <f t="shared" si="134"/>
        <v>1</v>
      </c>
      <c r="AJ98" s="111">
        <v>0</v>
      </c>
      <c r="AK98" s="111">
        <v>0</v>
      </c>
      <c r="AL98" s="112">
        <f t="shared" ca="1" si="96"/>
        <v>0</v>
      </c>
      <c r="AM98" s="112">
        <f t="shared" si="97"/>
        <v>0</v>
      </c>
      <c r="AN98" s="80">
        <f t="shared" si="122"/>
        <v>1</v>
      </c>
      <c r="AO98" s="12">
        <f t="shared" si="123"/>
        <v>1</v>
      </c>
      <c r="AP98" s="10">
        <v>0</v>
      </c>
      <c r="AQ98" s="10">
        <v>0</v>
      </c>
      <c r="AR98" s="12">
        <f t="shared" si="124"/>
        <v>0</v>
      </c>
      <c r="AS98" s="12">
        <f t="shared" si="125"/>
        <v>0</v>
      </c>
      <c r="AT98" s="13">
        <f t="shared" si="126"/>
        <v>1</v>
      </c>
      <c r="AU98" s="12">
        <f t="shared" si="127"/>
        <v>1</v>
      </c>
      <c r="AV98" s="10">
        <v>0</v>
      </c>
      <c r="AW98" s="10">
        <v>0</v>
      </c>
      <c r="AX98" s="12">
        <f t="shared" si="128"/>
        <v>0</v>
      </c>
      <c r="AY98" s="12">
        <f t="shared" si="129"/>
        <v>0</v>
      </c>
      <c r="AZ98" s="32">
        <f t="shared" si="130"/>
        <v>1</v>
      </c>
      <c r="BA98" s="12">
        <f t="shared" si="131"/>
        <v>1</v>
      </c>
      <c r="BB98" s="10">
        <v>0</v>
      </c>
      <c r="BC98" s="10">
        <v>0</v>
      </c>
      <c r="BD98" s="12">
        <f t="shared" si="132"/>
        <v>0</v>
      </c>
      <c r="BE98" s="12">
        <f t="shared" si="133"/>
        <v>0</v>
      </c>
      <c r="BF98" s="48">
        <v>1</v>
      </c>
      <c r="BG98" s="12">
        <f t="shared" si="148"/>
        <v>1</v>
      </c>
      <c r="BH98" s="10">
        <v>0</v>
      </c>
      <c r="BI98" s="10">
        <v>0</v>
      </c>
      <c r="BJ98" s="33">
        <f t="shared" si="136"/>
        <v>0</v>
      </c>
      <c r="BK98" s="33">
        <f t="shared" si="137"/>
        <v>0</v>
      </c>
      <c r="BL98" s="48">
        <v>1</v>
      </c>
      <c r="BM98" s="12">
        <f t="shared" si="149"/>
        <v>1</v>
      </c>
      <c r="BN98" s="10">
        <v>0</v>
      </c>
      <c r="BO98" s="10">
        <v>0</v>
      </c>
      <c r="BP98" s="33">
        <f t="shared" si="139"/>
        <v>0</v>
      </c>
      <c r="BQ98" s="33">
        <f t="shared" si="140"/>
        <v>0</v>
      </c>
      <c r="BR98" s="48">
        <v>1</v>
      </c>
      <c r="BS98" s="12">
        <f t="shared" si="150"/>
        <v>1</v>
      </c>
      <c r="BT98" s="10">
        <v>0</v>
      </c>
      <c r="BU98" s="10">
        <v>0</v>
      </c>
      <c r="BV98" s="33">
        <f t="shared" si="142"/>
        <v>0</v>
      </c>
      <c r="BW98" s="33">
        <f t="shared" si="143"/>
        <v>0</v>
      </c>
      <c r="BX98" s="48">
        <v>1</v>
      </c>
      <c r="BY98" s="12">
        <f t="shared" si="151"/>
        <v>1</v>
      </c>
      <c r="BZ98" s="10">
        <v>0</v>
      </c>
      <c r="CA98" s="10">
        <v>0</v>
      </c>
      <c r="CB98" s="33">
        <f t="shared" si="145"/>
        <v>0</v>
      </c>
      <c r="CC98" s="33">
        <f t="shared" si="146"/>
        <v>0</v>
      </c>
      <c r="CD98" s="48">
        <v>1</v>
      </c>
      <c r="CE98" s="12">
        <f t="shared" si="152"/>
        <v>1</v>
      </c>
    </row>
    <row r="99" spans="1:83" ht="80.25" customHeight="1">
      <c r="A99" s="148" t="s">
        <v>348</v>
      </c>
      <c r="B99" s="155" t="s">
        <v>349</v>
      </c>
      <c r="C99" s="174" t="s">
        <v>350</v>
      </c>
      <c r="D99" s="157">
        <v>2012</v>
      </c>
      <c r="E99" s="154"/>
      <c r="F99" s="154"/>
      <c r="G99" s="154"/>
      <c r="H99" s="165">
        <v>10</v>
      </c>
      <c r="I99" s="159">
        <v>1</v>
      </c>
      <c r="J99" s="56">
        <v>0</v>
      </c>
      <c r="K99" s="33">
        <f t="shared" si="108"/>
        <v>0</v>
      </c>
      <c r="L99" s="10">
        <v>0</v>
      </c>
      <c r="M99" s="10">
        <v>0</v>
      </c>
      <c r="N99" s="33">
        <f t="shared" si="109"/>
        <v>0</v>
      </c>
      <c r="O99" s="33">
        <f t="shared" si="110"/>
        <v>0</v>
      </c>
      <c r="P99" s="56">
        <v>0</v>
      </c>
      <c r="Q99" s="33">
        <f t="shared" si="111"/>
        <v>0</v>
      </c>
      <c r="R99" s="56">
        <v>0</v>
      </c>
      <c r="S99" s="56">
        <v>0</v>
      </c>
      <c r="T99" s="33">
        <f t="shared" si="112"/>
        <v>0</v>
      </c>
      <c r="U99" s="33">
        <f t="shared" si="113"/>
        <v>0</v>
      </c>
      <c r="V99" s="56">
        <v>0</v>
      </c>
      <c r="W99" s="33">
        <f t="shared" si="114"/>
        <v>0</v>
      </c>
      <c r="X99" s="56">
        <v>0</v>
      </c>
      <c r="Y99" s="56">
        <v>0</v>
      </c>
      <c r="Z99" s="33">
        <f t="shared" si="115"/>
        <v>0</v>
      </c>
      <c r="AA99" s="33">
        <f t="shared" si="116"/>
        <v>0</v>
      </c>
      <c r="AB99" s="146">
        <v>10</v>
      </c>
      <c r="AC99" s="117">
        <f t="shared" si="118"/>
        <v>10</v>
      </c>
      <c r="AD99" s="10">
        <v>0</v>
      </c>
      <c r="AE99" s="10">
        <v>0</v>
      </c>
      <c r="AF99" s="117">
        <f t="shared" si="119"/>
        <v>0</v>
      </c>
      <c r="AG99" s="118">
        <f t="shared" si="120"/>
        <v>0</v>
      </c>
      <c r="AH99" s="80">
        <f t="shared" si="121"/>
        <v>10</v>
      </c>
      <c r="AI99" s="127">
        <f t="shared" si="134"/>
        <v>10</v>
      </c>
      <c r="AJ99" s="111">
        <v>0</v>
      </c>
      <c r="AK99" s="111">
        <v>0</v>
      </c>
      <c r="AL99" s="112">
        <f t="shared" ca="1" si="96"/>
        <v>0</v>
      </c>
      <c r="AM99" s="112">
        <f t="shared" si="97"/>
        <v>0</v>
      </c>
      <c r="AN99" s="80">
        <f t="shared" si="122"/>
        <v>10</v>
      </c>
      <c r="AO99" s="12">
        <f t="shared" si="123"/>
        <v>10</v>
      </c>
      <c r="AP99" s="10">
        <v>0</v>
      </c>
      <c r="AQ99" s="10">
        <v>0</v>
      </c>
      <c r="AR99" s="12">
        <f t="shared" si="124"/>
        <v>0</v>
      </c>
      <c r="AS99" s="12">
        <f t="shared" si="125"/>
        <v>0</v>
      </c>
      <c r="AT99" s="13">
        <f t="shared" si="126"/>
        <v>10</v>
      </c>
      <c r="AU99" s="12">
        <f t="shared" si="127"/>
        <v>10</v>
      </c>
      <c r="AV99" s="10">
        <v>0</v>
      </c>
      <c r="AW99" s="10">
        <v>0</v>
      </c>
      <c r="AX99" s="12">
        <f t="shared" si="128"/>
        <v>0</v>
      </c>
      <c r="AY99" s="12">
        <f t="shared" si="129"/>
        <v>0</v>
      </c>
      <c r="AZ99" s="32">
        <f t="shared" si="130"/>
        <v>10</v>
      </c>
      <c r="BA99" s="12">
        <f t="shared" si="131"/>
        <v>10</v>
      </c>
      <c r="BB99" s="10">
        <v>0</v>
      </c>
      <c r="BC99" s="10">
        <v>0</v>
      </c>
      <c r="BD99" s="12">
        <f t="shared" si="132"/>
        <v>0</v>
      </c>
      <c r="BE99" s="12">
        <f t="shared" si="133"/>
        <v>0</v>
      </c>
      <c r="BF99" s="48">
        <v>10</v>
      </c>
      <c r="BG99" s="12">
        <f t="shared" si="148"/>
        <v>10</v>
      </c>
      <c r="BH99" s="10">
        <v>0</v>
      </c>
      <c r="BI99" s="10">
        <v>0</v>
      </c>
      <c r="BJ99" s="33">
        <f t="shared" si="136"/>
        <v>0</v>
      </c>
      <c r="BK99" s="33">
        <f t="shared" si="137"/>
        <v>0</v>
      </c>
      <c r="BL99" s="48">
        <v>10</v>
      </c>
      <c r="BM99" s="12">
        <f t="shared" si="149"/>
        <v>10</v>
      </c>
      <c r="BN99" s="10">
        <v>0</v>
      </c>
      <c r="BO99" s="10">
        <v>0</v>
      </c>
      <c r="BP99" s="33">
        <f t="shared" si="139"/>
        <v>0</v>
      </c>
      <c r="BQ99" s="33">
        <f t="shared" si="140"/>
        <v>0</v>
      </c>
      <c r="BR99" s="48">
        <v>10</v>
      </c>
      <c r="BS99" s="12">
        <f t="shared" si="150"/>
        <v>10</v>
      </c>
      <c r="BT99" s="10">
        <v>0</v>
      </c>
      <c r="BU99" s="10">
        <v>0</v>
      </c>
      <c r="BV99" s="33">
        <f t="shared" si="142"/>
        <v>0</v>
      </c>
      <c r="BW99" s="33">
        <f t="shared" si="143"/>
        <v>0</v>
      </c>
      <c r="BX99" s="48">
        <v>10</v>
      </c>
      <c r="BY99" s="12">
        <f t="shared" si="151"/>
        <v>10</v>
      </c>
      <c r="BZ99" s="10">
        <v>0</v>
      </c>
      <c r="CA99" s="10">
        <v>0</v>
      </c>
      <c r="CB99" s="33">
        <f t="shared" si="145"/>
        <v>0</v>
      </c>
      <c r="CC99" s="33">
        <f t="shared" si="146"/>
        <v>0</v>
      </c>
      <c r="CD99" s="48">
        <v>10</v>
      </c>
      <c r="CE99" s="12">
        <f t="shared" si="152"/>
        <v>10</v>
      </c>
    </row>
    <row r="100" spans="1:83" ht="80.25" customHeight="1">
      <c r="A100" s="148" t="s">
        <v>351</v>
      </c>
      <c r="B100" s="155" t="s">
        <v>352</v>
      </c>
      <c r="C100" s="174" t="s">
        <v>353</v>
      </c>
      <c r="D100" s="157">
        <v>2012</v>
      </c>
      <c r="E100" s="154"/>
      <c r="F100" s="154"/>
      <c r="G100" s="154"/>
      <c r="H100" s="165">
        <v>11</v>
      </c>
      <c r="I100" s="159">
        <v>1</v>
      </c>
      <c r="J100" s="56">
        <v>0</v>
      </c>
      <c r="K100" s="33">
        <f t="shared" si="108"/>
        <v>0</v>
      </c>
      <c r="L100" s="10">
        <v>0</v>
      </c>
      <c r="M100" s="10">
        <v>0</v>
      </c>
      <c r="N100" s="33">
        <f t="shared" si="109"/>
        <v>0</v>
      </c>
      <c r="O100" s="33">
        <f t="shared" si="110"/>
        <v>0</v>
      </c>
      <c r="P100" s="56">
        <v>0</v>
      </c>
      <c r="Q100" s="33">
        <f t="shared" si="111"/>
        <v>0</v>
      </c>
      <c r="R100" s="56">
        <v>0</v>
      </c>
      <c r="S100" s="56">
        <v>0</v>
      </c>
      <c r="T100" s="33">
        <f t="shared" si="112"/>
        <v>0</v>
      </c>
      <c r="U100" s="33">
        <f t="shared" si="113"/>
        <v>0</v>
      </c>
      <c r="V100" s="56">
        <v>0</v>
      </c>
      <c r="W100" s="33">
        <f t="shared" si="114"/>
        <v>0</v>
      </c>
      <c r="X100" s="56">
        <v>0</v>
      </c>
      <c r="Y100" s="56">
        <v>0</v>
      </c>
      <c r="Z100" s="33">
        <f t="shared" si="115"/>
        <v>0</v>
      </c>
      <c r="AA100" s="33">
        <f t="shared" si="116"/>
        <v>0</v>
      </c>
      <c r="AB100" s="146">
        <v>11</v>
      </c>
      <c r="AC100" s="117">
        <f t="shared" si="118"/>
        <v>11</v>
      </c>
      <c r="AD100" s="10">
        <v>0</v>
      </c>
      <c r="AE100" s="10">
        <v>0</v>
      </c>
      <c r="AF100" s="117">
        <f t="shared" si="119"/>
        <v>0</v>
      </c>
      <c r="AG100" s="118">
        <f t="shared" si="120"/>
        <v>0</v>
      </c>
      <c r="AH100" s="80">
        <f t="shared" si="121"/>
        <v>11</v>
      </c>
      <c r="AI100" s="127">
        <f t="shared" si="134"/>
        <v>11</v>
      </c>
      <c r="AJ100" s="111">
        <v>0</v>
      </c>
      <c r="AK100" s="111">
        <v>0</v>
      </c>
      <c r="AL100" s="112">
        <f t="shared" ca="1" si="96"/>
        <v>0</v>
      </c>
      <c r="AM100" s="112">
        <f t="shared" si="97"/>
        <v>0</v>
      </c>
      <c r="AN100" s="80">
        <f t="shared" si="122"/>
        <v>11</v>
      </c>
      <c r="AO100" s="12">
        <f t="shared" si="123"/>
        <v>11</v>
      </c>
      <c r="AP100" s="10">
        <v>0</v>
      </c>
      <c r="AQ100" s="10">
        <v>0</v>
      </c>
      <c r="AR100" s="12">
        <f t="shared" si="124"/>
        <v>0</v>
      </c>
      <c r="AS100" s="12">
        <f t="shared" si="125"/>
        <v>0</v>
      </c>
      <c r="AT100" s="13">
        <f t="shared" si="126"/>
        <v>11</v>
      </c>
      <c r="AU100" s="12">
        <f t="shared" si="127"/>
        <v>11</v>
      </c>
      <c r="AV100" s="10">
        <v>0</v>
      </c>
      <c r="AW100" s="10">
        <v>0</v>
      </c>
      <c r="AX100" s="12">
        <f t="shared" si="128"/>
        <v>0</v>
      </c>
      <c r="AY100" s="12">
        <f t="shared" si="129"/>
        <v>0</v>
      </c>
      <c r="AZ100" s="32">
        <f t="shared" si="130"/>
        <v>11</v>
      </c>
      <c r="BA100" s="12">
        <f t="shared" si="131"/>
        <v>11</v>
      </c>
      <c r="BB100" s="10">
        <v>0</v>
      </c>
      <c r="BC100" s="10">
        <v>0</v>
      </c>
      <c r="BD100" s="12">
        <f t="shared" si="132"/>
        <v>0</v>
      </c>
      <c r="BE100" s="12">
        <f t="shared" si="133"/>
        <v>0</v>
      </c>
      <c r="BF100" s="48">
        <v>11</v>
      </c>
      <c r="BG100" s="12">
        <f t="shared" si="148"/>
        <v>11</v>
      </c>
      <c r="BH100" s="10">
        <v>0</v>
      </c>
      <c r="BI100" s="10">
        <v>0</v>
      </c>
      <c r="BJ100" s="33">
        <f t="shared" si="136"/>
        <v>0</v>
      </c>
      <c r="BK100" s="33">
        <f t="shared" si="137"/>
        <v>0</v>
      </c>
      <c r="BL100" s="48">
        <v>11</v>
      </c>
      <c r="BM100" s="12">
        <f t="shared" si="149"/>
        <v>11</v>
      </c>
      <c r="BN100" s="10">
        <v>0</v>
      </c>
      <c r="BO100" s="10">
        <v>0</v>
      </c>
      <c r="BP100" s="33">
        <f t="shared" si="139"/>
        <v>0</v>
      </c>
      <c r="BQ100" s="33">
        <f t="shared" si="140"/>
        <v>0</v>
      </c>
      <c r="BR100" s="48">
        <v>11</v>
      </c>
      <c r="BS100" s="12">
        <f t="shared" si="150"/>
        <v>11</v>
      </c>
      <c r="BT100" s="10">
        <v>0</v>
      </c>
      <c r="BU100" s="10">
        <v>0</v>
      </c>
      <c r="BV100" s="33">
        <f t="shared" si="142"/>
        <v>0</v>
      </c>
      <c r="BW100" s="33">
        <f t="shared" si="143"/>
        <v>0</v>
      </c>
      <c r="BX100" s="48">
        <v>11</v>
      </c>
      <c r="BY100" s="12">
        <f t="shared" si="151"/>
        <v>11</v>
      </c>
      <c r="BZ100" s="10">
        <v>0</v>
      </c>
      <c r="CA100" s="10">
        <v>0</v>
      </c>
      <c r="CB100" s="33">
        <f t="shared" si="145"/>
        <v>0</v>
      </c>
      <c r="CC100" s="33">
        <f t="shared" si="146"/>
        <v>0</v>
      </c>
      <c r="CD100" s="48">
        <v>11</v>
      </c>
      <c r="CE100" s="12">
        <f t="shared" si="152"/>
        <v>11</v>
      </c>
    </row>
    <row r="101" spans="1:83" ht="80.25" customHeight="1">
      <c r="A101" s="148" t="s">
        <v>354</v>
      </c>
      <c r="B101" s="155" t="s">
        <v>355</v>
      </c>
      <c r="C101" s="174" t="s">
        <v>356</v>
      </c>
      <c r="D101" s="157">
        <v>2013</v>
      </c>
      <c r="E101" s="154"/>
      <c r="F101" s="154"/>
      <c r="G101" s="154"/>
      <c r="H101" s="165">
        <v>10</v>
      </c>
      <c r="I101" s="159">
        <v>1</v>
      </c>
      <c r="J101" s="56">
        <v>0</v>
      </c>
      <c r="K101" s="33">
        <f t="shared" si="108"/>
        <v>0</v>
      </c>
      <c r="L101" s="10">
        <v>0</v>
      </c>
      <c r="M101" s="10">
        <v>0</v>
      </c>
      <c r="N101" s="33">
        <f t="shared" si="109"/>
        <v>0</v>
      </c>
      <c r="O101" s="33">
        <f t="shared" si="110"/>
        <v>0</v>
      </c>
      <c r="P101" s="56">
        <v>0</v>
      </c>
      <c r="Q101" s="33">
        <f t="shared" si="111"/>
        <v>0</v>
      </c>
      <c r="R101" s="56">
        <v>0</v>
      </c>
      <c r="S101" s="56">
        <v>0</v>
      </c>
      <c r="T101" s="33">
        <f t="shared" si="112"/>
        <v>0</v>
      </c>
      <c r="U101" s="33">
        <f t="shared" si="113"/>
        <v>0</v>
      </c>
      <c r="V101" s="56">
        <v>0</v>
      </c>
      <c r="W101" s="33">
        <f t="shared" si="114"/>
        <v>0</v>
      </c>
      <c r="X101" s="56">
        <v>0</v>
      </c>
      <c r="Y101" s="56">
        <v>0</v>
      </c>
      <c r="Z101" s="33">
        <f t="shared" si="115"/>
        <v>0</v>
      </c>
      <c r="AA101" s="33">
        <f t="shared" si="116"/>
        <v>0</v>
      </c>
      <c r="AB101" s="146">
        <v>10</v>
      </c>
      <c r="AC101" s="117">
        <f t="shared" si="118"/>
        <v>10</v>
      </c>
      <c r="AD101" s="10">
        <v>0</v>
      </c>
      <c r="AE101" s="10">
        <v>0</v>
      </c>
      <c r="AF101" s="117">
        <f t="shared" si="119"/>
        <v>0</v>
      </c>
      <c r="AG101" s="118">
        <f t="shared" si="120"/>
        <v>0</v>
      </c>
      <c r="AH101" s="80">
        <f t="shared" si="121"/>
        <v>10</v>
      </c>
      <c r="AI101" s="127">
        <f t="shared" si="134"/>
        <v>10</v>
      </c>
      <c r="AJ101" s="111">
        <v>0</v>
      </c>
      <c r="AK101" s="111">
        <v>0</v>
      </c>
      <c r="AL101" s="112">
        <f t="shared" ca="1" si="96"/>
        <v>0</v>
      </c>
      <c r="AM101" s="112">
        <f t="shared" si="97"/>
        <v>0</v>
      </c>
      <c r="AN101" s="80">
        <f t="shared" si="122"/>
        <v>10</v>
      </c>
      <c r="AO101" s="12">
        <f t="shared" si="123"/>
        <v>10</v>
      </c>
      <c r="AP101" s="10">
        <v>0</v>
      </c>
      <c r="AQ101" s="10">
        <v>0</v>
      </c>
      <c r="AR101" s="12">
        <f t="shared" si="124"/>
        <v>0</v>
      </c>
      <c r="AS101" s="12">
        <f t="shared" si="125"/>
        <v>0</v>
      </c>
      <c r="AT101" s="13">
        <f t="shared" si="126"/>
        <v>10</v>
      </c>
      <c r="AU101" s="12">
        <f t="shared" si="127"/>
        <v>10</v>
      </c>
      <c r="AV101" s="10">
        <v>0</v>
      </c>
      <c r="AW101" s="10">
        <v>0</v>
      </c>
      <c r="AX101" s="12">
        <f t="shared" si="128"/>
        <v>0</v>
      </c>
      <c r="AY101" s="12">
        <f t="shared" si="129"/>
        <v>0</v>
      </c>
      <c r="AZ101" s="32">
        <f t="shared" si="130"/>
        <v>10</v>
      </c>
      <c r="BA101" s="12">
        <f t="shared" si="131"/>
        <v>10</v>
      </c>
      <c r="BB101" s="10">
        <v>0</v>
      </c>
      <c r="BC101" s="10">
        <v>0</v>
      </c>
      <c r="BD101" s="12">
        <f t="shared" si="132"/>
        <v>0</v>
      </c>
      <c r="BE101" s="12">
        <f t="shared" si="133"/>
        <v>0</v>
      </c>
      <c r="BF101" s="48">
        <v>10</v>
      </c>
      <c r="BG101" s="12">
        <f t="shared" si="148"/>
        <v>10</v>
      </c>
      <c r="BH101" s="10">
        <v>0</v>
      </c>
      <c r="BI101" s="10">
        <v>0</v>
      </c>
      <c r="BJ101" s="33">
        <f t="shared" si="136"/>
        <v>0</v>
      </c>
      <c r="BK101" s="33">
        <f t="shared" si="137"/>
        <v>0</v>
      </c>
      <c r="BL101" s="48">
        <v>10</v>
      </c>
      <c r="BM101" s="12">
        <f t="shared" si="149"/>
        <v>10</v>
      </c>
      <c r="BN101" s="10">
        <v>0</v>
      </c>
      <c r="BO101" s="10">
        <v>0</v>
      </c>
      <c r="BP101" s="33">
        <f t="shared" si="139"/>
        <v>0</v>
      </c>
      <c r="BQ101" s="33">
        <f t="shared" si="140"/>
        <v>0</v>
      </c>
      <c r="BR101" s="48">
        <v>10</v>
      </c>
      <c r="BS101" s="12">
        <f t="shared" si="150"/>
        <v>10</v>
      </c>
      <c r="BT101" s="10">
        <v>0</v>
      </c>
      <c r="BU101" s="10">
        <v>0</v>
      </c>
      <c r="BV101" s="33">
        <f t="shared" si="142"/>
        <v>0</v>
      </c>
      <c r="BW101" s="33">
        <f t="shared" si="143"/>
        <v>0</v>
      </c>
      <c r="BX101" s="48">
        <v>10</v>
      </c>
      <c r="BY101" s="12">
        <f t="shared" si="151"/>
        <v>10</v>
      </c>
      <c r="BZ101" s="10">
        <v>0</v>
      </c>
      <c r="CA101" s="10">
        <v>0</v>
      </c>
      <c r="CB101" s="33">
        <f t="shared" si="145"/>
        <v>0</v>
      </c>
      <c r="CC101" s="33">
        <f t="shared" si="146"/>
        <v>0</v>
      </c>
      <c r="CD101" s="48">
        <v>10</v>
      </c>
      <c r="CE101" s="12">
        <f t="shared" si="152"/>
        <v>10</v>
      </c>
    </row>
    <row r="102" spans="1:83" ht="80.25" customHeight="1">
      <c r="A102" s="148" t="s">
        <v>357</v>
      </c>
      <c r="B102" s="155" t="s">
        <v>358</v>
      </c>
      <c r="C102" s="174" t="s">
        <v>359</v>
      </c>
      <c r="D102" s="157">
        <v>2013</v>
      </c>
      <c r="E102" s="154"/>
      <c r="F102" s="154"/>
      <c r="G102" s="154"/>
      <c r="H102" s="165">
        <v>10</v>
      </c>
      <c r="I102" s="159">
        <v>1</v>
      </c>
      <c r="J102" s="56">
        <v>0</v>
      </c>
      <c r="K102" s="33">
        <f t="shared" si="108"/>
        <v>0</v>
      </c>
      <c r="L102" s="10">
        <v>0</v>
      </c>
      <c r="M102" s="10">
        <v>0</v>
      </c>
      <c r="N102" s="33">
        <f t="shared" si="109"/>
        <v>0</v>
      </c>
      <c r="O102" s="33">
        <f t="shared" si="110"/>
        <v>0</v>
      </c>
      <c r="P102" s="56">
        <v>0</v>
      </c>
      <c r="Q102" s="33">
        <f t="shared" si="111"/>
        <v>0</v>
      </c>
      <c r="R102" s="56">
        <v>0</v>
      </c>
      <c r="S102" s="56">
        <v>0</v>
      </c>
      <c r="T102" s="33">
        <f t="shared" si="112"/>
        <v>0</v>
      </c>
      <c r="U102" s="33">
        <f t="shared" si="113"/>
        <v>0</v>
      </c>
      <c r="V102" s="56">
        <v>0</v>
      </c>
      <c r="W102" s="33">
        <f t="shared" si="114"/>
        <v>0</v>
      </c>
      <c r="X102" s="56">
        <v>0</v>
      </c>
      <c r="Y102" s="56">
        <v>0</v>
      </c>
      <c r="Z102" s="33">
        <f t="shared" si="115"/>
        <v>0</v>
      </c>
      <c r="AA102" s="33">
        <f t="shared" si="116"/>
        <v>0</v>
      </c>
      <c r="AB102" s="146">
        <v>10</v>
      </c>
      <c r="AC102" s="117">
        <f t="shared" si="118"/>
        <v>10</v>
      </c>
      <c r="AD102" s="10">
        <v>0</v>
      </c>
      <c r="AE102" s="10">
        <v>0</v>
      </c>
      <c r="AF102" s="117">
        <f t="shared" si="119"/>
        <v>0</v>
      </c>
      <c r="AG102" s="118">
        <f t="shared" si="120"/>
        <v>0</v>
      </c>
      <c r="AH102" s="80">
        <f t="shared" si="121"/>
        <v>10</v>
      </c>
      <c r="AI102" s="127">
        <f t="shared" si="134"/>
        <v>10</v>
      </c>
      <c r="AJ102" s="111">
        <v>0</v>
      </c>
      <c r="AK102" s="111">
        <v>0</v>
      </c>
      <c r="AL102" s="112">
        <f t="shared" ca="1" si="96"/>
        <v>0</v>
      </c>
      <c r="AM102" s="112">
        <f t="shared" si="97"/>
        <v>0</v>
      </c>
      <c r="AN102" s="80">
        <f t="shared" si="122"/>
        <v>10</v>
      </c>
      <c r="AO102" s="12">
        <f t="shared" si="123"/>
        <v>10</v>
      </c>
      <c r="AP102" s="10">
        <v>0</v>
      </c>
      <c r="AQ102" s="10">
        <v>0</v>
      </c>
      <c r="AR102" s="12">
        <f t="shared" si="124"/>
        <v>0</v>
      </c>
      <c r="AS102" s="12">
        <f t="shared" si="125"/>
        <v>0</v>
      </c>
      <c r="AT102" s="13">
        <f t="shared" si="126"/>
        <v>10</v>
      </c>
      <c r="AU102" s="12">
        <f t="shared" si="127"/>
        <v>10</v>
      </c>
      <c r="AV102" s="10">
        <v>0</v>
      </c>
      <c r="AW102" s="10">
        <v>0</v>
      </c>
      <c r="AX102" s="12">
        <f t="shared" si="128"/>
        <v>0</v>
      </c>
      <c r="AY102" s="12">
        <f t="shared" si="129"/>
        <v>0</v>
      </c>
      <c r="AZ102" s="32">
        <f t="shared" si="130"/>
        <v>10</v>
      </c>
      <c r="BA102" s="12">
        <f t="shared" si="131"/>
        <v>10</v>
      </c>
      <c r="BB102" s="10">
        <v>0</v>
      </c>
      <c r="BC102" s="10">
        <v>0</v>
      </c>
      <c r="BD102" s="12">
        <f t="shared" si="132"/>
        <v>0</v>
      </c>
      <c r="BE102" s="12">
        <f t="shared" si="133"/>
        <v>0</v>
      </c>
      <c r="BF102" s="48">
        <v>10</v>
      </c>
      <c r="BG102" s="12">
        <f t="shared" si="148"/>
        <v>10</v>
      </c>
      <c r="BH102" s="10">
        <v>0</v>
      </c>
      <c r="BI102" s="10">
        <v>0</v>
      </c>
      <c r="BJ102" s="33">
        <f t="shared" si="136"/>
        <v>0</v>
      </c>
      <c r="BK102" s="33">
        <f t="shared" si="137"/>
        <v>0</v>
      </c>
      <c r="BL102" s="48">
        <v>10</v>
      </c>
      <c r="BM102" s="12">
        <f t="shared" si="149"/>
        <v>10</v>
      </c>
      <c r="BN102" s="10">
        <v>0</v>
      </c>
      <c r="BO102" s="10">
        <v>0</v>
      </c>
      <c r="BP102" s="33">
        <f t="shared" si="139"/>
        <v>0</v>
      </c>
      <c r="BQ102" s="33">
        <f t="shared" si="140"/>
        <v>0</v>
      </c>
      <c r="BR102" s="48">
        <v>10</v>
      </c>
      <c r="BS102" s="12">
        <f t="shared" si="150"/>
        <v>10</v>
      </c>
      <c r="BT102" s="10">
        <v>0</v>
      </c>
      <c r="BU102" s="10">
        <v>0</v>
      </c>
      <c r="BV102" s="33">
        <f t="shared" si="142"/>
        <v>0</v>
      </c>
      <c r="BW102" s="33">
        <f t="shared" si="143"/>
        <v>0</v>
      </c>
      <c r="BX102" s="48">
        <v>10</v>
      </c>
      <c r="BY102" s="12">
        <f t="shared" si="151"/>
        <v>10</v>
      </c>
      <c r="BZ102" s="10">
        <v>0</v>
      </c>
      <c r="CA102" s="10">
        <v>0</v>
      </c>
      <c r="CB102" s="33">
        <f t="shared" si="145"/>
        <v>0</v>
      </c>
      <c r="CC102" s="33">
        <f t="shared" si="146"/>
        <v>0</v>
      </c>
      <c r="CD102" s="48">
        <v>10</v>
      </c>
      <c r="CE102" s="12">
        <f t="shared" si="152"/>
        <v>10</v>
      </c>
    </row>
    <row r="103" spans="1:83" ht="80.25" customHeight="1">
      <c r="A103" s="148" t="s">
        <v>196</v>
      </c>
      <c r="B103" s="155" t="s">
        <v>360</v>
      </c>
      <c r="C103" s="174" t="s">
        <v>361</v>
      </c>
      <c r="D103" s="157">
        <v>2014</v>
      </c>
      <c r="E103" s="154"/>
      <c r="F103" s="154"/>
      <c r="G103" s="154"/>
      <c r="H103" s="165">
        <v>10</v>
      </c>
      <c r="I103" s="159">
        <v>1</v>
      </c>
      <c r="J103" s="56">
        <v>0</v>
      </c>
      <c r="K103" s="33">
        <f t="shared" si="108"/>
        <v>0</v>
      </c>
      <c r="L103" s="10">
        <v>0</v>
      </c>
      <c r="M103" s="10">
        <v>0</v>
      </c>
      <c r="N103" s="33">
        <f t="shared" si="109"/>
        <v>0</v>
      </c>
      <c r="O103" s="33">
        <f t="shared" si="110"/>
        <v>0</v>
      </c>
      <c r="P103" s="56">
        <v>0</v>
      </c>
      <c r="Q103" s="33">
        <f t="shared" si="111"/>
        <v>0</v>
      </c>
      <c r="R103" s="56">
        <v>0</v>
      </c>
      <c r="S103" s="56">
        <v>0</v>
      </c>
      <c r="T103" s="33">
        <f t="shared" si="112"/>
        <v>0</v>
      </c>
      <c r="U103" s="33">
        <f t="shared" si="113"/>
        <v>0</v>
      </c>
      <c r="V103" s="56">
        <v>0</v>
      </c>
      <c r="W103" s="33">
        <f t="shared" si="114"/>
        <v>0</v>
      </c>
      <c r="X103" s="56">
        <v>0</v>
      </c>
      <c r="Y103" s="56">
        <v>0</v>
      </c>
      <c r="Z103" s="33">
        <f t="shared" si="115"/>
        <v>0</v>
      </c>
      <c r="AA103" s="33">
        <f t="shared" si="116"/>
        <v>0</v>
      </c>
      <c r="AB103" s="146">
        <v>10</v>
      </c>
      <c r="AC103" s="117">
        <f t="shared" si="118"/>
        <v>10</v>
      </c>
      <c r="AD103" s="10">
        <v>0</v>
      </c>
      <c r="AE103" s="10">
        <v>0</v>
      </c>
      <c r="AF103" s="117">
        <f t="shared" si="119"/>
        <v>0</v>
      </c>
      <c r="AG103" s="118">
        <f t="shared" si="120"/>
        <v>0</v>
      </c>
      <c r="AH103" s="80">
        <f t="shared" si="121"/>
        <v>10</v>
      </c>
      <c r="AI103" s="127">
        <f t="shared" si="134"/>
        <v>10</v>
      </c>
      <c r="AJ103" s="111">
        <v>0</v>
      </c>
      <c r="AK103" s="111">
        <v>0</v>
      </c>
      <c r="AL103" s="112">
        <f t="shared" ca="1" si="96"/>
        <v>0</v>
      </c>
      <c r="AM103" s="112">
        <f t="shared" si="97"/>
        <v>0</v>
      </c>
      <c r="AN103" s="80">
        <f t="shared" si="122"/>
        <v>10</v>
      </c>
      <c r="AO103" s="12">
        <f t="shared" si="123"/>
        <v>10</v>
      </c>
      <c r="AP103" s="10">
        <v>0</v>
      </c>
      <c r="AQ103" s="10">
        <v>0</v>
      </c>
      <c r="AR103" s="12">
        <f t="shared" si="124"/>
        <v>0</v>
      </c>
      <c r="AS103" s="12">
        <f t="shared" si="125"/>
        <v>0</v>
      </c>
      <c r="AT103" s="13">
        <f t="shared" si="126"/>
        <v>10</v>
      </c>
      <c r="AU103" s="12">
        <f t="shared" si="127"/>
        <v>10</v>
      </c>
      <c r="AV103" s="10">
        <v>0</v>
      </c>
      <c r="AW103" s="10">
        <v>0</v>
      </c>
      <c r="AX103" s="12">
        <f t="shared" si="128"/>
        <v>0</v>
      </c>
      <c r="AY103" s="12">
        <f t="shared" si="129"/>
        <v>0</v>
      </c>
      <c r="AZ103" s="32">
        <f t="shared" si="130"/>
        <v>10</v>
      </c>
      <c r="BA103" s="12">
        <f t="shared" si="131"/>
        <v>10</v>
      </c>
      <c r="BB103" s="10">
        <v>0</v>
      </c>
      <c r="BC103" s="10">
        <v>0</v>
      </c>
      <c r="BD103" s="12">
        <f t="shared" si="132"/>
        <v>0</v>
      </c>
      <c r="BE103" s="12">
        <f t="shared" si="133"/>
        <v>0</v>
      </c>
      <c r="BF103" s="48">
        <v>10</v>
      </c>
      <c r="BG103" s="12">
        <f t="shared" si="148"/>
        <v>10</v>
      </c>
      <c r="BH103" s="10">
        <v>0</v>
      </c>
      <c r="BI103" s="10">
        <v>0</v>
      </c>
      <c r="BJ103" s="33">
        <f t="shared" si="136"/>
        <v>0</v>
      </c>
      <c r="BK103" s="33">
        <f t="shared" si="137"/>
        <v>0</v>
      </c>
      <c r="BL103" s="48">
        <v>10</v>
      </c>
      <c r="BM103" s="12">
        <f t="shared" si="149"/>
        <v>10</v>
      </c>
      <c r="BN103" s="10">
        <v>0</v>
      </c>
      <c r="BO103" s="10">
        <v>0</v>
      </c>
      <c r="BP103" s="33">
        <f t="shared" si="139"/>
        <v>0</v>
      </c>
      <c r="BQ103" s="33">
        <f t="shared" si="140"/>
        <v>0</v>
      </c>
      <c r="BR103" s="48">
        <v>10</v>
      </c>
      <c r="BS103" s="12">
        <f t="shared" si="150"/>
        <v>10</v>
      </c>
      <c r="BT103" s="10">
        <v>0</v>
      </c>
      <c r="BU103" s="10">
        <v>0</v>
      </c>
      <c r="BV103" s="33">
        <f t="shared" si="142"/>
        <v>0</v>
      </c>
      <c r="BW103" s="33">
        <f t="shared" si="143"/>
        <v>0</v>
      </c>
      <c r="BX103" s="48">
        <v>10</v>
      </c>
      <c r="BY103" s="12">
        <f t="shared" si="151"/>
        <v>10</v>
      </c>
      <c r="BZ103" s="10">
        <v>0</v>
      </c>
      <c r="CA103" s="10">
        <v>0</v>
      </c>
      <c r="CB103" s="33">
        <f t="shared" si="145"/>
        <v>0</v>
      </c>
      <c r="CC103" s="33">
        <f t="shared" si="146"/>
        <v>0</v>
      </c>
      <c r="CD103" s="48">
        <v>10</v>
      </c>
      <c r="CE103" s="12">
        <f t="shared" si="152"/>
        <v>10</v>
      </c>
    </row>
    <row r="104" spans="1:83" ht="80.25" customHeight="1">
      <c r="A104" s="148" t="s">
        <v>362</v>
      </c>
      <c r="B104" s="155" t="s">
        <v>363</v>
      </c>
      <c r="C104" s="174" t="s">
        <v>364</v>
      </c>
      <c r="D104" s="157">
        <v>2010</v>
      </c>
      <c r="E104" s="154"/>
      <c r="F104" s="154"/>
      <c r="G104" s="154"/>
      <c r="H104" s="165">
        <v>5</v>
      </c>
      <c r="I104" s="159">
        <v>1</v>
      </c>
      <c r="J104" s="56">
        <v>0</v>
      </c>
      <c r="K104" s="33">
        <f t="shared" si="108"/>
        <v>0</v>
      </c>
      <c r="L104" s="10">
        <v>0</v>
      </c>
      <c r="M104" s="10">
        <v>0</v>
      </c>
      <c r="N104" s="33">
        <f t="shared" si="109"/>
        <v>0</v>
      </c>
      <c r="O104" s="33">
        <f t="shared" si="110"/>
        <v>0</v>
      </c>
      <c r="P104" s="56">
        <v>0</v>
      </c>
      <c r="Q104" s="33">
        <f t="shared" si="111"/>
        <v>0</v>
      </c>
      <c r="R104" s="56">
        <v>0</v>
      </c>
      <c r="S104" s="56">
        <v>0</v>
      </c>
      <c r="T104" s="33">
        <f t="shared" si="112"/>
        <v>0</v>
      </c>
      <c r="U104" s="33">
        <f t="shared" si="113"/>
        <v>0</v>
      </c>
      <c r="V104" s="56">
        <v>0</v>
      </c>
      <c r="W104" s="33">
        <f t="shared" si="114"/>
        <v>0</v>
      </c>
      <c r="X104" s="56">
        <v>0</v>
      </c>
      <c r="Y104" s="56">
        <v>0</v>
      </c>
      <c r="Z104" s="33">
        <f t="shared" si="115"/>
        <v>0</v>
      </c>
      <c r="AA104" s="33">
        <f t="shared" si="116"/>
        <v>0</v>
      </c>
      <c r="AB104" s="146">
        <v>5</v>
      </c>
      <c r="AC104" s="117">
        <f t="shared" si="118"/>
        <v>5</v>
      </c>
      <c r="AD104" s="10">
        <v>0</v>
      </c>
      <c r="AE104" s="10">
        <v>0</v>
      </c>
      <c r="AF104" s="117">
        <f t="shared" si="119"/>
        <v>0</v>
      </c>
      <c r="AG104" s="118">
        <f t="shared" si="120"/>
        <v>0</v>
      </c>
      <c r="AH104" s="80">
        <f t="shared" si="121"/>
        <v>5</v>
      </c>
      <c r="AI104" s="127">
        <f t="shared" si="134"/>
        <v>5</v>
      </c>
      <c r="AJ104" s="111">
        <v>0</v>
      </c>
      <c r="AK104" s="111">
        <v>0</v>
      </c>
      <c r="AL104" s="112">
        <f t="shared" ca="1" si="96"/>
        <v>0</v>
      </c>
      <c r="AM104" s="112">
        <f t="shared" si="97"/>
        <v>0</v>
      </c>
      <c r="AN104" s="80">
        <f t="shared" si="122"/>
        <v>5</v>
      </c>
      <c r="AO104" s="12">
        <f t="shared" si="123"/>
        <v>5</v>
      </c>
      <c r="AP104" s="10">
        <v>0</v>
      </c>
      <c r="AQ104" s="10">
        <v>0</v>
      </c>
      <c r="AR104" s="12">
        <f t="shared" si="124"/>
        <v>0</v>
      </c>
      <c r="AS104" s="12">
        <f t="shared" si="125"/>
        <v>0</v>
      </c>
      <c r="AT104" s="13">
        <f t="shared" si="126"/>
        <v>5</v>
      </c>
      <c r="AU104" s="12">
        <f t="shared" si="127"/>
        <v>5</v>
      </c>
      <c r="AV104" s="10">
        <v>0</v>
      </c>
      <c r="AW104" s="10">
        <v>0</v>
      </c>
      <c r="AX104" s="12">
        <f t="shared" si="128"/>
        <v>0</v>
      </c>
      <c r="AY104" s="12">
        <f t="shared" si="129"/>
        <v>0</v>
      </c>
      <c r="AZ104" s="32">
        <f t="shared" si="130"/>
        <v>5</v>
      </c>
      <c r="BA104" s="12">
        <f t="shared" si="131"/>
        <v>5</v>
      </c>
      <c r="BB104" s="10">
        <v>0</v>
      </c>
      <c r="BC104" s="10">
        <v>0</v>
      </c>
      <c r="BD104" s="12">
        <f t="shared" si="132"/>
        <v>0</v>
      </c>
      <c r="BE104" s="12">
        <f t="shared" si="133"/>
        <v>0</v>
      </c>
      <c r="BF104" s="48">
        <v>5</v>
      </c>
      <c r="BG104" s="12">
        <f t="shared" si="148"/>
        <v>5</v>
      </c>
      <c r="BH104" s="10">
        <v>0</v>
      </c>
      <c r="BI104" s="10">
        <v>0</v>
      </c>
      <c r="BJ104" s="33">
        <f t="shared" si="136"/>
        <v>0</v>
      </c>
      <c r="BK104" s="33">
        <f t="shared" si="137"/>
        <v>0</v>
      </c>
      <c r="BL104" s="48">
        <v>5</v>
      </c>
      <c r="BM104" s="12">
        <f t="shared" si="149"/>
        <v>5</v>
      </c>
      <c r="BN104" s="10">
        <v>0</v>
      </c>
      <c r="BO104" s="10">
        <v>0</v>
      </c>
      <c r="BP104" s="33">
        <f t="shared" si="139"/>
        <v>0</v>
      </c>
      <c r="BQ104" s="33">
        <f t="shared" si="140"/>
        <v>0</v>
      </c>
      <c r="BR104" s="48">
        <v>5</v>
      </c>
      <c r="BS104" s="12">
        <f t="shared" si="150"/>
        <v>5</v>
      </c>
      <c r="BT104" s="10">
        <v>0</v>
      </c>
      <c r="BU104" s="10">
        <v>0</v>
      </c>
      <c r="BV104" s="33">
        <f t="shared" si="142"/>
        <v>0</v>
      </c>
      <c r="BW104" s="33">
        <f t="shared" si="143"/>
        <v>0</v>
      </c>
      <c r="BX104" s="48">
        <v>5</v>
      </c>
      <c r="BY104" s="12">
        <f t="shared" si="151"/>
        <v>5</v>
      </c>
      <c r="BZ104" s="10">
        <v>0</v>
      </c>
      <c r="CA104" s="10">
        <v>0</v>
      </c>
      <c r="CB104" s="33">
        <f t="shared" si="145"/>
        <v>0</v>
      </c>
      <c r="CC104" s="33">
        <f t="shared" si="146"/>
        <v>0</v>
      </c>
      <c r="CD104" s="48">
        <v>5</v>
      </c>
      <c r="CE104" s="12">
        <f t="shared" si="152"/>
        <v>5</v>
      </c>
    </row>
    <row r="105" spans="1:83" ht="80.25" customHeight="1">
      <c r="A105" s="148" t="s">
        <v>164</v>
      </c>
      <c r="B105" s="155" t="s">
        <v>365</v>
      </c>
      <c r="C105" s="174" t="s">
        <v>366</v>
      </c>
      <c r="D105" s="157">
        <v>2010</v>
      </c>
      <c r="E105" s="154"/>
      <c r="F105" s="154"/>
      <c r="G105" s="154"/>
      <c r="H105" s="165">
        <v>9</v>
      </c>
      <c r="I105" s="159">
        <v>1</v>
      </c>
      <c r="J105" s="56">
        <v>0</v>
      </c>
      <c r="K105" s="33">
        <f t="shared" si="108"/>
        <v>0</v>
      </c>
      <c r="L105" s="10">
        <v>0</v>
      </c>
      <c r="M105" s="10">
        <v>0</v>
      </c>
      <c r="N105" s="33">
        <f t="shared" si="109"/>
        <v>0</v>
      </c>
      <c r="O105" s="33">
        <f t="shared" si="110"/>
        <v>0</v>
      </c>
      <c r="P105" s="56">
        <v>0</v>
      </c>
      <c r="Q105" s="33">
        <f t="shared" si="111"/>
        <v>0</v>
      </c>
      <c r="R105" s="56">
        <v>0</v>
      </c>
      <c r="S105" s="56">
        <v>0</v>
      </c>
      <c r="T105" s="33">
        <f t="shared" si="112"/>
        <v>0</v>
      </c>
      <c r="U105" s="33">
        <f t="shared" si="113"/>
        <v>0</v>
      </c>
      <c r="V105" s="56">
        <v>0</v>
      </c>
      <c r="W105" s="33">
        <f t="shared" si="114"/>
        <v>0</v>
      </c>
      <c r="X105" s="56">
        <v>0</v>
      </c>
      <c r="Y105" s="56">
        <v>0</v>
      </c>
      <c r="Z105" s="33">
        <f t="shared" si="115"/>
        <v>0</v>
      </c>
      <c r="AA105" s="33">
        <f t="shared" si="116"/>
        <v>0</v>
      </c>
      <c r="AB105" s="146">
        <v>9</v>
      </c>
      <c r="AC105" s="117">
        <f t="shared" si="118"/>
        <v>9</v>
      </c>
      <c r="AD105" s="10">
        <v>0</v>
      </c>
      <c r="AE105" s="10">
        <v>0</v>
      </c>
      <c r="AF105" s="117">
        <f t="shared" si="119"/>
        <v>0</v>
      </c>
      <c r="AG105" s="118">
        <f t="shared" si="120"/>
        <v>0</v>
      </c>
      <c r="AH105" s="80">
        <f t="shared" si="121"/>
        <v>9</v>
      </c>
      <c r="AI105" s="127">
        <f t="shared" si="134"/>
        <v>9</v>
      </c>
      <c r="AJ105" s="111">
        <v>0</v>
      </c>
      <c r="AK105" s="111">
        <v>0</v>
      </c>
      <c r="AL105" s="112">
        <f t="shared" ref="AL105:AL168" ca="1" si="153">AL105*I105</f>
        <v>0</v>
      </c>
      <c r="AM105" s="112">
        <f t="shared" ref="AM105:AM168" si="154">-AJ105*I105</f>
        <v>0</v>
      </c>
      <c r="AN105" s="80">
        <f t="shared" si="122"/>
        <v>9</v>
      </c>
      <c r="AO105" s="12">
        <f t="shared" si="123"/>
        <v>9</v>
      </c>
      <c r="AP105" s="10">
        <v>0</v>
      </c>
      <c r="AQ105" s="10">
        <v>0</v>
      </c>
      <c r="AR105" s="12">
        <f t="shared" si="124"/>
        <v>0</v>
      </c>
      <c r="AS105" s="12">
        <f t="shared" si="125"/>
        <v>0</v>
      </c>
      <c r="AT105" s="13">
        <f t="shared" si="126"/>
        <v>9</v>
      </c>
      <c r="AU105" s="12">
        <f t="shared" si="127"/>
        <v>9</v>
      </c>
      <c r="AV105" s="10">
        <v>0</v>
      </c>
      <c r="AW105" s="10">
        <v>0</v>
      </c>
      <c r="AX105" s="12">
        <f t="shared" si="128"/>
        <v>0</v>
      </c>
      <c r="AY105" s="12">
        <f t="shared" si="129"/>
        <v>0</v>
      </c>
      <c r="AZ105" s="32">
        <f t="shared" si="130"/>
        <v>9</v>
      </c>
      <c r="BA105" s="12">
        <f t="shared" si="131"/>
        <v>9</v>
      </c>
      <c r="BB105" s="10">
        <v>0</v>
      </c>
      <c r="BC105" s="10">
        <v>0</v>
      </c>
      <c r="BD105" s="12">
        <f t="shared" si="132"/>
        <v>0</v>
      </c>
      <c r="BE105" s="12">
        <f t="shared" si="133"/>
        <v>0</v>
      </c>
      <c r="BF105" s="48">
        <v>9</v>
      </c>
      <c r="BG105" s="12">
        <f t="shared" si="148"/>
        <v>9</v>
      </c>
      <c r="BH105" s="10">
        <v>0</v>
      </c>
      <c r="BI105" s="10">
        <v>0</v>
      </c>
      <c r="BJ105" s="33">
        <f t="shared" si="136"/>
        <v>0</v>
      </c>
      <c r="BK105" s="33">
        <f t="shared" si="137"/>
        <v>0</v>
      </c>
      <c r="BL105" s="48">
        <v>9</v>
      </c>
      <c r="BM105" s="12">
        <f t="shared" si="149"/>
        <v>9</v>
      </c>
      <c r="BN105" s="10">
        <v>0</v>
      </c>
      <c r="BO105" s="10">
        <v>0</v>
      </c>
      <c r="BP105" s="33">
        <f t="shared" si="139"/>
        <v>0</v>
      </c>
      <c r="BQ105" s="33">
        <f t="shared" si="140"/>
        <v>0</v>
      </c>
      <c r="BR105" s="48">
        <v>9</v>
      </c>
      <c r="BS105" s="12">
        <f t="shared" si="150"/>
        <v>9</v>
      </c>
      <c r="BT105" s="10">
        <v>0</v>
      </c>
      <c r="BU105" s="10">
        <v>0</v>
      </c>
      <c r="BV105" s="33">
        <f t="shared" si="142"/>
        <v>0</v>
      </c>
      <c r="BW105" s="33">
        <f t="shared" si="143"/>
        <v>0</v>
      </c>
      <c r="BX105" s="48">
        <v>9</v>
      </c>
      <c r="BY105" s="12">
        <f t="shared" si="151"/>
        <v>9</v>
      </c>
      <c r="BZ105" s="10">
        <v>0</v>
      </c>
      <c r="CA105" s="10">
        <v>0</v>
      </c>
      <c r="CB105" s="33">
        <f t="shared" si="145"/>
        <v>0</v>
      </c>
      <c r="CC105" s="33">
        <f t="shared" si="146"/>
        <v>0</v>
      </c>
      <c r="CD105" s="48">
        <v>9</v>
      </c>
      <c r="CE105" s="12">
        <f t="shared" si="152"/>
        <v>9</v>
      </c>
    </row>
    <row r="106" spans="1:83" ht="80.25" customHeight="1">
      <c r="A106" s="148" t="s">
        <v>367</v>
      </c>
      <c r="B106" s="155" t="s">
        <v>368</v>
      </c>
      <c r="C106" s="173" t="s">
        <v>369</v>
      </c>
      <c r="D106" s="156">
        <v>2014</v>
      </c>
      <c r="E106" s="154"/>
      <c r="F106" s="154"/>
      <c r="G106" s="154"/>
      <c r="H106" s="165">
        <v>233</v>
      </c>
      <c r="I106" s="159">
        <v>1</v>
      </c>
      <c r="J106" s="56">
        <v>0</v>
      </c>
      <c r="K106" s="33">
        <f t="shared" si="108"/>
        <v>0</v>
      </c>
      <c r="L106" s="10">
        <v>0</v>
      </c>
      <c r="M106" s="10">
        <v>0</v>
      </c>
      <c r="N106" s="33">
        <f t="shared" si="109"/>
        <v>0</v>
      </c>
      <c r="O106" s="33">
        <f t="shared" si="110"/>
        <v>0</v>
      </c>
      <c r="P106" s="56">
        <v>0</v>
      </c>
      <c r="Q106" s="33">
        <f t="shared" si="111"/>
        <v>0</v>
      </c>
      <c r="R106" s="56">
        <v>0</v>
      </c>
      <c r="S106" s="56">
        <v>0</v>
      </c>
      <c r="T106" s="33">
        <f t="shared" si="112"/>
        <v>0</v>
      </c>
      <c r="U106" s="33">
        <f t="shared" si="113"/>
        <v>0</v>
      </c>
      <c r="V106" s="56">
        <v>0</v>
      </c>
      <c r="W106" s="33">
        <f t="shared" si="114"/>
        <v>0</v>
      </c>
      <c r="X106" s="56">
        <v>0</v>
      </c>
      <c r="Y106" s="56">
        <v>0</v>
      </c>
      <c r="Z106" s="33">
        <f t="shared" si="115"/>
        <v>0</v>
      </c>
      <c r="AA106" s="33">
        <f t="shared" si="116"/>
        <v>0</v>
      </c>
      <c r="AB106" s="146">
        <v>233</v>
      </c>
      <c r="AC106" s="117">
        <f t="shared" si="118"/>
        <v>233</v>
      </c>
      <c r="AD106" s="10">
        <v>0</v>
      </c>
      <c r="AE106" s="10">
        <v>0</v>
      </c>
      <c r="AF106" s="117">
        <f t="shared" si="119"/>
        <v>0</v>
      </c>
      <c r="AG106" s="118">
        <f t="shared" si="120"/>
        <v>0</v>
      </c>
      <c r="AH106" s="80">
        <f t="shared" si="121"/>
        <v>233</v>
      </c>
      <c r="AI106" s="127">
        <f t="shared" ref="AI106:AI137" si="155">AH106*I106</f>
        <v>233</v>
      </c>
      <c r="AJ106" s="111">
        <v>0</v>
      </c>
      <c r="AK106" s="111">
        <v>0</v>
      </c>
      <c r="AL106" s="112">
        <f t="shared" ca="1" si="153"/>
        <v>0</v>
      </c>
      <c r="AM106" s="112">
        <f t="shared" si="154"/>
        <v>0</v>
      </c>
      <c r="AN106" s="80">
        <f t="shared" si="122"/>
        <v>233</v>
      </c>
      <c r="AO106" s="12">
        <f t="shared" si="123"/>
        <v>233</v>
      </c>
      <c r="AP106" s="10">
        <v>0</v>
      </c>
      <c r="AQ106" s="10">
        <v>0</v>
      </c>
      <c r="AR106" s="12">
        <f t="shared" si="124"/>
        <v>0</v>
      </c>
      <c r="AS106" s="12">
        <f t="shared" si="125"/>
        <v>0</v>
      </c>
      <c r="AT106" s="13">
        <f t="shared" si="126"/>
        <v>233</v>
      </c>
      <c r="AU106" s="12">
        <f t="shared" si="127"/>
        <v>233</v>
      </c>
      <c r="AV106" s="10">
        <v>0</v>
      </c>
      <c r="AW106" s="10">
        <v>0</v>
      </c>
      <c r="AX106" s="12">
        <f t="shared" si="128"/>
        <v>0</v>
      </c>
      <c r="AY106" s="12">
        <f t="shared" si="129"/>
        <v>0</v>
      </c>
      <c r="AZ106" s="32">
        <f t="shared" si="130"/>
        <v>233</v>
      </c>
      <c r="BA106" s="12">
        <f t="shared" si="131"/>
        <v>233</v>
      </c>
      <c r="BB106" s="10">
        <v>0</v>
      </c>
      <c r="BC106" s="10">
        <v>0</v>
      </c>
      <c r="BD106" s="12">
        <f t="shared" si="132"/>
        <v>0</v>
      </c>
      <c r="BE106" s="12">
        <f t="shared" si="133"/>
        <v>0</v>
      </c>
      <c r="BF106" s="48">
        <v>233</v>
      </c>
      <c r="BG106" s="12">
        <f t="shared" si="148"/>
        <v>233</v>
      </c>
      <c r="BH106" s="10">
        <v>0</v>
      </c>
      <c r="BI106" s="10">
        <v>0</v>
      </c>
      <c r="BJ106" s="33">
        <f t="shared" ref="BJ106:BJ137" si="156">BI106*AM106</f>
        <v>0</v>
      </c>
      <c r="BK106" s="33">
        <f t="shared" ref="BK106:BK137" si="157">BJ106*AN106</f>
        <v>0</v>
      </c>
      <c r="BL106" s="48">
        <v>233</v>
      </c>
      <c r="BM106" s="12">
        <f t="shared" si="149"/>
        <v>233</v>
      </c>
      <c r="BN106" s="10">
        <v>0</v>
      </c>
      <c r="BO106" s="10">
        <v>0</v>
      </c>
      <c r="BP106" s="33">
        <f t="shared" ref="BP106:BP137" si="158">BO106*AS106</f>
        <v>0</v>
      </c>
      <c r="BQ106" s="33">
        <f t="shared" ref="BQ106:BQ137" si="159">BP106*AT106</f>
        <v>0</v>
      </c>
      <c r="BR106" s="48">
        <v>233</v>
      </c>
      <c r="BS106" s="12">
        <f t="shared" si="150"/>
        <v>233</v>
      </c>
      <c r="BT106" s="10">
        <v>0</v>
      </c>
      <c r="BU106" s="10">
        <v>0</v>
      </c>
      <c r="BV106" s="33">
        <f t="shared" ref="BV106:BV137" si="160">BU106*AY106</f>
        <v>0</v>
      </c>
      <c r="BW106" s="33">
        <f t="shared" ref="BW106:BW137" si="161">BV106*AZ106</f>
        <v>0</v>
      </c>
      <c r="BX106" s="48">
        <v>233</v>
      </c>
      <c r="BY106" s="12">
        <f t="shared" si="151"/>
        <v>233</v>
      </c>
      <c r="BZ106" s="10">
        <v>0</v>
      </c>
      <c r="CA106" s="10">
        <v>0</v>
      </c>
      <c r="CB106" s="33">
        <f t="shared" ref="CB106:CB137" si="162">CA106*BE106</f>
        <v>0</v>
      </c>
      <c r="CC106" s="33">
        <f t="shared" ref="CC106:CC137" si="163">CB106*BF106</f>
        <v>0</v>
      </c>
      <c r="CD106" s="48">
        <v>233</v>
      </c>
      <c r="CE106" s="12">
        <f t="shared" si="152"/>
        <v>233</v>
      </c>
    </row>
    <row r="107" spans="1:83" ht="80.25" customHeight="1">
      <c r="A107" s="148" t="s">
        <v>370</v>
      </c>
      <c r="B107" s="155" t="s">
        <v>371</v>
      </c>
      <c r="C107" s="173" t="s">
        <v>372</v>
      </c>
      <c r="D107" s="156">
        <v>2014</v>
      </c>
      <c r="E107" s="154"/>
      <c r="F107" s="154"/>
      <c r="G107" s="154"/>
      <c r="H107" s="165">
        <v>345</v>
      </c>
      <c r="I107" s="159">
        <v>1</v>
      </c>
      <c r="J107" s="56">
        <v>0</v>
      </c>
      <c r="K107" s="33">
        <f t="shared" si="108"/>
        <v>0</v>
      </c>
      <c r="L107" s="10">
        <v>0</v>
      </c>
      <c r="M107" s="10">
        <v>0</v>
      </c>
      <c r="N107" s="33">
        <f t="shared" si="109"/>
        <v>0</v>
      </c>
      <c r="O107" s="33">
        <f t="shared" si="110"/>
        <v>0</v>
      </c>
      <c r="P107" s="56">
        <v>0</v>
      </c>
      <c r="Q107" s="33">
        <f t="shared" si="111"/>
        <v>0</v>
      </c>
      <c r="R107" s="56">
        <v>0</v>
      </c>
      <c r="S107" s="56">
        <v>0</v>
      </c>
      <c r="T107" s="33">
        <f t="shared" si="112"/>
        <v>0</v>
      </c>
      <c r="U107" s="33">
        <f t="shared" si="113"/>
        <v>0</v>
      </c>
      <c r="V107" s="56">
        <v>0</v>
      </c>
      <c r="W107" s="33">
        <f t="shared" si="114"/>
        <v>0</v>
      </c>
      <c r="X107" s="56">
        <v>0</v>
      </c>
      <c r="Y107" s="56">
        <v>0</v>
      </c>
      <c r="Z107" s="33">
        <f t="shared" si="115"/>
        <v>0</v>
      </c>
      <c r="AA107" s="33">
        <f t="shared" si="116"/>
        <v>0</v>
      </c>
      <c r="AB107" s="146">
        <v>345</v>
      </c>
      <c r="AC107" s="117">
        <f t="shared" si="118"/>
        <v>345</v>
      </c>
      <c r="AD107" s="10">
        <v>0</v>
      </c>
      <c r="AE107" s="10">
        <v>0</v>
      </c>
      <c r="AF107" s="117">
        <f t="shared" si="119"/>
        <v>0</v>
      </c>
      <c r="AG107" s="118">
        <f t="shared" si="120"/>
        <v>0</v>
      </c>
      <c r="AH107" s="80">
        <f t="shared" si="121"/>
        <v>345</v>
      </c>
      <c r="AI107" s="127">
        <f t="shared" si="155"/>
        <v>345</v>
      </c>
      <c r="AJ107" s="111">
        <v>0</v>
      </c>
      <c r="AK107" s="111">
        <v>0</v>
      </c>
      <c r="AL107" s="112">
        <f t="shared" ca="1" si="153"/>
        <v>0</v>
      </c>
      <c r="AM107" s="112">
        <f t="shared" si="154"/>
        <v>0</v>
      </c>
      <c r="AN107" s="80">
        <f t="shared" si="122"/>
        <v>345</v>
      </c>
      <c r="AO107" s="12">
        <f t="shared" si="123"/>
        <v>345</v>
      </c>
      <c r="AP107" s="10">
        <v>0</v>
      </c>
      <c r="AQ107" s="10">
        <v>0</v>
      </c>
      <c r="AR107" s="12">
        <f t="shared" si="124"/>
        <v>0</v>
      </c>
      <c r="AS107" s="12">
        <f t="shared" si="125"/>
        <v>0</v>
      </c>
      <c r="AT107" s="13">
        <f t="shared" si="126"/>
        <v>345</v>
      </c>
      <c r="AU107" s="12">
        <f t="shared" si="127"/>
        <v>345</v>
      </c>
      <c r="AV107" s="10">
        <v>0</v>
      </c>
      <c r="AW107" s="10">
        <v>0</v>
      </c>
      <c r="AX107" s="12">
        <f t="shared" si="128"/>
        <v>0</v>
      </c>
      <c r="AY107" s="12">
        <f t="shared" si="129"/>
        <v>0</v>
      </c>
      <c r="AZ107" s="32">
        <f t="shared" si="130"/>
        <v>345</v>
      </c>
      <c r="BA107" s="12">
        <f t="shared" si="131"/>
        <v>345</v>
      </c>
      <c r="BB107" s="10">
        <v>0</v>
      </c>
      <c r="BC107" s="10">
        <v>0</v>
      </c>
      <c r="BD107" s="12">
        <f t="shared" si="132"/>
        <v>0</v>
      </c>
      <c r="BE107" s="12">
        <f t="shared" si="133"/>
        <v>0</v>
      </c>
      <c r="BF107" s="48">
        <v>345</v>
      </c>
      <c r="BG107" s="12">
        <f t="shared" si="148"/>
        <v>345</v>
      </c>
      <c r="BH107" s="10">
        <v>0</v>
      </c>
      <c r="BI107" s="10">
        <v>0</v>
      </c>
      <c r="BJ107" s="33">
        <f t="shared" si="156"/>
        <v>0</v>
      </c>
      <c r="BK107" s="33">
        <f t="shared" si="157"/>
        <v>0</v>
      </c>
      <c r="BL107" s="48">
        <v>345</v>
      </c>
      <c r="BM107" s="12">
        <f t="shared" si="149"/>
        <v>345</v>
      </c>
      <c r="BN107" s="10">
        <v>0</v>
      </c>
      <c r="BO107" s="10">
        <v>0</v>
      </c>
      <c r="BP107" s="33">
        <f t="shared" si="158"/>
        <v>0</v>
      </c>
      <c r="BQ107" s="33">
        <f t="shared" si="159"/>
        <v>0</v>
      </c>
      <c r="BR107" s="48">
        <v>345</v>
      </c>
      <c r="BS107" s="12">
        <f t="shared" si="150"/>
        <v>345</v>
      </c>
      <c r="BT107" s="10">
        <v>0</v>
      </c>
      <c r="BU107" s="10">
        <v>0</v>
      </c>
      <c r="BV107" s="33">
        <f t="shared" si="160"/>
        <v>0</v>
      </c>
      <c r="BW107" s="33">
        <f t="shared" si="161"/>
        <v>0</v>
      </c>
      <c r="BX107" s="48">
        <v>345</v>
      </c>
      <c r="BY107" s="12">
        <f t="shared" si="151"/>
        <v>345</v>
      </c>
      <c r="BZ107" s="10">
        <v>0</v>
      </c>
      <c r="CA107" s="10">
        <v>0</v>
      </c>
      <c r="CB107" s="33">
        <f t="shared" si="162"/>
        <v>0</v>
      </c>
      <c r="CC107" s="33">
        <f t="shared" si="163"/>
        <v>0</v>
      </c>
      <c r="CD107" s="48">
        <v>345</v>
      </c>
      <c r="CE107" s="12">
        <f t="shared" si="152"/>
        <v>345</v>
      </c>
    </row>
    <row r="108" spans="1:83" ht="80.25" customHeight="1">
      <c r="A108" s="148" t="s">
        <v>373</v>
      </c>
      <c r="B108" s="155" t="s">
        <v>374</v>
      </c>
      <c r="C108" s="173" t="s">
        <v>375</v>
      </c>
      <c r="D108" s="156">
        <v>2004</v>
      </c>
      <c r="E108" s="154"/>
      <c r="F108" s="154"/>
      <c r="G108" s="154"/>
      <c r="H108" s="165">
        <v>10</v>
      </c>
      <c r="I108" s="159">
        <v>1</v>
      </c>
      <c r="J108" s="56">
        <v>0</v>
      </c>
      <c r="K108" s="33">
        <f t="shared" si="108"/>
        <v>0</v>
      </c>
      <c r="L108" s="10">
        <v>0</v>
      </c>
      <c r="M108" s="10">
        <v>0</v>
      </c>
      <c r="N108" s="33">
        <f t="shared" si="109"/>
        <v>0</v>
      </c>
      <c r="O108" s="33">
        <f t="shared" si="110"/>
        <v>0</v>
      </c>
      <c r="P108" s="56">
        <v>0</v>
      </c>
      <c r="Q108" s="33">
        <f t="shared" si="111"/>
        <v>0</v>
      </c>
      <c r="R108" s="56">
        <v>0</v>
      </c>
      <c r="S108" s="56">
        <v>0</v>
      </c>
      <c r="T108" s="33">
        <f t="shared" si="112"/>
        <v>0</v>
      </c>
      <c r="U108" s="33">
        <f t="shared" si="113"/>
        <v>0</v>
      </c>
      <c r="V108" s="56">
        <v>0</v>
      </c>
      <c r="W108" s="33">
        <f t="shared" si="114"/>
        <v>0</v>
      </c>
      <c r="X108" s="56">
        <v>0</v>
      </c>
      <c r="Y108" s="56">
        <v>0</v>
      </c>
      <c r="Z108" s="33">
        <f t="shared" si="115"/>
        <v>0</v>
      </c>
      <c r="AA108" s="33">
        <f t="shared" si="116"/>
        <v>0</v>
      </c>
      <c r="AB108" s="146">
        <v>10</v>
      </c>
      <c r="AC108" s="117">
        <f t="shared" si="118"/>
        <v>10</v>
      </c>
      <c r="AD108" s="10">
        <v>0</v>
      </c>
      <c r="AE108" s="10">
        <v>0</v>
      </c>
      <c r="AF108" s="117">
        <f t="shared" si="119"/>
        <v>0</v>
      </c>
      <c r="AG108" s="118">
        <f t="shared" si="120"/>
        <v>0</v>
      </c>
      <c r="AH108" s="80">
        <f t="shared" si="121"/>
        <v>10</v>
      </c>
      <c r="AI108" s="127">
        <f t="shared" si="155"/>
        <v>10</v>
      </c>
      <c r="AJ108" s="111">
        <v>0</v>
      </c>
      <c r="AK108" s="111">
        <v>0</v>
      </c>
      <c r="AL108" s="112">
        <f t="shared" ca="1" si="153"/>
        <v>0</v>
      </c>
      <c r="AM108" s="112">
        <f t="shared" si="154"/>
        <v>0</v>
      </c>
      <c r="AN108" s="80">
        <f t="shared" si="122"/>
        <v>10</v>
      </c>
      <c r="AO108" s="12">
        <f t="shared" si="123"/>
        <v>10</v>
      </c>
      <c r="AP108" s="10">
        <v>0</v>
      </c>
      <c r="AQ108" s="10">
        <v>0</v>
      </c>
      <c r="AR108" s="12">
        <f t="shared" si="124"/>
        <v>0</v>
      </c>
      <c r="AS108" s="12">
        <f t="shared" si="125"/>
        <v>0</v>
      </c>
      <c r="AT108" s="13">
        <f t="shared" si="126"/>
        <v>10</v>
      </c>
      <c r="AU108" s="12">
        <f t="shared" si="127"/>
        <v>10</v>
      </c>
      <c r="AV108" s="10">
        <v>0</v>
      </c>
      <c r="AW108" s="10">
        <v>0</v>
      </c>
      <c r="AX108" s="12">
        <f t="shared" si="128"/>
        <v>0</v>
      </c>
      <c r="AY108" s="12">
        <f t="shared" si="129"/>
        <v>0</v>
      </c>
      <c r="AZ108" s="32">
        <f t="shared" si="130"/>
        <v>10</v>
      </c>
      <c r="BA108" s="12">
        <f t="shared" si="131"/>
        <v>10</v>
      </c>
      <c r="BB108" s="10">
        <v>0</v>
      </c>
      <c r="BC108" s="10">
        <v>0</v>
      </c>
      <c r="BD108" s="12">
        <f t="shared" si="132"/>
        <v>0</v>
      </c>
      <c r="BE108" s="12">
        <f t="shared" si="133"/>
        <v>0</v>
      </c>
      <c r="BF108" s="48">
        <v>10</v>
      </c>
      <c r="BG108" s="12">
        <f t="shared" si="148"/>
        <v>10</v>
      </c>
      <c r="BH108" s="10">
        <v>0</v>
      </c>
      <c r="BI108" s="10">
        <v>0</v>
      </c>
      <c r="BJ108" s="33">
        <f t="shared" si="156"/>
        <v>0</v>
      </c>
      <c r="BK108" s="33">
        <f t="shared" si="157"/>
        <v>0</v>
      </c>
      <c r="BL108" s="48">
        <v>10</v>
      </c>
      <c r="BM108" s="12">
        <f t="shared" si="149"/>
        <v>10</v>
      </c>
      <c r="BN108" s="10">
        <v>0</v>
      </c>
      <c r="BO108" s="10">
        <v>0</v>
      </c>
      <c r="BP108" s="33">
        <f t="shared" si="158"/>
        <v>0</v>
      </c>
      <c r="BQ108" s="33">
        <f t="shared" si="159"/>
        <v>0</v>
      </c>
      <c r="BR108" s="48">
        <v>10</v>
      </c>
      <c r="BS108" s="12">
        <f t="shared" si="150"/>
        <v>10</v>
      </c>
      <c r="BT108" s="10">
        <v>0</v>
      </c>
      <c r="BU108" s="10">
        <v>0</v>
      </c>
      <c r="BV108" s="33">
        <f t="shared" si="160"/>
        <v>0</v>
      </c>
      <c r="BW108" s="33">
        <f t="shared" si="161"/>
        <v>0</v>
      </c>
      <c r="BX108" s="48">
        <v>10</v>
      </c>
      <c r="BY108" s="12">
        <f t="shared" si="151"/>
        <v>10</v>
      </c>
      <c r="BZ108" s="10">
        <v>0</v>
      </c>
      <c r="CA108" s="10">
        <v>0</v>
      </c>
      <c r="CB108" s="33">
        <f t="shared" si="162"/>
        <v>0</v>
      </c>
      <c r="CC108" s="33">
        <f t="shared" si="163"/>
        <v>0</v>
      </c>
      <c r="CD108" s="48">
        <v>10</v>
      </c>
      <c r="CE108" s="12">
        <f t="shared" si="152"/>
        <v>10</v>
      </c>
    </row>
    <row r="109" spans="1:83" ht="80.25" customHeight="1">
      <c r="A109" s="148" t="s">
        <v>251</v>
      </c>
      <c r="B109" s="155" t="s">
        <v>376</v>
      </c>
      <c r="C109" s="173" t="s">
        <v>377</v>
      </c>
      <c r="D109" s="156">
        <v>2010</v>
      </c>
      <c r="E109" s="154"/>
      <c r="F109" s="154"/>
      <c r="G109" s="154"/>
      <c r="H109" s="165">
        <v>10</v>
      </c>
      <c r="I109" s="159">
        <v>1</v>
      </c>
      <c r="J109" s="56">
        <v>0</v>
      </c>
      <c r="K109" s="33">
        <f t="shared" si="108"/>
        <v>0</v>
      </c>
      <c r="L109" s="10">
        <v>0</v>
      </c>
      <c r="M109" s="10">
        <v>0</v>
      </c>
      <c r="N109" s="33">
        <f t="shared" si="109"/>
        <v>0</v>
      </c>
      <c r="O109" s="33">
        <f t="shared" si="110"/>
        <v>0</v>
      </c>
      <c r="P109" s="56">
        <v>0</v>
      </c>
      <c r="Q109" s="33">
        <f t="shared" si="111"/>
        <v>0</v>
      </c>
      <c r="R109" s="56">
        <v>0</v>
      </c>
      <c r="S109" s="56">
        <v>0</v>
      </c>
      <c r="T109" s="33">
        <f t="shared" si="112"/>
        <v>0</v>
      </c>
      <c r="U109" s="33">
        <f t="shared" si="113"/>
        <v>0</v>
      </c>
      <c r="V109" s="56">
        <v>0</v>
      </c>
      <c r="W109" s="33">
        <f t="shared" si="114"/>
        <v>0</v>
      </c>
      <c r="X109" s="56">
        <v>0</v>
      </c>
      <c r="Y109" s="56">
        <v>0</v>
      </c>
      <c r="Z109" s="33">
        <f t="shared" si="115"/>
        <v>0</v>
      </c>
      <c r="AA109" s="33">
        <f t="shared" si="116"/>
        <v>0</v>
      </c>
      <c r="AB109" s="146">
        <v>10</v>
      </c>
      <c r="AC109" s="117">
        <f t="shared" si="118"/>
        <v>10</v>
      </c>
      <c r="AD109" s="10">
        <v>0</v>
      </c>
      <c r="AE109" s="10">
        <v>0</v>
      </c>
      <c r="AF109" s="117">
        <f t="shared" si="119"/>
        <v>0</v>
      </c>
      <c r="AG109" s="118">
        <f t="shared" si="120"/>
        <v>0</v>
      </c>
      <c r="AH109" s="80">
        <f t="shared" si="121"/>
        <v>10</v>
      </c>
      <c r="AI109" s="127">
        <f t="shared" si="155"/>
        <v>10</v>
      </c>
      <c r="AJ109" s="111">
        <v>0</v>
      </c>
      <c r="AK109" s="111">
        <v>0</v>
      </c>
      <c r="AL109" s="112">
        <f t="shared" ca="1" si="153"/>
        <v>0</v>
      </c>
      <c r="AM109" s="112">
        <f t="shared" si="154"/>
        <v>0</v>
      </c>
      <c r="AN109" s="80">
        <f t="shared" si="122"/>
        <v>10</v>
      </c>
      <c r="AO109" s="12">
        <f t="shared" si="123"/>
        <v>10</v>
      </c>
      <c r="AP109" s="10">
        <v>0</v>
      </c>
      <c r="AQ109" s="10">
        <v>0</v>
      </c>
      <c r="AR109" s="12">
        <f t="shared" si="124"/>
        <v>0</v>
      </c>
      <c r="AS109" s="12">
        <f t="shared" si="125"/>
        <v>0</v>
      </c>
      <c r="AT109" s="13">
        <f t="shared" si="126"/>
        <v>10</v>
      </c>
      <c r="AU109" s="12">
        <f t="shared" si="127"/>
        <v>10</v>
      </c>
      <c r="AV109" s="10">
        <v>0</v>
      </c>
      <c r="AW109" s="10">
        <v>0</v>
      </c>
      <c r="AX109" s="12">
        <f t="shared" si="128"/>
        <v>0</v>
      </c>
      <c r="AY109" s="12">
        <f t="shared" si="129"/>
        <v>0</v>
      </c>
      <c r="AZ109" s="32">
        <f t="shared" si="130"/>
        <v>10</v>
      </c>
      <c r="BA109" s="12">
        <f t="shared" si="131"/>
        <v>10</v>
      </c>
      <c r="BB109" s="10">
        <v>0</v>
      </c>
      <c r="BC109" s="10">
        <v>0</v>
      </c>
      <c r="BD109" s="12">
        <f t="shared" si="132"/>
        <v>0</v>
      </c>
      <c r="BE109" s="12">
        <f t="shared" si="133"/>
        <v>0</v>
      </c>
      <c r="BF109" s="48">
        <v>10</v>
      </c>
      <c r="BG109" s="12">
        <f t="shared" si="148"/>
        <v>10</v>
      </c>
      <c r="BH109" s="10">
        <v>0</v>
      </c>
      <c r="BI109" s="10">
        <v>0</v>
      </c>
      <c r="BJ109" s="33">
        <f t="shared" si="156"/>
        <v>0</v>
      </c>
      <c r="BK109" s="33">
        <f t="shared" si="157"/>
        <v>0</v>
      </c>
      <c r="BL109" s="48">
        <v>10</v>
      </c>
      <c r="BM109" s="12">
        <f t="shared" si="149"/>
        <v>10</v>
      </c>
      <c r="BN109" s="10">
        <v>0</v>
      </c>
      <c r="BO109" s="10">
        <v>0</v>
      </c>
      <c r="BP109" s="33">
        <f t="shared" si="158"/>
        <v>0</v>
      </c>
      <c r="BQ109" s="33">
        <f t="shared" si="159"/>
        <v>0</v>
      </c>
      <c r="BR109" s="48">
        <v>10</v>
      </c>
      <c r="BS109" s="12">
        <f t="shared" si="150"/>
        <v>10</v>
      </c>
      <c r="BT109" s="10">
        <v>0</v>
      </c>
      <c r="BU109" s="10">
        <v>0</v>
      </c>
      <c r="BV109" s="33">
        <f t="shared" si="160"/>
        <v>0</v>
      </c>
      <c r="BW109" s="33">
        <f t="shared" si="161"/>
        <v>0</v>
      </c>
      <c r="BX109" s="48">
        <v>10</v>
      </c>
      <c r="BY109" s="12">
        <f t="shared" si="151"/>
        <v>10</v>
      </c>
      <c r="BZ109" s="10">
        <v>0</v>
      </c>
      <c r="CA109" s="10">
        <v>0</v>
      </c>
      <c r="CB109" s="33">
        <f t="shared" si="162"/>
        <v>0</v>
      </c>
      <c r="CC109" s="33">
        <f t="shared" si="163"/>
        <v>0</v>
      </c>
      <c r="CD109" s="48">
        <v>10</v>
      </c>
      <c r="CE109" s="12">
        <f t="shared" si="152"/>
        <v>10</v>
      </c>
    </row>
    <row r="110" spans="1:83" ht="80.25" customHeight="1">
      <c r="A110" s="148" t="s">
        <v>115</v>
      </c>
      <c r="B110" s="155" t="s">
        <v>378</v>
      </c>
      <c r="C110" s="174" t="s">
        <v>379</v>
      </c>
      <c r="D110" s="157">
        <v>2013</v>
      </c>
      <c r="E110" s="154"/>
      <c r="F110" s="154"/>
      <c r="G110" s="154"/>
      <c r="H110" s="165">
        <v>61</v>
      </c>
      <c r="I110" s="159">
        <v>1</v>
      </c>
      <c r="J110" s="56">
        <v>0</v>
      </c>
      <c r="K110" s="33">
        <f t="shared" si="108"/>
        <v>0</v>
      </c>
      <c r="L110" s="10">
        <v>0</v>
      </c>
      <c r="M110" s="10">
        <v>0</v>
      </c>
      <c r="N110" s="33">
        <f t="shared" si="109"/>
        <v>0</v>
      </c>
      <c r="O110" s="33">
        <f t="shared" si="110"/>
        <v>0</v>
      </c>
      <c r="P110" s="56">
        <v>0</v>
      </c>
      <c r="Q110" s="33">
        <f t="shared" si="111"/>
        <v>0</v>
      </c>
      <c r="R110" s="56">
        <v>0</v>
      </c>
      <c r="S110" s="56">
        <v>0</v>
      </c>
      <c r="T110" s="33">
        <f t="shared" si="112"/>
        <v>0</v>
      </c>
      <c r="U110" s="33">
        <f t="shared" si="113"/>
        <v>0</v>
      </c>
      <c r="V110" s="56">
        <v>0</v>
      </c>
      <c r="W110" s="33">
        <f t="shared" si="114"/>
        <v>0</v>
      </c>
      <c r="X110" s="56">
        <v>0</v>
      </c>
      <c r="Y110" s="56">
        <v>0</v>
      </c>
      <c r="Z110" s="33">
        <f t="shared" si="115"/>
        <v>0</v>
      </c>
      <c r="AA110" s="33">
        <f t="shared" si="116"/>
        <v>0</v>
      </c>
      <c r="AB110" s="146">
        <v>61</v>
      </c>
      <c r="AC110" s="117">
        <f t="shared" si="118"/>
        <v>61</v>
      </c>
      <c r="AD110" s="10">
        <v>0</v>
      </c>
      <c r="AE110" s="10">
        <v>0</v>
      </c>
      <c r="AF110" s="117">
        <f t="shared" si="119"/>
        <v>0</v>
      </c>
      <c r="AG110" s="118">
        <f t="shared" si="120"/>
        <v>0</v>
      </c>
      <c r="AH110" s="80">
        <f t="shared" si="121"/>
        <v>61</v>
      </c>
      <c r="AI110" s="127">
        <f t="shared" si="155"/>
        <v>61</v>
      </c>
      <c r="AJ110" s="111">
        <v>0</v>
      </c>
      <c r="AK110" s="111">
        <v>0</v>
      </c>
      <c r="AL110" s="112">
        <f t="shared" ca="1" si="153"/>
        <v>0</v>
      </c>
      <c r="AM110" s="112">
        <f t="shared" si="154"/>
        <v>0</v>
      </c>
      <c r="AN110" s="80">
        <f t="shared" si="122"/>
        <v>61</v>
      </c>
      <c r="AO110" s="12">
        <f t="shared" si="123"/>
        <v>61</v>
      </c>
      <c r="AP110" s="10">
        <v>0</v>
      </c>
      <c r="AQ110" s="10">
        <v>0</v>
      </c>
      <c r="AR110" s="12">
        <f t="shared" si="124"/>
        <v>0</v>
      </c>
      <c r="AS110" s="12">
        <f t="shared" si="125"/>
        <v>0</v>
      </c>
      <c r="AT110" s="13">
        <f t="shared" si="126"/>
        <v>61</v>
      </c>
      <c r="AU110" s="12">
        <f t="shared" si="127"/>
        <v>61</v>
      </c>
      <c r="AV110" s="10">
        <v>0</v>
      </c>
      <c r="AW110" s="10">
        <v>0</v>
      </c>
      <c r="AX110" s="12">
        <f t="shared" si="128"/>
        <v>0</v>
      </c>
      <c r="AY110" s="12">
        <f t="shared" si="129"/>
        <v>0</v>
      </c>
      <c r="AZ110" s="32">
        <f t="shared" si="130"/>
        <v>61</v>
      </c>
      <c r="BA110" s="12">
        <f t="shared" si="131"/>
        <v>61</v>
      </c>
      <c r="BB110" s="10">
        <v>0</v>
      </c>
      <c r="BC110" s="10">
        <v>0</v>
      </c>
      <c r="BD110" s="12">
        <f t="shared" si="132"/>
        <v>0</v>
      </c>
      <c r="BE110" s="12">
        <f t="shared" si="133"/>
        <v>0</v>
      </c>
      <c r="BF110" s="48">
        <v>1</v>
      </c>
      <c r="BG110" s="12">
        <f t="shared" si="148"/>
        <v>61</v>
      </c>
      <c r="BH110" s="10">
        <v>0</v>
      </c>
      <c r="BI110" s="10">
        <v>0</v>
      </c>
      <c r="BJ110" s="33">
        <f t="shared" si="156"/>
        <v>0</v>
      </c>
      <c r="BK110" s="33">
        <f t="shared" si="157"/>
        <v>0</v>
      </c>
      <c r="BL110" s="48">
        <v>1</v>
      </c>
      <c r="BM110" s="12">
        <f t="shared" si="149"/>
        <v>61</v>
      </c>
      <c r="BN110" s="10">
        <v>0</v>
      </c>
      <c r="BO110" s="10">
        <v>0</v>
      </c>
      <c r="BP110" s="33">
        <f t="shared" si="158"/>
        <v>0</v>
      </c>
      <c r="BQ110" s="33">
        <f t="shared" si="159"/>
        <v>0</v>
      </c>
      <c r="BR110" s="48">
        <v>1</v>
      </c>
      <c r="BS110" s="12">
        <f t="shared" si="150"/>
        <v>61</v>
      </c>
      <c r="BT110" s="10">
        <v>0</v>
      </c>
      <c r="BU110" s="10">
        <v>0</v>
      </c>
      <c r="BV110" s="33">
        <f t="shared" si="160"/>
        <v>0</v>
      </c>
      <c r="BW110" s="33">
        <f t="shared" si="161"/>
        <v>0</v>
      </c>
      <c r="BX110" s="48">
        <v>1</v>
      </c>
      <c r="BY110" s="12">
        <f t="shared" si="151"/>
        <v>61</v>
      </c>
      <c r="BZ110" s="10">
        <v>0</v>
      </c>
      <c r="CA110" s="10">
        <v>0</v>
      </c>
      <c r="CB110" s="33">
        <f t="shared" si="162"/>
        <v>0</v>
      </c>
      <c r="CC110" s="33">
        <f t="shared" si="163"/>
        <v>0</v>
      </c>
      <c r="CD110" s="48">
        <v>1</v>
      </c>
      <c r="CE110" s="12">
        <f t="shared" si="152"/>
        <v>61</v>
      </c>
    </row>
    <row r="111" spans="1:83" ht="80.25" customHeight="1">
      <c r="A111" s="148" t="s">
        <v>380</v>
      </c>
      <c r="B111" s="155" t="s">
        <v>381</v>
      </c>
      <c r="C111" s="173" t="s">
        <v>382</v>
      </c>
      <c r="D111" s="156">
        <v>2003</v>
      </c>
      <c r="E111" s="154"/>
      <c r="F111" s="154"/>
      <c r="G111" s="154"/>
      <c r="H111" s="165">
        <v>2</v>
      </c>
      <c r="I111" s="159">
        <v>1</v>
      </c>
      <c r="J111" s="56">
        <v>0</v>
      </c>
      <c r="K111" s="33">
        <f t="shared" si="108"/>
        <v>0</v>
      </c>
      <c r="L111" s="10">
        <v>0</v>
      </c>
      <c r="M111" s="10">
        <v>0</v>
      </c>
      <c r="N111" s="33">
        <f t="shared" si="109"/>
        <v>0</v>
      </c>
      <c r="O111" s="33">
        <f t="shared" si="110"/>
        <v>0</v>
      </c>
      <c r="P111" s="56">
        <v>0</v>
      </c>
      <c r="Q111" s="33">
        <f t="shared" si="111"/>
        <v>0</v>
      </c>
      <c r="R111" s="56">
        <v>0</v>
      </c>
      <c r="S111" s="56">
        <v>0</v>
      </c>
      <c r="T111" s="33">
        <f t="shared" si="112"/>
        <v>0</v>
      </c>
      <c r="U111" s="33">
        <f t="shared" si="113"/>
        <v>0</v>
      </c>
      <c r="V111" s="56">
        <v>0</v>
      </c>
      <c r="W111" s="33">
        <f t="shared" si="114"/>
        <v>0</v>
      </c>
      <c r="X111" s="56">
        <v>0</v>
      </c>
      <c r="Y111" s="56">
        <v>0</v>
      </c>
      <c r="Z111" s="33">
        <f t="shared" si="115"/>
        <v>0</v>
      </c>
      <c r="AA111" s="33">
        <f t="shared" si="116"/>
        <v>0</v>
      </c>
      <c r="AB111" s="146">
        <v>2</v>
      </c>
      <c r="AC111" s="117">
        <f t="shared" si="118"/>
        <v>2</v>
      </c>
      <c r="AD111" s="10">
        <v>0</v>
      </c>
      <c r="AE111" s="10">
        <v>0</v>
      </c>
      <c r="AF111" s="117">
        <f t="shared" si="119"/>
        <v>0</v>
      </c>
      <c r="AG111" s="118">
        <f t="shared" si="120"/>
        <v>0</v>
      </c>
      <c r="AH111" s="80">
        <f t="shared" si="121"/>
        <v>2</v>
      </c>
      <c r="AI111" s="127">
        <f t="shared" si="155"/>
        <v>2</v>
      </c>
      <c r="AJ111" s="111">
        <v>0</v>
      </c>
      <c r="AK111" s="111">
        <v>0</v>
      </c>
      <c r="AL111" s="112">
        <f t="shared" ca="1" si="153"/>
        <v>0</v>
      </c>
      <c r="AM111" s="112">
        <f t="shared" si="154"/>
        <v>0</v>
      </c>
      <c r="AN111" s="80">
        <f t="shared" si="122"/>
        <v>2</v>
      </c>
      <c r="AO111" s="12">
        <f t="shared" si="123"/>
        <v>2</v>
      </c>
      <c r="AP111" s="10">
        <v>0</v>
      </c>
      <c r="AQ111" s="10">
        <v>0</v>
      </c>
      <c r="AR111" s="12">
        <f t="shared" si="124"/>
        <v>0</v>
      </c>
      <c r="AS111" s="12">
        <f t="shared" si="125"/>
        <v>0</v>
      </c>
      <c r="AT111" s="13">
        <f t="shared" si="126"/>
        <v>2</v>
      </c>
      <c r="AU111" s="12">
        <f t="shared" si="127"/>
        <v>2</v>
      </c>
      <c r="AV111" s="10">
        <v>0</v>
      </c>
      <c r="AW111" s="10">
        <v>0</v>
      </c>
      <c r="AX111" s="12">
        <f t="shared" si="128"/>
        <v>0</v>
      </c>
      <c r="AY111" s="12">
        <f t="shared" si="129"/>
        <v>0</v>
      </c>
      <c r="AZ111" s="32">
        <f t="shared" si="130"/>
        <v>2</v>
      </c>
      <c r="BA111" s="12">
        <f t="shared" si="131"/>
        <v>2</v>
      </c>
      <c r="BB111" s="10">
        <v>0</v>
      </c>
      <c r="BC111" s="10">
        <v>0</v>
      </c>
      <c r="BD111" s="12">
        <f t="shared" si="132"/>
        <v>0</v>
      </c>
      <c r="BE111" s="12">
        <f t="shared" si="133"/>
        <v>0</v>
      </c>
      <c r="BF111" s="48">
        <v>2</v>
      </c>
      <c r="BG111" s="12">
        <f t="shared" si="148"/>
        <v>2</v>
      </c>
      <c r="BH111" s="10">
        <v>0</v>
      </c>
      <c r="BI111" s="10">
        <v>0</v>
      </c>
      <c r="BJ111" s="33">
        <f t="shared" si="156"/>
        <v>0</v>
      </c>
      <c r="BK111" s="33">
        <f t="shared" si="157"/>
        <v>0</v>
      </c>
      <c r="BL111" s="48">
        <v>2</v>
      </c>
      <c r="BM111" s="12">
        <f t="shared" si="149"/>
        <v>2</v>
      </c>
      <c r="BN111" s="10">
        <v>0</v>
      </c>
      <c r="BO111" s="10">
        <v>0</v>
      </c>
      <c r="BP111" s="33">
        <f t="shared" si="158"/>
        <v>0</v>
      </c>
      <c r="BQ111" s="33">
        <f t="shared" si="159"/>
        <v>0</v>
      </c>
      <c r="BR111" s="48">
        <v>2</v>
      </c>
      <c r="BS111" s="12">
        <f t="shared" si="150"/>
        <v>2</v>
      </c>
      <c r="BT111" s="10">
        <v>0</v>
      </c>
      <c r="BU111" s="10">
        <v>0</v>
      </c>
      <c r="BV111" s="33">
        <f t="shared" si="160"/>
        <v>0</v>
      </c>
      <c r="BW111" s="33">
        <f t="shared" si="161"/>
        <v>0</v>
      </c>
      <c r="BX111" s="48">
        <v>2</v>
      </c>
      <c r="BY111" s="12">
        <f t="shared" si="151"/>
        <v>2</v>
      </c>
      <c r="BZ111" s="10">
        <v>0</v>
      </c>
      <c r="CA111" s="10">
        <v>0</v>
      </c>
      <c r="CB111" s="33">
        <f t="shared" si="162"/>
        <v>0</v>
      </c>
      <c r="CC111" s="33">
        <f t="shared" si="163"/>
        <v>0</v>
      </c>
      <c r="CD111" s="48">
        <v>2</v>
      </c>
      <c r="CE111" s="12">
        <f t="shared" si="152"/>
        <v>2</v>
      </c>
    </row>
    <row r="112" spans="1:83" ht="80.25" customHeight="1">
      <c r="A112" s="148" t="s">
        <v>383</v>
      </c>
      <c r="B112" s="155" t="s">
        <v>384</v>
      </c>
      <c r="C112" s="174" t="s">
        <v>385</v>
      </c>
      <c r="D112" s="157">
        <v>1997</v>
      </c>
      <c r="E112" s="154"/>
      <c r="F112" s="154"/>
      <c r="G112" s="154"/>
      <c r="H112" s="165">
        <v>2</v>
      </c>
      <c r="I112" s="159">
        <v>1</v>
      </c>
      <c r="J112" s="56">
        <v>0</v>
      </c>
      <c r="K112" s="33">
        <f t="shared" si="108"/>
        <v>0</v>
      </c>
      <c r="L112" s="10">
        <v>0</v>
      </c>
      <c r="M112" s="10">
        <v>0</v>
      </c>
      <c r="N112" s="33">
        <f t="shared" si="109"/>
        <v>0</v>
      </c>
      <c r="O112" s="33">
        <f t="shared" si="110"/>
        <v>0</v>
      </c>
      <c r="P112" s="56">
        <v>0</v>
      </c>
      <c r="Q112" s="33">
        <f t="shared" si="111"/>
        <v>0</v>
      </c>
      <c r="R112" s="56">
        <v>0</v>
      </c>
      <c r="S112" s="56">
        <v>0</v>
      </c>
      <c r="T112" s="33">
        <f t="shared" si="112"/>
        <v>0</v>
      </c>
      <c r="U112" s="33">
        <f t="shared" si="113"/>
        <v>0</v>
      </c>
      <c r="V112" s="56">
        <v>0</v>
      </c>
      <c r="W112" s="33">
        <f t="shared" si="114"/>
        <v>0</v>
      </c>
      <c r="X112" s="56">
        <v>0</v>
      </c>
      <c r="Y112" s="56">
        <v>0</v>
      </c>
      <c r="Z112" s="33">
        <f t="shared" si="115"/>
        <v>0</v>
      </c>
      <c r="AA112" s="33">
        <f t="shared" si="116"/>
        <v>0</v>
      </c>
      <c r="AB112" s="146">
        <v>2</v>
      </c>
      <c r="AC112" s="117">
        <f t="shared" si="118"/>
        <v>2</v>
      </c>
      <c r="AD112" s="10">
        <v>0</v>
      </c>
      <c r="AE112" s="10">
        <v>0</v>
      </c>
      <c r="AF112" s="117">
        <f t="shared" si="119"/>
        <v>0</v>
      </c>
      <c r="AG112" s="118">
        <f t="shared" si="120"/>
        <v>0</v>
      </c>
      <c r="AH112" s="80">
        <f t="shared" si="121"/>
        <v>2</v>
      </c>
      <c r="AI112" s="127">
        <f t="shared" si="155"/>
        <v>2</v>
      </c>
      <c r="AJ112" s="111">
        <v>0</v>
      </c>
      <c r="AK112" s="111">
        <v>0</v>
      </c>
      <c r="AL112" s="112">
        <f t="shared" ca="1" si="153"/>
        <v>0</v>
      </c>
      <c r="AM112" s="112">
        <f t="shared" si="154"/>
        <v>0</v>
      </c>
      <c r="AN112" s="80">
        <f t="shared" si="122"/>
        <v>2</v>
      </c>
      <c r="AO112" s="12">
        <f t="shared" si="123"/>
        <v>2</v>
      </c>
      <c r="AP112" s="10">
        <v>0</v>
      </c>
      <c r="AQ112" s="10">
        <v>0</v>
      </c>
      <c r="AR112" s="12">
        <f t="shared" si="124"/>
        <v>0</v>
      </c>
      <c r="AS112" s="12">
        <f t="shared" si="125"/>
        <v>0</v>
      </c>
      <c r="AT112" s="13">
        <f t="shared" si="126"/>
        <v>2</v>
      </c>
      <c r="AU112" s="12">
        <f t="shared" si="127"/>
        <v>2</v>
      </c>
      <c r="AV112" s="10">
        <v>0</v>
      </c>
      <c r="AW112" s="10">
        <v>0</v>
      </c>
      <c r="AX112" s="12">
        <f t="shared" si="128"/>
        <v>0</v>
      </c>
      <c r="AY112" s="12">
        <f t="shared" si="129"/>
        <v>0</v>
      </c>
      <c r="AZ112" s="32">
        <f t="shared" si="130"/>
        <v>2</v>
      </c>
      <c r="BA112" s="12">
        <f t="shared" si="131"/>
        <v>2</v>
      </c>
      <c r="BB112" s="10">
        <v>0</v>
      </c>
      <c r="BC112" s="10">
        <v>0</v>
      </c>
      <c r="BD112" s="12">
        <f t="shared" si="132"/>
        <v>0</v>
      </c>
      <c r="BE112" s="12">
        <f t="shared" si="133"/>
        <v>0</v>
      </c>
      <c r="BF112" s="48">
        <v>2</v>
      </c>
      <c r="BG112" s="12">
        <f t="shared" si="148"/>
        <v>2</v>
      </c>
      <c r="BH112" s="10">
        <v>0</v>
      </c>
      <c r="BI112" s="10">
        <v>0</v>
      </c>
      <c r="BJ112" s="33">
        <f t="shared" si="156"/>
        <v>0</v>
      </c>
      <c r="BK112" s="33">
        <f t="shared" si="157"/>
        <v>0</v>
      </c>
      <c r="BL112" s="48">
        <v>2</v>
      </c>
      <c r="BM112" s="12">
        <f t="shared" si="149"/>
        <v>2</v>
      </c>
      <c r="BN112" s="10">
        <v>0</v>
      </c>
      <c r="BO112" s="10">
        <v>0</v>
      </c>
      <c r="BP112" s="33">
        <f t="shared" si="158"/>
        <v>0</v>
      </c>
      <c r="BQ112" s="33">
        <f t="shared" si="159"/>
        <v>0</v>
      </c>
      <c r="BR112" s="48">
        <v>2</v>
      </c>
      <c r="BS112" s="12">
        <f t="shared" si="150"/>
        <v>2</v>
      </c>
      <c r="BT112" s="10">
        <v>0</v>
      </c>
      <c r="BU112" s="10">
        <v>0</v>
      </c>
      <c r="BV112" s="33">
        <f t="shared" si="160"/>
        <v>0</v>
      </c>
      <c r="BW112" s="33">
        <f t="shared" si="161"/>
        <v>0</v>
      </c>
      <c r="BX112" s="48">
        <v>2</v>
      </c>
      <c r="BY112" s="12">
        <f t="shared" si="151"/>
        <v>2</v>
      </c>
      <c r="BZ112" s="10">
        <v>0</v>
      </c>
      <c r="CA112" s="10">
        <v>0</v>
      </c>
      <c r="CB112" s="33">
        <f t="shared" si="162"/>
        <v>0</v>
      </c>
      <c r="CC112" s="33">
        <f t="shared" si="163"/>
        <v>0</v>
      </c>
      <c r="CD112" s="48">
        <v>2</v>
      </c>
      <c r="CE112" s="12">
        <f t="shared" si="152"/>
        <v>2</v>
      </c>
    </row>
    <row r="113" spans="1:83" ht="80.25" customHeight="1">
      <c r="A113" s="148" t="s">
        <v>386</v>
      </c>
      <c r="B113" s="155" t="s">
        <v>387</v>
      </c>
      <c r="C113" s="174" t="s">
        <v>388</v>
      </c>
      <c r="D113" s="157">
        <v>2013</v>
      </c>
      <c r="E113" s="154"/>
      <c r="F113" s="154"/>
      <c r="G113" s="154"/>
      <c r="H113" s="165">
        <v>7</v>
      </c>
      <c r="I113" s="159">
        <v>1</v>
      </c>
      <c r="J113" s="56">
        <v>0</v>
      </c>
      <c r="K113" s="33">
        <f t="shared" si="108"/>
        <v>0</v>
      </c>
      <c r="L113" s="10">
        <v>0</v>
      </c>
      <c r="M113" s="10">
        <v>0</v>
      </c>
      <c r="N113" s="33">
        <f t="shared" si="109"/>
        <v>0</v>
      </c>
      <c r="O113" s="33">
        <f t="shared" si="110"/>
        <v>0</v>
      </c>
      <c r="P113" s="56">
        <v>0</v>
      </c>
      <c r="Q113" s="33">
        <f t="shared" si="111"/>
        <v>0</v>
      </c>
      <c r="R113" s="56">
        <v>0</v>
      </c>
      <c r="S113" s="56">
        <v>0</v>
      </c>
      <c r="T113" s="33">
        <f t="shared" si="112"/>
        <v>0</v>
      </c>
      <c r="U113" s="33">
        <f t="shared" si="113"/>
        <v>0</v>
      </c>
      <c r="V113" s="56">
        <v>0</v>
      </c>
      <c r="W113" s="33">
        <f t="shared" si="114"/>
        <v>0</v>
      </c>
      <c r="X113" s="56">
        <v>0</v>
      </c>
      <c r="Y113" s="56">
        <v>0</v>
      </c>
      <c r="Z113" s="33">
        <f t="shared" si="115"/>
        <v>0</v>
      </c>
      <c r="AA113" s="33">
        <f t="shared" si="116"/>
        <v>0</v>
      </c>
      <c r="AB113" s="146">
        <v>7</v>
      </c>
      <c r="AC113" s="117">
        <f t="shared" si="118"/>
        <v>7</v>
      </c>
      <c r="AD113" s="10">
        <v>0</v>
      </c>
      <c r="AE113" s="10">
        <v>0</v>
      </c>
      <c r="AF113" s="117">
        <f t="shared" si="119"/>
        <v>0</v>
      </c>
      <c r="AG113" s="118">
        <f t="shared" si="120"/>
        <v>0</v>
      </c>
      <c r="AH113" s="80">
        <f t="shared" si="121"/>
        <v>7</v>
      </c>
      <c r="AI113" s="127">
        <f t="shared" si="155"/>
        <v>7</v>
      </c>
      <c r="AJ113" s="111">
        <v>0</v>
      </c>
      <c r="AK113" s="111">
        <v>0</v>
      </c>
      <c r="AL113" s="112">
        <f t="shared" ca="1" si="153"/>
        <v>0</v>
      </c>
      <c r="AM113" s="112">
        <f t="shared" si="154"/>
        <v>0</v>
      </c>
      <c r="AN113" s="80">
        <f t="shared" si="122"/>
        <v>7</v>
      </c>
      <c r="AO113" s="12">
        <f t="shared" si="123"/>
        <v>7</v>
      </c>
      <c r="AP113" s="10">
        <v>0</v>
      </c>
      <c r="AQ113" s="10">
        <v>0</v>
      </c>
      <c r="AR113" s="12">
        <f t="shared" si="124"/>
        <v>0</v>
      </c>
      <c r="AS113" s="12">
        <f t="shared" si="125"/>
        <v>0</v>
      </c>
      <c r="AT113" s="13">
        <f t="shared" si="126"/>
        <v>7</v>
      </c>
      <c r="AU113" s="12">
        <f t="shared" si="127"/>
        <v>7</v>
      </c>
      <c r="AV113" s="10">
        <v>0</v>
      </c>
      <c r="AW113" s="10">
        <v>0</v>
      </c>
      <c r="AX113" s="12">
        <f t="shared" si="128"/>
        <v>0</v>
      </c>
      <c r="AY113" s="12">
        <f t="shared" si="129"/>
        <v>0</v>
      </c>
      <c r="AZ113" s="32">
        <f t="shared" si="130"/>
        <v>7</v>
      </c>
      <c r="BA113" s="12">
        <f t="shared" si="131"/>
        <v>7</v>
      </c>
      <c r="BB113" s="10">
        <v>0</v>
      </c>
      <c r="BC113" s="10">
        <v>0</v>
      </c>
      <c r="BD113" s="12">
        <f t="shared" si="132"/>
        <v>0</v>
      </c>
      <c r="BE113" s="12">
        <f t="shared" si="133"/>
        <v>0</v>
      </c>
      <c r="BF113" s="48">
        <v>7</v>
      </c>
      <c r="BG113" s="12">
        <f t="shared" si="148"/>
        <v>7</v>
      </c>
      <c r="BH113" s="10">
        <v>0</v>
      </c>
      <c r="BI113" s="10">
        <v>0</v>
      </c>
      <c r="BJ113" s="33">
        <f t="shared" si="156"/>
        <v>0</v>
      </c>
      <c r="BK113" s="33">
        <f t="shared" si="157"/>
        <v>0</v>
      </c>
      <c r="BL113" s="48">
        <v>7</v>
      </c>
      <c r="BM113" s="12">
        <f t="shared" si="149"/>
        <v>7</v>
      </c>
      <c r="BN113" s="10">
        <v>0</v>
      </c>
      <c r="BO113" s="10">
        <v>0</v>
      </c>
      <c r="BP113" s="33">
        <f t="shared" si="158"/>
        <v>0</v>
      </c>
      <c r="BQ113" s="33">
        <f t="shared" si="159"/>
        <v>0</v>
      </c>
      <c r="BR113" s="48">
        <v>7</v>
      </c>
      <c r="BS113" s="12">
        <f t="shared" si="150"/>
        <v>7</v>
      </c>
      <c r="BT113" s="10">
        <v>0</v>
      </c>
      <c r="BU113" s="10">
        <v>0</v>
      </c>
      <c r="BV113" s="33">
        <f t="shared" si="160"/>
        <v>0</v>
      </c>
      <c r="BW113" s="33">
        <f t="shared" si="161"/>
        <v>0</v>
      </c>
      <c r="BX113" s="48">
        <v>7</v>
      </c>
      <c r="BY113" s="12">
        <f t="shared" si="151"/>
        <v>7</v>
      </c>
      <c r="BZ113" s="10">
        <v>0</v>
      </c>
      <c r="CA113" s="10">
        <v>0</v>
      </c>
      <c r="CB113" s="33">
        <f t="shared" si="162"/>
        <v>0</v>
      </c>
      <c r="CC113" s="33">
        <f t="shared" si="163"/>
        <v>0</v>
      </c>
      <c r="CD113" s="48">
        <v>7</v>
      </c>
      <c r="CE113" s="12">
        <f t="shared" si="152"/>
        <v>7</v>
      </c>
    </row>
    <row r="114" spans="1:83" ht="80.25" customHeight="1">
      <c r="A114" s="148" t="s">
        <v>389</v>
      </c>
      <c r="B114" s="155" t="s">
        <v>390</v>
      </c>
      <c r="C114" s="173" t="s">
        <v>391</v>
      </c>
      <c r="D114" s="156">
        <v>2013</v>
      </c>
      <c r="E114" s="154"/>
      <c r="F114" s="154"/>
      <c r="G114" s="154"/>
      <c r="H114" s="165">
        <v>10</v>
      </c>
      <c r="I114" s="159">
        <v>1</v>
      </c>
      <c r="J114" s="56">
        <v>0</v>
      </c>
      <c r="K114" s="33">
        <f t="shared" si="108"/>
        <v>0</v>
      </c>
      <c r="L114" s="10">
        <v>0</v>
      </c>
      <c r="M114" s="10">
        <v>0</v>
      </c>
      <c r="N114" s="33">
        <f t="shared" si="109"/>
        <v>0</v>
      </c>
      <c r="O114" s="33">
        <f t="shared" si="110"/>
        <v>0</v>
      </c>
      <c r="P114" s="56">
        <v>0</v>
      </c>
      <c r="Q114" s="33">
        <f t="shared" si="111"/>
        <v>0</v>
      </c>
      <c r="R114" s="56">
        <v>0</v>
      </c>
      <c r="S114" s="56">
        <v>0</v>
      </c>
      <c r="T114" s="33">
        <f t="shared" si="112"/>
        <v>0</v>
      </c>
      <c r="U114" s="33">
        <f t="shared" si="113"/>
        <v>0</v>
      </c>
      <c r="V114" s="56">
        <v>0</v>
      </c>
      <c r="W114" s="33">
        <f t="shared" si="114"/>
        <v>0</v>
      </c>
      <c r="X114" s="56">
        <v>0</v>
      </c>
      <c r="Y114" s="56">
        <v>0</v>
      </c>
      <c r="Z114" s="33">
        <f t="shared" si="115"/>
        <v>0</v>
      </c>
      <c r="AA114" s="33">
        <f t="shared" si="116"/>
        <v>0</v>
      </c>
      <c r="AB114" s="146">
        <v>10</v>
      </c>
      <c r="AC114" s="117">
        <f t="shared" si="118"/>
        <v>10</v>
      </c>
      <c r="AD114" s="10">
        <v>0</v>
      </c>
      <c r="AE114" s="10">
        <v>0</v>
      </c>
      <c r="AF114" s="117">
        <f t="shared" si="119"/>
        <v>0</v>
      </c>
      <c r="AG114" s="118">
        <f t="shared" si="120"/>
        <v>0</v>
      </c>
      <c r="AH114" s="80">
        <f t="shared" si="121"/>
        <v>10</v>
      </c>
      <c r="AI114" s="127">
        <f t="shared" si="155"/>
        <v>10</v>
      </c>
      <c r="AJ114" s="111">
        <v>0</v>
      </c>
      <c r="AK114" s="111">
        <v>0</v>
      </c>
      <c r="AL114" s="112">
        <f t="shared" ca="1" si="153"/>
        <v>0</v>
      </c>
      <c r="AM114" s="112">
        <f t="shared" si="154"/>
        <v>0</v>
      </c>
      <c r="AN114" s="80">
        <f t="shared" si="122"/>
        <v>10</v>
      </c>
      <c r="AO114" s="12">
        <f t="shared" si="123"/>
        <v>10</v>
      </c>
      <c r="AP114" s="10">
        <v>0</v>
      </c>
      <c r="AQ114" s="10">
        <v>0</v>
      </c>
      <c r="AR114" s="12">
        <f t="shared" si="124"/>
        <v>0</v>
      </c>
      <c r="AS114" s="12">
        <f t="shared" si="125"/>
        <v>0</v>
      </c>
      <c r="AT114" s="13">
        <f t="shared" si="126"/>
        <v>10</v>
      </c>
      <c r="AU114" s="12">
        <f t="shared" si="127"/>
        <v>10</v>
      </c>
      <c r="AV114" s="10">
        <v>0</v>
      </c>
      <c r="AW114" s="10">
        <v>0</v>
      </c>
      <c r="AX114" s="12">
        <f t="shared" si="128"/>
        <v>0</v>
      </c>
      <c r="AY114" s="12">
        <f t="shared" si="129"/>
        <v>0</v>
      </c>
      <c r="AZ114" s="32">
        <f t="shared" si="130"/>
        <v>10</v>
      </c>
      <c r="BA114" s="12">
        <f t="shared" si="131"/>
        <v>10</v>
      </c>
      <c r="BB114" s="10">
        <v>0</v>
      </c>
      <c r="BC114" s="10">
        <v>0</v>
      </c>
      <c r="BD114" s="12">
        <f t="shared" si="132"/>
        <v>0</v>
      </c>
      <c r="BE114" s="12">
        <f t="shared" si="133"/>
        <v>0</v>
      </c>
      <c r="BF114" s="48">
        <v>10</v>
      </c>
      <c r="BG114" s="12">
        <f t="shared" ref="BG114:BG132" si="164">AN114*I114</f>
        <v>10</v>
      </c>
      <c r="BH114" s="10">
        <v>0</v>
      </c>
      <c r="BI114" s="10">
        <v>0</v>
      </c>
      <c r="BJ114" s="33">
        <f t="shared" si="156"/>
        <v>0</v>
      </c>
      <c r="BK114" s="33">
        <f t="shared" si="157"/>
        <v>0</v>
      </c>
      <c r="BL114" s="48">
        <v>10</v>
      </c>
      <c r="BM114" s="12">
        <f t="shared" ref="BM114:BM132" si="165">AN114*I114</f>
        <v>10</v>
      </c>
      <c r="BN114" s="10">
        <v>0</v>
      </c>
      <c r="BO114" s="10">
        <v>0</v>
      </c>
      <c r="BP114" s="33">
        <f t="shared" si="158"/>
        <v>0</v>
      </c>
      <c r="BQ114" s="33">
        <f t="shared" si="159"/>
        <v>0</v>
      </c>
      <c r="BR114" s="48">
        <v>10</v>
      </c>
      <c r="BS114" s="12">
        <f t="shared" ref="BS114:BS132" si="166">AN114*I114</f>
        <v>10</v>
      </c>
      <c r="BT114" s="10">
        <v>0</v>
      </c>
      <c r="BU114" s="10">
        <v>0</v>
      </c>
      <c r="BV114" s="33">
        <f t="shared" si="160"/>
        <v>0</v>
      </c>
      <c r="BW114" s="33">
        <f t="shared" si="161"/>
        <v>0</v>
      </c>
      <c r="BX114" s="48">
        <v>10</v>
      </c>
      <c r="BY114" s="12">
        <f t="shared" ref="BY114:BY132" si="167">AN114*I114</f>
        <v>10</v>
      </c>
      <c r="BZ114" s="10">
        <v>0</v>
      </c>
      <c r="CA114" s="10">
        <v>0</v>
      </c>
      <c r="CB114" s="33">
        <f t="shared" si="162"/>
        <v>0</v>
      </c>
      <c r="CC114" s="33">
        <f t="shared" si="163"/>
        <v>0</v>
      </c>
      <c r="CD114" s="48">
        <v>10</v>
      </c>
      <c r="CE114" s="12">
        <f t="shared" ref="CE114:CE132" si="168">AN114*I114</f>
        <v>10</v>
      </c>
    </row>
    <row r="115" spans="1:83" ht="80.25" customHeight="1">
      <c r="A115" s="148" t="s">
        <v>392</v>
      </c>
      <c r="B115" s="155" t="s">
        <v>393</v>
      </c>
      <c r="C115" s="173" t="s">
        <v>394</v>
      </c>
      <c r="D115" s="156">
        <v>2011</v>
      </c>
      <c r="E115" s="154"/>
      <c r="F115" s="154"/>
      <c r="G115" s="154"/>
      <c r="H115" s="165">
        <v>2</v>
      </c>
      <c r="I115" s="159">
        <v>1</v>
      </c>
      <c r="J115" s="56">
        <v>0</v>
      </c>
      <c r="K115" s="33">
        <f t="shared" si="108"/>
        <v>0</v>
      </c>
      <c r="L115" s="10">
        <v>0</v>
      </c>
      <c r="M115" s="10">
        <v>0</v>
      </c>
      <c r="N115" s="33">
        <f t="shared" si="109"/>
        <v>0</v>
      </c>
      <c r="O115" s="33">
        <f t="shared" si="110"/>
        <v>0</v>
      </c>
      <c r="P115" s="56">
        <v>0</v>
      </c>
      <c r="Q115" s="33">
        <f t="shared" si="111"/>
        <v>0</v>
      </c>
      <c r="R115" s="56">
        <v>0</v>
      </c>
      <c r="S115" s="56">
        <v>0</v>
      </c>
      <c r="T115" s="33">
        <f t="shared" si="112"/>
        <v>0</v>
      </c>
      <c r="U115" s="33">
        <f t="shared" si="113"/>
        <v>0</v>
      </c>
      <c r="V115" s="56">
        <v>0</v>
      </c>
      <c r="W115" s="33">
        <f t="shared" si="114"/>
        <v>0</v>
      </c>
      <c r="X115" s="56">
        <v>0</v>
      </c>
      <c r="Y115" s="56">
        <v>0</v>
      </c>
      <c r="Z115" s="33">
        <f t="shared" si="115"/>
        <v>0</v>
      </c>
      <c r="AA115" s="33">
        <f t="shared" si="116"/>
        <v>0</v>
      </c>
      <c r="AB115" s="146">
        <v>2</v>
      </c>
      <c r="AC115" s="117">
        <f t="shared" si="118"/>
        <v>2</v>
      </c>
      <c r="AD115" s="10">
        <v>0</v>
      </c>
      <c r="AE115" s="10">
        <v>0</v>
      </c>
      <c r="AF115" s="117">
        <f t="shared" si="119"/>
        <v>0</v>
      </c>
      <c r="AG115" s="118">
        <f t="shared" si="120"/>
        <v>0</v>
      </c>
      <c r="AH115" s="80">
        <f t="shared" si="121"/>
        <v>2</v>
      </c>
      <c r="AI115" s="127">
        <f t="shared" si="155"/>
        <v>2</v>
      </c>
      <c r="AJ115" s="111">
        <v>0</v>
      </c>
      <c r="AK115" s="111">
        <v>0</v>
      </c>
      <c r="AL115" s="112">
        <f t="shared" ca="1" si="153"/>
        <v>0</v>
      </c>
      <c r="AM115" s="112">
        <f t="shared" si="154"/>
        <v>0</v>
      </c>
      <c r="AN115" s="80">
        <f t="shared" si="122"/>
        <v>2</v>
      </c>
      <c r="AO115" s="12">
        <f t="shared" si="123"/>
        <v>2</v>
      </c>
      <c r="AP115" s="10">
        <v>0</v>
      </c>
      <c r="AQ115" s="10">
        <v>0</v>
      </c>
      <c r="AR115" s="12">
        <f t="shared" si="124"/>
        <v>0</v>
      </c>
      <c r="AS115" s="12">
        <f t="shared" si="125"/>
        <v>0</v>
      </c>
      <c r="AT115" s="13">
        <f t="shared" si="126"/>
        <v>2</v>
      </c>
      <c r="AU115" s="12">
        <f t="shared" si="127"/>
        <v>2</v>
      </c>
      <c r="AV115" s="10">
        <v>0</v>
      </c>
      <c r="AW115" s="10">
        <v>0</v>
      </c>
      <c r="AX115" s="12">
        <f t="shared" si="128"/>
        <v>0</v>
      </c>
      <c r="AY115" s="12">
        <f t="shared" si="129"/>
        <v>0</v>
      </c>
      <c r="AZ115" s="32">
        <f t="shared" si="130"/>
        <v>2</v>
      </c>
      <c r="BA115" s="12">
        <f t="shared" si="131"/>
        <v>2</v>
      </c>
      <c r="BB115" s="10">
        <v>0</v>
      </c>
      <c r="BC115" s="10">
        <v>0</v>
      </c>
      <c r="BD115" s="12">
        <f t="shared" si="132"/>
        <v>0</v>
      </c>
      <c r="BE115" s="12">
        <f t="shared" si="133"/>
        <v>0</v>
      </c>
      <c r="BF115" s="48">
        <v>2</v>
      </c>
      <c r="BG115" s="12">
        <f t="shared" si="164"/>
        <v>2</v>
      </c>
      <c r="BH115" s="10">
        <v>0</v>
      </c>
      <c r="BI115" s="10">
        <v>0</v>
      </c>
      <c r="BJ115" s="33">
        <f t="shared" si="156"/>
        <v>0</v>
      </c>
      <c r="BK115" s="33">
        <f t="shared" si="157"/>
        <v>0</v>
      </c>
      <c r="BL115" s="48">
        <v>2</v>
      </c>
      <c r="BM115" s="12">
        <f t="shared" si="165"/>
        <v>2</v>
      </c>
      <c r="BN115" s="10">
        <v>0</v>
      </c>
      <c r="BO115" s="10">
        <v>0</v>
      </c>
      <c r="BP115" s="33">
        <f t="shared" si="158"/>
        <v>0</v>
      </c>
      <c r="BQ115" s="33">
        <f t="shared" si="159"/>
        <v>0</v>
      </c>
      <c r="BR115" s="48">
        <v>2</v>
      </c>
      <c r="BS115" s="12">
        <f t="shared" si="166"/>
        <v>2</v>
      </c>
      <c r="BT115" s="10">
        <v>0</v>
      </c>
      <c r="BU115" s="10">
        <v>0</v>
      </c>
      <c r="BV115" s="33">
        <f t="shared" si="160"/>
        <v>0</v>
      </c>
      <c r="BW115" s="33">
        <f t="shared" si="161"/>
        <v>0</v>
      </c>
      <c r="BX115" s="48">
        <v>2</v>
      </c>
      <c r="BY115" s="12">
        <f t="shared" si="167"/>
        <v>2</v>
      </c>
      <c r="BZ115" s="10">
        <v>0</v>
      </c>
      <c r="CA115" s="10">
        <v>0</v>
      </c>
      <c r="CB115" s="33">
        <f t="shared" si="162"/>
        <v>0</v>
      </c>
      <c r="CC115" s="33">
        <f t="shared" si="163"/>
        <v>0</v>
      </c>
      <c r="CD115" s="48">
        <v>2</v>
      </c>
      <c r="CE115" s="12">
        <f t="shared" si="168"/>
        <v>2</v>
      </c>
    </row>
    <row r="116" spans="1:83" ht="80.25" customHeight="1">
      <c r="A116" s="148" t="s">
        <v>255</v>
      </c>
      <c r="B116" s="155" t="s">
        <v>395</v>
      </c>
      <c r="C116" s="173" t="s">
        <v>396</v>
      </c>
      <c r="D116" s="156">
        <v>2010</v>
      </c>
      <c r="E116" s="154"/>
      <c r="F116" s="154"/>
      <c r="G116" s="154"/>
      <c r="H116" s="165">
        <v>10</v>
      </c>
      <c r="I116" s="159">
        <v>1</v>
      </c>
      <c r="J116" s="56">
        <v>0</v>
      </c>
      <c r="K116" s="33">
        <f t="shared" si="108"/>
        <v>0</v>
      </c>
      <c r="L116" s="10">
        <v>0</v>
      </c>
      <c r="M116" s="10">
        <v>0</v>
      </c>
      <c r="N116" s="33">
        <f t="shared" si="109"/>
        <v>0</v>
      </c>
      <c r="O116" s="33">
        <f t="shared" si="110"/>
        <v>0</v>
      </c>
      <c r="P116" s="56">
        <v>0</v>
      </c>
      <c r="Q116" s="33">
        <f t="shared" si="111"/>
        <v>0</v>
      </c>
      <c r="R116" s="56">
        <v>0</v>
      </c>
      <c r="S116" s="56">
        <v>0</v>
      </c>
      <c r="T116" s="33">
        <f t="shared" si="112"/>
        <v>0</v>
      </c>
      <c r="U116" s="33">
        <f t="shared" si="113"/>
        <v>0</v>
      </c>
      <c r="V116" s="56">
        <v>0</v>
      </c>
      <c r="W116" s="33">
        <f t="shared" si="114"/>
        <v>0</v>
      </c>
      <c r="X116" s="56">
        <v>0</v>
      </c>
      <c r="Y116" s="56">
        <v>0</v>
      </c>
      <c r="Z116" s="33">
        <f t="shared" si="115"/>
        <v>0</v>
      </c>
      <c r="AA116" s="33">
        <f t="shared" si="116"/>
        <v>0</v>
      </c>
      <c r="AB116" s="146">
        <v>10</v>
      </c>
      <c r="AC116" s="117">
        <f t="shared" si="118"/>
        <v>10</v>
      </c>
      <c r="AD116" s="10">
        <v>0</v>
      </c>
      <c r="AE116" s="10">
        <v>0</v>
      </c>
      <c r="AF116" s="117">
        <f t="shared" si="119"/>
        <v>0</v>
      </c>
      <c r="AG116" s="118">
        <f t="shared" si="120"/>
        <v>0</v>
      </c>
      <c r="AH116" s="80">
        <f t="shared" si="121"/>
        <v>10</v>
      </c>
      <c r="AI116" s="127">
        <f t="shared" si="155"/>
        <v>10</v>
      </c>
      <c r="AJ116" s="111">
        <v>0</v>
      </c>
      <c r="AK116" s="111">
        <v>0</v>
      </c>
      <c r="AL116" s="112">
        <f t="shared" ca="1" si="153"/>
        <v>0</v>
      </c>
      <c r="AM116" s="112">
        <f t="shared" si="154"/>
        <v>0</v>
      </c>
      <c r="AN116" s="80">
        <f t="shared" si="122"/>
        <v>10</v>
      </c>
      <c r="AO116" s="12">
        <f t="shared" si="123"/>
        <v>10</v>
      </c>
      <c r="AP116" s="10">
        <v>0</v>
      </c>
      <c r="AQ116" s="10">
        <v>0</v>
      </c>
      <c r="AR116" s="12">
        <f t="shared" si="124"/>
        <v>0</v>
      </c>
      <c r="AS116" s="12">
        <f t="shared" si="125"/>
        <v>0</v>
      </c>
      <c r="AT116" s="13">
        <f t="shared" si="126"/>
        <v>10</v>
      </c>
      <c r="AU116" s="12">
        <f t="shared" si="127"/>
        <v>10</v>
      </c>
      <c r="AV116" s="10">
        <v>0</v>
      </c>
      <c r="AW116" s="10">
        <v>0</v>
      </c>
      <c r="AX116" s="12">
        <f t="shared" si="128"/>
        <v>0</v>
      </c>
      <c r="AY116" s="12">
        <f t="shared" si="129"/>
        <v>0</v>
      </c>
      <c r="AZ116" s="32">
        <f t="shared" si="130"/>
        <v>10</v>
      </c>
      <c r="BA116" s="12">
        <f t="shared" si="131"/>
        <v>10</v>
      </c>
      <c r="BB116" s="10">
        <v>0</v>
      </c>
      <c r="BC116" s="10">
        <v>0</v>
      </c>
      <c r="BD116" s="12">
        <f t="shared" si="132"/>
        <v>0</v>
      </c>
      <c r="BE116" s="12">
        <f t="shared" si="133"/>
        <v>0</v>
      </c>
      <c r="BF116" s="48">
        <v>10</v>
      </c>
      <c r="BG116" s="12">
        <f t="shared" si="164"/>
        <v>10</v>
      </c>
      <c r="BH116" s="10">
        <v>0</v>
      </c>
      <c r="BI116" s="10">
        <v>0</v>
      </c>
      <c r="BJ116" s="33">
        <f t="shared" si="156"/>
        <v>0</v>
      </c>
      <c r="BK116" s="33">
        <f t="shared" si="157"/>
        <v>0</v>
      </c>
      <c r="BL116" s="48">
        <v>10</v>
      </c>
      <c r="BM116" s="12">
        <f t="shared" si="165"/>
        <v>10</v>
      </c>
      <c r="BN116" s="10">
        <v>0</v>
      </c>
      <c r="BO116" s="10">
        <v>0</v>
      </c>
      <c r="BP116" s="33">
        <f t="shared" si="158"/>
        <v>0</v>
      </c>
      <c r="BQ116" s="33">
        <f t="shared" si="159"/>
        <v>0</v>
      </c>
      <c r="BR116" s="48">
        <v>10</v>
      </c>
      <c r="BS116" s="12">
        <f t="shared" si="166"/>
        <v>10</v>
      </c>
      <c r="BT116" s="10">
        <v>0</v>
      </c>
      <c r="BU116" s="10">
        <v>0</v>
      </c>
      <c r="BV116" s="33">
        <f t="shared" si="160"/>
        <v>0</v>
      </c>
      <c r="BW116" s="33">
        <f t="shared" si="161"/>
        <v>0</v>
      </c>
      <c r="BX116" s="48">
        <v>10</v>
      </c>
      <c r="BY116" s="12">
        <f t="shared" si="167"/>
        <v>10</v>
      </c>
      <c r="BZ116" s="10">
        <v>0</v>
      </c>
      <c r="CA116" s="10">
        <v>0</v>
      </c>
      <c r="CB116" s="33">
        <f t="shared" si="162"/>
        <v>0</v>
      </c>
      <c r="CC116" s="33">
        <f t="shared" si="163"/>
        <v>0</v>
      </c>
      <c r="CD116" s="48">
        <v>10</v>
      </c>
      <c r="CE116" s="12">
        <f t="shared" si="168"/>
        <v>10</v>
      </c>
    </row>
    <row r="117" spans="1:83" ht="80.25" customHeight="1">
      <c r="A117" s="148" t="s">
        <v>167</v>
      </c>
      <c r="B117" s="155" t="s">
        <v>397</v>
      </c>
      <c r="C117" s="173" t="s">
        <v>398</v>
      </c>
      <c r="D117" s="156">
        <v>2014</v>
      </c>
      <c r="E117" s="154"/>
      <c r="F117" s="154"/>
      <c r="G117" s="154"/>
      <c r="H117" s="165">
        <v>260</v>
      </c>
      <c r="I117" s="159">
        <v>1</v>
      </c>
      <c r="J117" s="56">
        <v>0</v>
      </c>
      <c r="K117" s="33">
        <f t="shared" si="108"/>
        <v>0</v>
      </c>
      <c r="L117" s="10">
        <v>0</v>
      </c>
      <c r="M117" s="10">
        <v>0</v>
      </c>
      <c r="N117" s="33">
        <f t="shared" si="109"/>
        <v>0</v>
      </c>
      <c r="O117" s="33">
        <f t="shared" si="110"/>
        <v>0</v>
      </c>
      <c r="P117" s="56">
        <v>0</v>
      </c>
      <c r="Q117" s="33">
        <f t="shared" si="111"/>
        <v>0</v>
      </c>
      <c r="R117" s="56">
        <v>0</v>
      </c>
      <c r="S117" s="56">
        <v>0</v>
      </c>
      <c r="T117" s="33">
        <f t="shared" si="112"/>
        <v>0</v>
      </c>
      <c r="U117" s="33">
        <f t="shared" si="113"/>
        <v>0</v>
      </c>
      <c r="V117" s="56">
        <v>0</v>
      </c>
      <c r="W117" s="33">
        <f t="shared" si="114"/>
        <v>0</v>
      </c>
      <c r="X117" s="56">
        <v>0</v>
      </c>
      <c r="Y117" s="56">
        <v>0</v>
      </c>
      <c r="Z117" s="33">
        <f t="shared" si="115"/>
        <v>0</v>
      </c>
      <c r="AA117" s="33">
        <f t="shared" si="116"/>
        <v>0</v>
      </c>
      <c r="AB117" s="146">
        <v>260</v>
      </c>
      <c r="AC117" s="117">
        <f t="shared" si="118"/>
        <v>260</v>
      </c>
      <c r="AD117" s="10">
        <v>0</v>
      </c>
      <c r="AE117" s="10">
        <v>0</v>
      </c>
      <c r="AF117" s="117">
        <f t="shared" si="119"/>
        <v>0</v>
      </c>
      <c r="AG117" s="118">
        <f t="shared" si="120"/>
        <v>0</v>
      </c>
      <c r="AH117" s="80">
        <f t="shared" si="121"/>
        <v>260</v>
      </c>
      <c r="AI117" s="127">
        <f t="shared" si="155"/>
        <v>260</v>
      </c>
      <c r="AJ117" s="111">
        <v>0</v>
      </c>
      <c r="AK117" s="111">
        <v>0</v>
      </c>
      <c r="AL117" s="112">
        <f t="shared" ca="1" si="153"/>
        <v>0</v>
      </c>
      <c r="AM117" s="112">
        <f t="shared" si="154"/>
        <v>0</v>
      </c>
      <c r="AN117" s="80">
        <f t="shared" si="122"/>
        <v>260</v>
      </c>
      <c r="AO117" s="12">
        <f t="shared" si="123"/>
        <v>260</v>
      </c>
      <c r="AP117" s="10">
        <v>0</v>
      </c>
      <c r="AQ117" s="10">
        <v>0</v>
      </c>
      <c r="AR117" s="12">
        <f t="shared" si="124"/>
        <v>0</v>
      </c>
      <c r="AS117" s="12">
        <f t="shared" si="125"/>
        <v>0</v>
      </c>
      <c r="AT117" s="13">
        <f t="shared" si="126"/>
        <v>260</v>
      </c>
      <c r="AU117" s="12">
        <f t="shared" si="127"/>
        <v>260</v>
      </c>
      <c r="AV117" s="10">
        <v>0</v>
      </c>
      <c r="AW117" s="10">
        <v>0</v>
      </c>
      <c r="AX117" s="12">
        <f t="shared" si="128"/>
        <v>0</v>
      </c>
      <c r="AY117" s="12">
        <f t="shared" si="129"/>
        <v>0</v>
      </c>
      <c r="AZ117" s="32">
        <f t="shared" si="130"/>
        <v>260</v>
      </c>
      <c r="BA117" s="12">
        <f t="shared" si="131"/>
        <v>260</v>
      </c>
      <c r="BB117" s="10">
        <v>0</v>
      </c>
      <c r="BC117" s="10">
        <v>0</v>
      </c>
      <c r="BD117" s="12">
        <f t="shared" si="132"/>
        <v>0</v>
      </c>
      <c r="BE117" s="12">
        <f t="shared" si="133"/>
        <v>0</v>
      </c>
      <c r="BF117" s="48">
        <v>260</v>
      </c>
      <c r="BG117" s="12">
        <f t="shared" si="164"/>
        <v>260</v>
      </c>
      <c r="BH117" s="10">
        <v>0</v>
      </c>
      <c r="BI117" s="10">
        <v>0</v>
      </c>
      <c r="BJ117" s="33">
        <f t="shared" si="156"/>
        <v>0</v>
      </c>
      <c r="BK117" s="33">
        <f t="shared" si="157"/>
        <v>0</v>
      </c>
      <c r="BL117" s="48">
        <v>260</v>
      </c>
      <c r="BM117" s="12">
        <f t="shared" si="165"/>
        <v>260</v>
      </c>
      <c r="BN117" s="10">
        <v>0</v>
      </c>
      <c r="BO117" s="10">
        <v>0</v>
      </c>
      <c r="BP117" s="33">
        <f t="shared" si="158"/>
        <v>0</v>
      </c>
      <c r="BQ117" s="33">
        <f t="shared" si="159"/>
        <v>0</v>
      </c>
      <c r="BR117" s="48">
        <v>260</v>
      </c>
      <c r="BS117" s="12">
        <f t="shared" si="166"/>
        <v>260</v>
      </c>
      <c r="BT117" s="10">
        <v>0</v>
      </c>
      <c r="BU117" s="10">
        <v>0</v>
      </c>
      <c r="BV117" s="33">
        <f t="shared" si="160"/>
        <v>0</v>
      </c>
      <c r="BW117" s="33">
        <f t="shared" si="161"/>
        <v>0</v>
      </c>
      <c r="BX117" s="48">
        <v>260</v>
      </c>
      <c r="BY117" s="12">
        <f t="shared" si="167"/>
        <v>260</v>
      </c>
      <c r="BZ117" s="10">
        <v>0</v>
      </c>
      <c r="CA117" s="10">
        <v>0</v>
      </c>
      <c r="CB117" s="33">
        <f t="shared" si="162"/>
        <v>0</v>
      </c>
      <c r="CC117" s="33">
        <f t="shared" si="163"/>
        <v>0</v>
      </c>
      <c r="CD117" s="48">
        <v>260</v>
      </c>
      <c r="CE117" s="12">
        <f t="shared" si="168"/>
        <v>260</v>
      </c>
    </row>
    <row r="118" spans="1:83" ht="80.25" customHeight="1">
      <c r="A118" s="148" t="s">
        <v>74</v>
      </c>
      <c r="B118" s="155" t="s">
        <v>399</v>
      </c>
      <c r="C118" s="173" t="s">
        <v>400</v>
      </c>
      <c r="D118" s="156">
        <v>2013</v>
      </c>
      <c r="E118" s="154"/>
      <c r="F118" s="154"/>
      <c r="G118" s="154"/>
      <c r="H118" s="165">
        <v>53</v>
      </c>
      <c r="I118" s="159">
        <v>1</v>
      </c>
      <c r="J118" s="56">
        <v>0</v>
      </c>
      <c r="K118" s="33">
        <f t="shared" si="108"/>
        <v>0</v>
      </c>
      <c r="L118" s="10">
        <v>0</v>
      </c>
      <c r="M118" s="10">
        <v>0</v>
      </c>
      <c r="N118" s="33">
        <f t="shared" si="109"/>
        <v>0</v>
      </c>
      <c r="O118" s="33">
        <f t="shared" si="110"/>
        <v>0</v>
      </c>
      <c r="P118" s="56">
        <v>0</v>
      </c>
      <c r="Q118" s="33">
        <f t="shared" si="111"/>
        <v>0</v>
      </c>
      <c r="R118" s="56">
        <v>0</v>
      </c>
      <c r="S118" s="56">
        <v>0</v>
      </c>
      <c r="T118" s="33">
        <f t="shared" si="112"/>
        <v>0</v>
      </c>
      <c r="U118" s="33">
        <f t="shared" si="113"/>
        <v>0</v>
      </c>
      <c r="V118" s="56">
        <v>0</v>
      </c>
      <c r="W118" s="33">
        <f t="shared" si="114"/>
        <v>0</v>
      </c>
      <c r="X118" s="56">
        <v>0</v>
      </c>
      <c r="Y118" s="56">
        <v>0</v>
      </c>
      <c r="Z118" s="33">
        <f t="shared" si="115"/>
        <v>0</v>
      </c>
      <c r="AA118" s="33">
        <f t="shared" si="116"/>
        <v>0</v>
      </c>
      <c r="AB118" s="146">
        <v>53</v>
      </c>
      <c r="AC118" s="117">
        <f t="shared" si="118"/>
        <v>53</v>
      </c>
      <c r="AD118" s="10">
        <v>0</v>
      </c>
      <c r="AE118" s="10">
        <v>0</v>
      </c>
      <c r="AF118" s="117">
        <f t="shared" si="119"/>
        <v>0</v>
      </c>
      <c r="AG118" s="118">
        <f t="shared" si="120"/>
        <v>0</v>
      </c>
      <c r="AH118" s="80">
        <f t="shared" si="121"/>
        <v>53</v>
      </c>
      <c r="AI118" s="127">
        <f t="shared" si="155"/>
        <v>53</v>
      </c>
      <c r="AJ118" s="111">
        <v>0</v>
      </c>
      <c r="AK118" s="111">
        <v>0</v>
      </c>
      <c r="AL118" s="112">
        <f t="shared" ca="1" si="153"/>
        <v>0</v>
      </c>
      <c r="AM118" s="112">
        <f t="shared" si="154"/>
        <v>0</v>
      </c>
      <c r="AN118" s="80">
        <f t="shared" si="122"/>
        <v>53</v>
      </c>
      <c r="AO118" s="12">
        <f t="shared" si="123"/>
        <v>53</v>
      </c>
      <c r="AP118" s="10">
        <v>0</v>
      </c>
      <c r="AQ118" s="10">
        <v>0</v>
      </c>
      <c r="AR118" s="12">
        <f t="shared" si="124"/>
        <v>0</v>
      </c>
      <c r="AS118" s="12">
        <f t="shared" si="125"/>
        <v>0</v>
      </c>
      <c r="AT118" s="13">
        <f t="shared" si="126"/>
        <v>53</v>
      </c>
      <c r="AU118" s="12">
        <f t="shared" si="127"/>
        <v>53</v>
      </c>
      <c r="AV118" s="10">
        <v>0</v>
      </c>
      <c r="AW118" s="10">
        <v>0</v>
      </c>
      <c r="AX118" s="12">
        <f t="shared" si="128"/>
        <v>0</v>
      </c>
      <c r="AY118" s="12">
        <f t="shared" si="129"/>
        <v>0</v>
      </c>
      <c r="AZ118" s="32">
        <f t="shared" si="130"/>
        <v>53</v>
      </c>
      <c r="BA118" s="12">
        <f t="shared" si="131"/>
        <v>53</v>
      </c>
      <c r="BB118" s="10">
        <v>0</v>
      </c>
      <c r="BC118" s="10">
        <v>0</v>
      </c>
      <c r="BD118" s="12">
        <f t="shared" si="132"/>
        <v>0</v>
      </c>
      <c r="BE118" s="12">
        <f t="shared" si="133"/>
        <v>0</v>
      </c>
      <c r="BF118" s="48">
        <v>53</v>
      </c>
      <c r="BG118" s="12">
        <f t="shared" si="164"/>
        <v>53</v>
      </c>
      <c r="BH118" s="10">
        <v>0</v>
      </c>
      <c r="BI118" s="10">
        <v>0</v>
      </c>
      <c r="BJ118" s="33">
        <f t="shared" si="156"/>
        <v>0</v>
      </c>
      <c r="BK118" s="33">
        <f t="shared" si="157"/>
        <v>0</v>
      </c>
      <c r="BL118" s="48">
        <v>53</v>
      </c>
      <c r="BM118" s="12">
        <f t="shared" si="165"/>
        <v>53</v>
      </c>
      <c r="BN118" s="10">
        <v>0</v>
      </c>
      <c r="BO118" s="10">
        <v>0</v>
      </c>
      <c r="BP118" s="33">
        <f t="shared" si="158"/>
        <v>0</v>
      </c>
      <c r="BQ118" s="33">
        <f t="shared" si="159"/>
        <v>0</v>
      </c>
      <c r="BR118" s="48">
        <v>53</v>
      </c>
      <c r="BS118" s="12">
        <f t="shared" si="166"/>
        <v>53</v>
      </c>
      <c r="BT118" s="10">
        <v>0</v>
      </c>
      <c r="BU118" s="10">
        <v>0</v>
      </c>
      <c r="BV118" s="33">
        <f t="shared" si="160"/>
        <v>0</v>
      </c>
      <c r="BW118" s="33">
        <f t="shared" si="161"/>
        <v>0</v>
      </c>
      <c r="BX118" s="48">
        <v>53</v>
      </c>
      <c r="BY118" s="12">
        <f t="shared" si="167"/>
        <v>53</v>
      </c>
      <c r="BZ118" s="10">
        <v>0</v>
      </c>
      <c r="CA118" s="10">
        <v>0</v>
      </c>
      <c r="CB118" s="33">
        <f t="shared" si="162"/>
        <v>0</v>
      </c>
      <c r="CC118" s="33">
        <f t="shared" si="163"/>
        <v>0</v>
      </c>
      <c r="CD118" s="48">
        <v>53</v>
      </c>
      <c r="CE118" s="12">
        <f t="shared" si="168"/>
        <v>53</v>
      </c>
    </row>
    <row r="119" spans="1:83" ht="80.25" customHeight="1">
      <c r="A119" s="148" t="s">
        <v>401</v>
      </c>
      <c r="B119" s="155" t="s">
        <v>402</v>
      </c>
      <c r="C119" s="174" t="s">
        <v>403</v>
      </c>
      <c r="D119" s="157">
        <v>2008</v>
      </c>
      <c r="E119" s="154"/>
      <c r="F119" s="154"/>
      <c r="G119" s="154"/>
      <c r="H119" s="165">
        <v>2</v>
      </c>
      <c r="I119" s="159">
        <v>1</v>
      </c>
      <c r="J119" s="56">
        <v>0</v>
      </c>
      <c r="K119" s="33">
        <f t="shared" si="108"/>
        <v>0</v>
      </c>
      <c r="L119" s="10">
        <v>0</v>
      </c>
      <c r="M119" s="10">
        <v>0</v>
      </c>
      <c r="N119" s="33">
        <f t="shared" si="109"/>
        <v>0</v>
      </c>
      <c r="O119" s="33">
        <f t="shared" si="110"/>
        <v>0</v>
      </c>
      <c r="P119" s="56">
        <v>0</v>
      </c>
      <c r="Q119" s="33">
        <f t="shared" si="111"/>
        <v>0</v>
      </c>
      <c r="R119" s="56">
        <v>0</v>
      </c>
      <c r="S119" s="56">
        <v>0</v>
      </c>
      <c r="T119" s="33">
        <f t="shared" si="112"/>
        <v>0</v>
      </c>
      <c r="U119" s="33">
        <f t="shared" si="113"/>
        <v>0</v>
      </c>
      <c r="V119" s="56">
        <v>0</v>
      </c>
      <c r="W119" s="33">
        <f t="shared" si="114"/>
        <v>0</v>
      </c>
      <c r="X119" s="56">
        <v>0</v>
      </c>
      <c r="Y119" s="56">
        <v>0</v>
      </c>
      <c r="Z119" s="33">
        <f t="shared" si="115"/>
        <v>0</v>
      </c>
      <c r="AA119" s="33">
        <f t="shared" si="116"/>
        <v>0</v>
      </c>
      <c r="AB119" s="146">
        <v>2</v>
      </c>
      <c r="AC119" s="117">
        <f t="shared" si="118"/>
        <v>2</v>
      </c>
      <c r="AD119" s="10">
        <v>0</v>
      </c>
      <c r="AE119" s="10">
        <v>0</v>
      </c>
      <c r="AF119" s="117">
        <f t="shared" si="119"/>
        <v>0</v>
      </c>
      <c r="AG119" s="118">
        <f t="shared" si="120"/>
        <v>0</v>
      </c>
      <c r="AH119" s="80">
        <f t="shared" si="121"/>
        <v>2</v>
      </c>
      <c r="AI119" s="127">
        <f t="shared" si="155"/>
        <v>2</v>
      </c>
      <c r="AJ119" s="111">
        <v>0</v>
      </c>
      <c r="AK119" s="111">
        <v>0</v>
      </c>
      <c r="AL119" s="112">
        <f t="shared" ca="1" si="153"/>
        <v>0</v>
      </c>
      <c r="AM119" s="112">
        <f t="shared" si="154"/>
        <v>0</v>
      </c>
      <c r="AN119" s="80">
        <f t="shared" si="122"/>
        <v>2</v>
      </c>
      <c r="AO119" s="12">
        <f t="shared" si="123"/>
        <v>2</v>
      </c>
      <c r="AP119" s="10">
        <v>0</v>
      </c>
      <c r="AQ119" s="10">
        <v>0</v>
      </c>
      <c r="AR119" s="12">
        <f t="shared" si="124"/>
        <v>0</v>
      </c>
      <c r="AS119" s="12">
        <f t="shared" si="125"/>
        <v>0</v>
      </c>
      <c r="AT119" s="13">
        <f t="shared" si="126"/>
        <v>2</v>
      </c>
      <c r="AU119" s="12">
        <f t="shared" si="127"/>
        <v>2</v>
      </c>
      <c r="AV119" s="10">
        <v>0</v>
      </c>
      <c r="AW119" s="10">
        <v>0</v>
      </c>
      <c r="AX119" s="12">
        <f t="shared" si="128"/>
        <v>0</v>
      </c>
      <c r="AY119" s="12">
        <f t="shared" si="129"/>
        <v>0</v>
      </c>
      <c r="AZ119" s="32">
        <f t="shared" si="130"/>
        <v>2</v>
      </c>
      <c r="BA119" s="12">
        <f t="shared" si="131"/>
        <v>2</v>
      </c>
      <c r="BB119" s="10">
        <v>0</v>
      </c>
      <c r="BC119" s="10">
        <v>0</v>
      </c>
      <c r="BD119" s="12">
        <f t="shared" si="132"/>
        <v>0</v>
      </c>
      <c r="BE119" s="12">
        <f t="shared" si="133"/>
        <v>0</v>
      </c>
      <c r="BF119" s="48">
        <v>2</v>
      </c>
      <c r="BG119" s="12">
        <f t="shared" si="164"/>
        <v>2</v>
      </c>
      <c r="BH119" s="10">
        <v>0</v>
      </c>
      <c r="BI119" s="10">
        <v>0</v>
      </c>
      <c r="BJ119" s="33">
        <f t="shared" si="156"/>
        <v>0</v>
      </c>
      <c r="BK119" s="33">
        <f t="shared" si="157"/>
        <v>0</v>
      </c>
      <c r="BL119" s="48">
        <v>2</v>
      </c>
      <c r="BM119" s="12">
        <f t="shared" si="165"/>
        <v>2</v>
      </c>
      <c r="BN119" s="10">
        <v>0</v>
      </c>
      <c r="BO119" s="10">
        <v>0</v>
      </c>
      <c r="BP119" s="33">
        <f t="shared" si="158"/>
        <v>0</v>
      </c>
      <c r="BQ119" s="33">
        <f t="shared" si="159"/>
        <v>0</v>
      </c>
      <c r="BR119" s="48">
        <v>2</v>
      </c>
      <c r="BS119" s="12">
        <f t="shared" si="166"/>
        <v>2</v>
      </c>
      <c r="BT119" s="10">
        <v>0</v>
      </c>
      <c r="BU119" s="10">
        <v>0</v>
      </c>
      <c r="BV119" s="33">
        <f t="shared" si="160"/>
        <v>0</v>
      </c>
      <c r="BW119" s="33">
        <f t="shared" si="161"/>
        <v>0</v>
      </c>
      <c r="BX119" s="48">
        <v>2</v>
      </c>
      <c r="BY119" s="12">
        <f t="shared" si="167"/>
        <v>2</v>
      </c>
      <c r="BZ119" s="10">
        <v>0</v>
      </c>
      <c r="CA119" s="10">
        <v>0</v>
      </c>
      <c r="CB119" s="33">
        <f t="shared" si="162"/>
        <v>0</v>
      </c>
      <c r="CC119" s="33">
        <f t="shared" si="163"/>
        <v>0</v>
      </c>
      <c r="CD119" s="48">
        <v>2</v>
      </c>
      <c r="CE119" s="12">
        <f t="shared" si="168"/>
        <v>2</v>
      </c>
    </row>
    <row r="120" spans="1:83" ht="80.25" customHeight="1">
      <c r="A120" s="148" t="s">
        <v>404</v>
      </c>
      <c r="B120" s="155" t="s">
        <v>405</v>
      </c>
      <c r="C120" s="174" t="s">
        <v>406</v>
      </c>
      <c r="D120" s="157">
        <v>2009</v>
      </c>
      <c r="E120" s="154"/>
      <c r="F120" s="154"/>
      <c r="G120" s="154"/>
      <c r="H120" s="165">
        <v>11</v>
      </c>
      <c r="I120" s="159">
        <v>1</v>
      </c>
      <c r="J120" s="56">
        <v>0</v>
      </c>
      <c r="K120" s="33">
        <f t="shared" si="108"/>
        <v>0</v>
      </c>
      <c r="L120" s="10">
        <v>0</v>
      </c>
      <c r="M120" s="10">
        <v>0</v>
      </c>
      <c r="N120" s="33">
        <f t="shared" si="109"/>
        <v>0</v>
      </c>
      <c r="O120" s="33">
        <f t="shared" si="110"/>
        <v>0</v>
      </c>
      <c r="P120" s="56">
        <v>0</v>
      </c>
      <c r="Q120" s="33">
        <f t="shared" si="111"/>
        <v>0</v>
      </c>
      <c r="R120" s="56">
        <v>0</v>
      </c>
      <c r="S120" s="56">
        <v>0</v>
      </c>
      <c r="T120" s="33">
        <f t="shared" si="112"/>
        <v>0</v>
      </c>
      <c r="U120" s="33">
        <f t="shared" si="113"/>
        <v>0</v>
      </c>
      <c r="V120" s="56">
        <v>0</v>
      </c>
      <c r="W120" s="33">
        <f t="shared" si="114"/>
        <v>0</v>
      </c>
      <c r="X120" s="56">
        <v>0</v>
      </c>
      <c r="Y120" s="56">
        <v>0</v>
      </c>
      <c r="Z120" s="33">
        <f t="shared" si="115"/>
        <v>0</v>
      </c>
      <c r="AA120" s="33">
        <f t="shared" si="116"/>
        <v>0</v>
      </c>
      <c r="AB120" s="146">
        <v>11</v>
      </c>
      <c r="AC120" s="117">
        <f t="shared" si="118"/>
        <v>11</v>
      </c>
      <c r="AD120" s="10">
        <v>0</v>
      </c>
      <c r="AE120" s="10">
        <v>0</v>
      </c>
      <c r="AF120" s="117">
        <f t="shared" si="119"/>
        <v>0</v>
      </c>
      <c r="AG120" s="118">
        <f t="shared" si="120"/>
        <v>0</v>
      </c>
      <c r="AH120" s="80">
        <f t="shared" si="121"/>
        <v>11</v>
      </c>
      <c r="AI120" s="127">
        <f t="shared" si="155"/>
        <v>11</v>
      </c>
      <c r="AJ120" s="111">
        <v>0</v>
      </c>
      <c r="AK120" s="111">
        <v>0</v>
      </c>
      <c r="AL120" s="112">
        <f t="shared" ca="1" si="153"/>
        <v>0</v>
      </c>
      <c r="AM120" s="112">
        <f t="shared" si="154"/>
        <v>0</v>
      </c>
      <c r="AN120" s="80">
        <f t="shared" si="122"/>
        <v>11</v>
      </c>
      <c r="AO120" s="12">
        <f t="shared" si="123"/>
        <v>11</v>
      </c>
      <c r="AP120" s="10">
        <v>0</v>
      </c>
      <c r="AQ120" s="10">
        <v>0</v>
      </c>
      <c r="AR120" s="12">
        <f t="shared" si="124"/>
        <v>0</v>
      </c>
      <c r="AS120" s="12">
        <f t="shared" si="125"/>
        <v>0</v>
      </c>
      <c r="AT120" s="13">
        <f t="shared" si="126"/>
        <v>11</v>
      </c>
      <c r="AU120" s="12">
        <f t="shared" si="127"/>
        <v>11</v>
      </c>
      <c r="AV120" s="10">
        <v>0</v>
      </c>
      <c r="AW120" s="10">
        <v>0</v>
      </c>
      <c r="AX120" s="12">
        <f t="shared" si="128"/>
        <v>0</v>
      </c>
      <c r="AY120" s="12">
        <f t="shared" si="129"/>
        <v>0</v>
      </c>
      <c r="AZ120" s="32">
        <f t="shared" si="130"/>
        <v>11</v>
      </c>
      <c r="BA120" s="12">
        <f t="shared" si="131"/>
        <v>11</v>
      </c>
      <c r="BB120" s="10">
        <v>0</v>
      </c>
      <c r="BC120" s="10">
        <v>0</v>
      </c>
      <c r="BD120" s="12">
        <f t="shared" si="132"/>
        <v>0</v>
      </c>
      <c r="BE120" s="12">
        <f t="shared" si="133"/>
        <v>0</v>
      </c>
      <c r="BF120" s="48">
        <v>11</v>
      </c>
      <c r="BG120" s="12">
        <f t="shared" si="164"/>
        <v>11</v>
      </c>
      <c r="BH120" s="10">
        <v>0</v>
      </c>
      <c r="BI120" s="10">
        <v>0</v>
      </c>
      <c r="BJ120" s="33">
        <f t="shared" si="156"/>
        <v>0</v>
      </c>
      <c r="BK120" s="33">
        <f t="shared" si="157"/>
        <v>0</v>
      </c>
      <c r="BL120" s="48">
        <v>11</v>
      </c>
      <c r="BM120" s="12">
        <f t="shared" si="165"/>
        <v>11</v>
      </c>
      <c r="BN120" s="10">
        <v>0</v>
      </c>
      <c r="BO120" s="10">
        <v>0</v>
      </c>
      <c r="BP120" s="33">
        <f t="shared" si="158"/>
        <v>0</v>
      </c>
      <c r="BQ120" s="33">
        <f t="shared" si="159"/>
        <v>0</v>
      </c>
      <c r="BR120" s="48">
        <v>11</v>
      </c>
      <c r="BS120" s="12">
        <f t="shared" si="166"/>
        <v>11</v>
      </c>
      <c r="BT120" s="10">
        <v>0</v>
      </c>
      <c r="BU120" s="10">
        <v>0</v>
      </c>
      <c r="BV120" s="33">
        <f t="shared" si="160"/>
        <v>0</v>
      </c>
      <c r="BW120" s="33">
        <f t="shared" si="161"/>
        <v>0</v>
      </c>
      <c r="BX120" s="48">
        <v>11</v>
      </c>
      <c r="BY120" s="12">
        <f t="shared" si="167"/>
        <v>11</v>
      </c>
      <c r="BZ120" s="10">
        <v>0</v>
      </c>
      <c r="CA120" s="10">
        <v>0</v>
      </c>
      <c r="CB120" s="33">
        <f t="shared" si="162"/>
        <v>0</v>
      </c>
      <c r="CC120" s="33">
        <f t="shared" si="163"/>
        <v>0</v>
      </c>
      <c r="CD120" s="48">
        <v>11</v>
      </c>
      <c r="CE120" s="12">
        <f t="shared" si="168"/>
        <v>11</v>
      </c>
    </row>
    <row r="121" spans="1:83" ht="80.25" customHeight="1">
      <c r="A121" s="148" t="s">
        <v>407</v>
      </c>
      <c r="B121" s="155" t="s">
        <v>408</v>
      </c>
      <c r="C121" s="174" t="s">
        <v>409</v>
      </c>
      <c r="D121" s="157">
        <v>2004</v>
      </c>
      <c r="E121" s="154"/>
      <c r="F121" s="154"/>
      <c r="G121" s="154"/>
      <c r="H121" s="165">
        <v>9</v>
      </c>
      <c r="I121" s="159">
        <v>1</v>
      </c>
      <c r="J121" s="56">
        <v>0</v>
      </c>
      <c r="K121" s="33">
        <f t="shared" si="108"/>
        <v>0</v>
      </c>
      <c r="L121" s="10">
        <v>0</v>
      </c>
      <c r="M121" s="10">
        <v>0</v>
      </c>
      <c r="N121" s="33">
        <f t="shared" si="109"/>
        <v>0</v>
      </c>
      <c r="O121" s="33">
        <f t="shared" si="110"/>
        <v>0</v>
      </c>
      <c r="P121" s="56">
        <v>0</v>
      </c>
      <c r="Q121" s="33">
        <f t="shared" si="111"/>
        <v>0</v>
      </c>
      <c r="R121" s="56">
        <v>0</v>
      </c>
      <c r="S121" s="56">
        <v>0</v>
      </c>
      <c r="T121" s="33">
        <f t="shared" si="112"/>
        <v>0</v>
      </c>
      <c r="U121" s="33">
        <f t="shared" si="113"/>
        <v>0</v>
      </c>
      <c r="V121" s="56">
        <v>0</v>
      </c>
      <c r="W121" s="33">
        <f t="shared" si="114"/>
        <v>0</v>
      </c>
      <c r="X121" s="56">
        <v>0</v>
      </c>
      <c r="Y121" s="56">
        <v>0</v>
      </c>
      <c r="Z121" s="33">
        <f t="shared" si="115"/>
        <v>0</v>
      </c>
      <c r="AA121" s="33">
        <f t="shared" si="116"/>
        <v>0</v>
      </c>
      <c r="AB121" s="146">
        <v>9</v>
      </c>
      <c r="AC121" s="117">
        <f t="shared" si="118"/>
        <v>9</v>
      </c>
      <c r="AD121" s="10">
        <v>0</v>
      </c>
      <c r="AE121" s="10">
        <v>0</v>
      </c>
      <c r="AF121" s="117">
        <f t="shared" si="119"/>
        <v>0</v>
      </c>
      <c r="AG121" s="118">
        <f t="shared" si="120"/>
        <v>0</v>
      </c>
      <c r="AH121" s="80">
        <f t="shared" si="121"/>
        <v>9</v>
      </c>
      <c r="AI121" s="127">
        <f t="shared" si="155"/>
        <v>9</v>
      </c>
      <c r="AJ121" s="111">
        <v>0</v>
      </c>
      <c r="AK121" s="111">
        <v>0</v>
      </c>
      <c r="AL121" s="112">
        <f t="shared" ca="1" si="153"/>
        <v>0</v>
      </c>
      <c r="AM121" s="112">
        <f t="shared" si="154"/>
        <v>0</v>
      </c>
      <c r="AN121" s="80">
        <f t="shared" si="122"/>
        <v>9</v>
      </c>
      <c r="AO121" s="12">
        <f t="shared" si="123"/>
        <v>9</v>
      </c>
      <c r="AP121" s="10">
        <v>0</v>
      </c>
      <c r="AQ121" s="10">
        <v>0</v>
      </c>
      <c r="AR121" s="12">
        <f t="shared" si="124"/>
        <v>0</v>
      </c>
      <c r="AS121" s="12">
        <f t="shared" si="125"/>
        <v>0</v>
      </c>
      <c r="AT121" s="13">
        <f t="shared" si="126"/>
        <v>9</v>
      </c>
      <c r="AU121" s="12">
        <f t="shared" si="127"/>
        <v>9</v>
      </c>
      <c r="AV121" s="10">
        <v>0</v>
      </c>
      <c r="AW121" s="10">
        <v>0</v>
      </c>
      <c r="AX121" s="12">
        <f t="shared" si="128"/>
        <v>0</v>
      </c>
      <c r="AY121" s="12">
        <f t="shared" si="129"/>
        <v>0</v>
      </c>
      <c r="AZ121" s="32">
        <f t="shared" si="130"/>
        <v>9</v>
      </c>
      <c r="BA121" s="12">
        <f t="shared" si="131"/>
        <v>9</v>
      </c>
      <c r="BB121" s="10">
        <v>0</v>
      </c>
      <c r="BC121" s="10">
        <v>0</v>
      </c>
      <c r="BD121" s="12">
        <f t="shared" si="132"/>
        <v>0</v>
      </c>
      <c r="BE121" s="12">
        <f t="shared" si="133"/>
        <v>0</v>
      </c>
      <c r="BF121" s="48">
        <v>9</v>
      </c>
      <c r="BG121" s="12">
        <f t="shared" si="164"/>
        <v>9</v>
      </c>
      <c r="BH121" s="10">
        <v>0</v>
      </c>
      <c r="BI121" s="10">
        <v>0</v>
      </c>
      <c r="BJ121" s="33">
        <f t="shared" si="156"/>
        <v>0</v>
      </c>
      <c r="BK121" s="33">
        <f t="shared" si="157"/>
        <v>0</v>
      </c>
      <c r="BL121" s="48">
        <v>9</v>
      </c>
      <c r="BM121" s="12">
        <f t="shared" si="165"/>
        <v>9</v>
      </c>
      <c r="BN121" s="10">
        <v>0</v>
      </c>
      <c r="BO121" s="10">
        <v>0</v>
      </c>
      <c r="BP121" s="33">
        <f t="shared" si="158"/>
        <v>0</v>
      </c>
      <c r="BQ121" s="33">
        <f t="shared" si="159"/>
        <v>0</v>
      </c>
      <c r="BR121" s="48">
        <v>9</v>
      </c>
      <c r="BS121" s="12">
        <f t="shared" si="166"/>
        <v>9</v>
      </c>
      <c r="BT121" s="10">
        <v>0</v>
      </c>
      <c r="BU121" s="10">
        <v>0</v>
      </c>
      <c r="BV121" s="33">
        <f t="shared" si="160"/>
        <v>0</v>
      </c>
      <c r="BW121" s="33">
        <f t="shared" si="161"/>
        <v>0</v>
      </c>
      <c r="BX121" s="48">
        <v>9</v>
      </c>
      <c r="BY121" s="12">
        <f t="shared" si="167"/>
        <v>9</v>
      </c>
      <c r="BZ121" s="10">
        <v>0</v>
      </c>
      <c r="CA121" s="10">
        <v>0</v>
      </c>
      <c r="CB121" s="33">
        <f t="shared" si="162"/>
        <v>0</v>
      </c>
      <c r="CC121" s="33">
        <f t="shared" si="163"/>
        <v>0</v>
      </c>
      <c r="CD121" s="48">
        <v>9</v>
      </c>
      <c r="CE121" s="12">
        <f t="shared" si="168"/>
        <v>9</v>
      </c>
    </row>
    <row r="122" spans="1:83" ht="80.25" customHeight="1">
      <c r="A122" s="148" t="s">
        <v>410</v>
      </c>
      <c r="B122" s="155" t="s">
        <v>411</v>
      </c>
      <c r="C122" s="173" t="s">
        <v>412</v>
      </c>
      <c r="D122" s="156">
        <v>2004</v>
      </c>
      <c r="E122" s="154"/>
      <c r="F122" s="154"/>
      <c r="G122" s="154"/>
      <c r="H122" s="165">
        <v>1</v>
      </c>
      <c r="I122" s="159">
        <v>1</v>
      </c>
      <c r="J122" s="56">
        <v>0</v>
      </c>
      <c r="K122" s="33">
        <f t="shared" si="108"/>
        <v>0</v>
      </c>
      <c r="L122" s="10">
        <v>0</v>
      </c>
      <c r="M122" s="10">
        <v>0</v>
      </c>
      <c r="N122" s="33">
        <f t="shared" si="109"/>
        <v>0</v>
      </c>
      <c r="O122" s="33">
        <f t="shared" si="110"/>
        <v>0</v>
      </c>
      <c r="P122" s="56">
        <v>0</v>
      </c>
      <c r="Q122" s="33">
        <f t="shared" si="111"/>
        <v>0</v>
      </c>
      <c r="R122" s="56">
        <v>0</v>
      </c>
      <c r="S122" s="56">
        <v>0</v>
      </c>
      <c r="T122" s="33">
        <f t="shared" si="112"/>
        <v>0</v>
      </c>
      <c r="U122" s="33">
        <f t="shared" si="113"/>
        <v>0</v>
      </c>
      <c r="V122" s="56">
        <v>0</v>
      </c>
      <c r="W122" s="33">
        <f t="shared" si="114"/>
        <v>0</v>
      </c>
      <c r="X122" s="56">
        <v>0</v>
      </c>
      <c r="Y122" s="56">
        <v>0</v>
      </c>
      <c r="Z122" s="33">
        <f t="shared" si="115"/>
        <v>0</v>
      </c>
      <c r="AA122" s="33">
        <f t="shared" si="116"/>
        <v>0</v>
      </c>
      <c r="AB122" s="146">
        <v>1</v>
      </c>
      <c r="AC122" s="117">
        <f t="shared" si="118"/>
        <v>1</v>
      </c>
      <c r="AD122" s="10">
        <v>0</v>
      </c>
      <c r="AE122" s="10">
        <v>0</v>
      </c>
      <c r="AF122" s="117">
        <f t="shared" si="119"/>
        <v>0</v>
      </c>
      <c r="AG122" s="118">
        <f t="shared" si="120"/>
        <v>0</v>
      </c>
      <c r="AH122" s="80">
        <f t="shared" si="121"/>
        <v>1</v>
      </c>
      <c r="AI122" s="127">
        <f t="shared" si="155"/>
        <v>1</v>
      </c>
      <c r="AJ122" s="111">
        <v>0</v>
      </c>
      <c r="AK122" s="111">
        <v>0</v>
      </c>
      <c r="AL122" s="112">
        <f t="shared" ca="1" si="153"/>
        <v>0</v>
      </c>
      <c r="AM122" s="112">
        <f t="shared" si="154"/>
        <v>0</v>
      </c>
      <c r="AN122" s="80">
        <f t="shared" si="122"/>
        <v>1</v>
      </c>
      <c r="AO122" s="12">
        <f t="shared" si="123"/>
        <v>1</v>
      </c>
      <c r="AP122" s="10">
        <v>0</v>
      </c>
      <c r="AQ122" s="10">
        <v>0</v>
      </c>
      <c r="AR122" s="12">
        <f t="shared" si="124"/>
        <v>0</v>
      </c>
      <c r="AS122" s="12">
        <f t="shared" si="125"/>
        <v>0</v>
      </c>
      <c r="AT122" s="13">
        <f t="shared" si="126"/>
        <v>1</v>
      </c>
      <c r="AU122" s="12">
        <f t="shared" si="127"/>
        <v>1</v>
      </c>
      <c r="AV122" s="10">
        <v>0</v>
      </c>
      <c r="AW122" s="10">
        <v>0</v>
      </c>
      <c r="AX122" s="12">
        <f t="shared" si="128"/>
        <v>0</v>
      </c>
      <c r="AY122" s="12">
        <f t="shared" si="129"/>
        <v>0</v>
      </c>
      <c r="AZ122" s="32">
        <f t="shared" si="130"/>
        <v>1</v>
      </c>
      <c r="BA122" s="12">
        <f t="shared" si="131"/>
        <v>1</v>
      </c>
      <c r="BB122" s="10">
        <v>0</v>
      </c>
      <c r="BC122" s="10">
        <v>0</v>
      </c>
      <c r="BD122" s="12">
        <f t="shared" si="132"/>
        <v>0</v>
      </c>
      <c r="BE122" s="12">
        <f t="shared" si="133"/>
        <v>0</v>
      </c>
      <c r="BF122" s="48">
        <v>1</v>
      </c>
      <c r="BG122" s="12">
        <f t="shared" si="164"/>
        <v>1</v>
      </c>
      <c r="BH122" s="10">
        <v>0</v>
      </c>
      <c r="BI122" s="10">
        <v>0</v>
      </c>
      <c r="BJ122" s="33">
        <f t="shared" si="156"/>
        <v>0</v>
      </c>
      <c r="BK122" s="33">
        <f t="shared" si="157"/>
        <v>0</v>
      </c>
      <c r="BL122" s="48">
        <v>1</v>
      </c>
      <c r="BM122" s="12">
        <f t="shared" si="165"/>
        <v>1</v>
      </c>
      <c r="BN122" s="10">
        <v>0</v>
      </c>
      <c r="BO122" s="10">
        <v>0</v>
      </c>
      <c r="BP122" s="33">
        <f t="shared" si="158"/>
        <v>0</v>
      </c>
      <c r="BQ122" s="33">
        <f t="shared" si="159"/>
        <v>0</v>
      </c>
      <c r="BR122" s="48">
        <v>1</v>
      </c>
      <c r="BS122" s="12">
        <f t="shared" si="166"/>
        <v>1</v>
      </c>
      <c r="BT122" s="10">
        <v>0</v>
      </c>
      <c r="BU122" s="10">
        <v>0</v>
      </c>
      <c r="BV122" s="33">
        <f t="shared" si="160"/>
        <v>0</v>
      </c>
      <c r="BW122" s="33">
        <f t="shared" si="161"/>
        <v>0</v>
      </c>
      <c r="BX122" s="48">
        <v>1</v>
      </c>
      <c r="BY122" s="12">
        <f t="shared" si="167"/>
        <v>1</v>
      </c>
      <c r="BZ122" s="10">
        <v>0</v>
      </c>
      <c r="CA122" s="10">
        <v>0</v>
      </c>
      <c r="CB122" s="33">
        <f t="shared" si="162"/>
        <v>0</v>
      </c>
      <c r="CC122" s="33">
        <f t="shared" si="163"/>
        <v>0</v>
      </c>
      <c r="CD122" s="48">
        <v>1</v>
      </c>
      <c r="CE122" s="12">
        <f t="shared" si="168"/>
        <v>1</v>
      </c>
    </row>
    <row r="123" spans="1:83" ht="80.25" customHeight="1">
      <c r="A123" s="148" t="s">
        <v>413</v>
      </c>
      <c r="B123" s="155" t="s">
        <v>414</v>
      </c>
      <c r="C123" s="173" t="s">
        <v>415</v>
      </c>
      <c r="D123" s="156">
        <v>2014</v>
      </c>
      <c r="E123" s="154"/>
      <c r="F123" s="154"/>
      <c r="G123" s="154"/>
      <c r="H123" s="165">
        <v>1</v>
      </c>
      <c r="I123" s="159">
        <v>1</v>
      </c>
      <c r="J123" s="56">
        <v>0</v>
      </c>
      <c r="K123" s="33">
        <f t="shared" si="108"/>
        <v>0</v>
      </c>
      <c r="L123" s="10">
        <v>0</v>
      </c>
      <c r="M123" s="10">
        <v>0</v>
      </c>
      <c r="N123" s="33">
        <f t="shared" si="109"/>
        <v>0</v>
      </c>
      <c r="O123" s="33">
        <f t="shared" si="110"/>
        <v>0</v>
      </c>
      <c r="P123" s="56">
        <v>0</v>
      </c>
      <c r="Q123" s="33">
        <f t="shared" si="111"/>
        <v>0</v>
      </c>
      <c r="R123" s="56">
        <v>0</v>
      </c>
      <c r="S123" s="56">
        <v>0</v>
      </c>
      <c r="T123" s="33">
        <f t="shared" si="112"/>
        <v>0</v>
      </c>
      <c r="U123" s="33">
        <f t="shared" si="113"/>
        <v>0</v>
      </c>
      <c r="V123" s="56">
        <v>0</v>
      </c>
      <c r="W123" s="33">
        <f t="shared" si="114"/>
        <v>0</v>
      </c>
      <c r="X123" s="56">
        <v>0</v>
      </c>
      <c r="Y123" s="56">
        <v>0</v>
      </c>
      <c r="Z123" s="33">
        <f t="shared" si="115"/>
        <v>0</v>
      </c>
      <c r="AA123" s="33">
        <f t="shared" si="116"/>
        <v>0</v>
      </c>
      <c r="AB123" s="146">
        <v>1</v>
      </c>
      <c r="AC123" s="117">
        <f t="shared" si="118"/>
        <v>1</v>
      </c>
      <c r="AD123" s="10">
        <v>0</v>
      </c>
      <c r="AE123" s="10">
        <v>0</v>
      </c>
      <c r="AF123" s="117">
        <f t="shared" si="119"/>
        <v>0</v>
      </c>
      <c r="AG123" s="118">
        <f t="shared" si="120"/>
        <v>0</v>
      </c>
      <c r="AH123" s="80">
        <f t="shared" si="121"/>
        <v>1</v>
      </c>
      <c r="AI123" s="127">
        <f t="shared" si="155"/>
        <v>1</v>
      </c>
      <c r="AJ123" s="111">
        <v>0</v>
      </c>
      <c r="AK123" s="111">
        <v>0</v>
      </c>
      <c r="AL123" s="112">
        <f t="shared" ca="1" si="153"/>
        <v>0</v>
      </c>
      <c r="AM123" s="112">
        <f t="shared" si="154"/>
        <v>0</v>
      </c>
      <c r="AN123" s="80">
        <f t="shared" si="122"/>
        <v>1</v>
      </c>
      <c r="AO123" s="12">
        <f t="shared" si="123"/>
        <v>1</v>
      </c>
      <c r="AP123" s="10">
        <v>0</v>
      </c>
      <c r="AQ123" s="10">
        <v>0</v>
      </c>
      <c r="AR123" s="12">
        <f t="shared" si="124"/>
        <v>0</v>
      </c>
      <c r="AS123" s="12">
        <f t="shared" si="125"/>
        <v>0</v>
      </c>
      <c r="AT123" s="13">
        <f t="shared" si="126"/>
        <v>1</v>
      </c>
      <c r="AU123" s="12">
        <f t="shared" si="127"/>
        <v>1</v>
      </c>
      <c r="AV123" s="10">
        <v>0</v>
      </c>
      <c r="AW123" s="10">
        <v>0</v>
      </c>
      <c r="AX123" s="12">
        <f t="shared" si="128"/>
        <v>0</v>
      </c>
      <c r="AY123" s="12">
        <f t="shared" si="129"/>
        <v>0</v>
      </c>
      <c r="AZ123" s="32">
        <f t="shared" si="130"/>
        <v>1</v>
      </c>
      <c r="BA123" s="12">
        <f t="shared" si="131"/>
        <v>1</v>
      </c>
      <c r="BB123" s="10">
        <v>0</v>
      </c>
      <c r="BC123" s="10">
        <v>0</v>
      </c>
      <c r="BD123" s="12">
        <f t="shared" si="132"/>
        <v>0</v>
      </c>
      <c r="BE123" s="12">
        <f t="shared" si="133"/>
        <v>0</v>
      </c>
      <c r="BF123" s="48">
        <v>1</v>
      </c>
      <c r="BG123" s="12">
        <f t="shared" si="164"/>
        <v>1</v>
      </c>
      <c r="BH123" s="10">
        <v>0</v>
      </c>
      <c r="BI123" s="10">
        <v>0</v>
      </c>
      <c r="BJ123" s="33">
        <f t="shared" si="156"/>
        <v>0</v>
      </c>
      <c r="BK123" s="33">
        <f t="shared" si="157"/>
        <v>0</v>
      </c>
      <c r="BL123" s="48">
        <v>1</v>
      </c>
      <c r="BM123" s="12">
        <f t="shared" si="165"/>
        <v>1</v>
      </c>
      <c r="BN123" s="10">
        <v>0</v>
      </c>
      <c r="BO123" s="10">
        <v>0</v>
      </c>
      <c r="BP123" s="33">
        <f t="shared" si="158"/>
        <v>0</v>
      </c>
      <c r="BQ123" s="33">
        <f t="shared" si="159"/>
        <v>0</v>
      </c>
      <c r="BR123" s="48">
        <v>1</v>
      </c>
      <c r="BS123" s="12">
        <f t="shared" si="166"/>
        <v>1</v>
      </c>
      <c r="BT123" s="10">
        <v>0</v>
      </c>
      <c r="BU123" s="10">
        <v>0</v>
      </c>
      <c r="BV123" s="33">
        <f t="shared" si="160"/>
        <v>0</v>
      </c>
      <c r="BW123" s="33">
        <f t="shared" si="161"/>
        <v>0</v>
      </c>
      <c r="BX123" s="48">
        <v>1</v>
      </c>
      <c r="BY123" s="12">
        <f t="shared" si="167"/>
        <v>1</v>
      </c>
      <c r="BZ123" s="10">
        <v>0</v>
      </c>
      <c r="CA123" s="10">
        <v>0</v>
      </c>
      <c r="CB123" s="33">
        <f t="shared" si="162"/>
        <v>0</v>
      </c>
      <c r="CC123" s="33">
        <f t="shared" si="163"/>
        <v>0</v>
      </c>
      <c r="CD123" s="48">
        <v>1</v>
      </c>
      <c r="CE123" s="12">
        <f t="shared" si="168"/>
        <v>1</v>
      </c>
    </row>
    <row r="124" spans="1:83" ht="80.25" customHeight="1">
      <c r="A124" s="148" t="s">
        <v>37</v>
      </c>
      <c r="B124" s="155" t="s">
        <v>416</v>
      </c>
      <c r="C124" s="173" t="s">
        <v>417</v>
      </c>
      <c r="D124" s="156">
        <v>2014</v>
      </c>
      <c r="E124" s="154"/>
      <c r="F124" s="154"/>
      <c r="G124" s="154"/>
      <c r="H124" s="165">
        <v>1</v>
      </c>
      <c r="I124" s="159">
        <v>1</v>
      </c>
      <c r="J124" s="56">
        <v>0</v>
      </c>
      <c r="K124" s="33">
        <f t="shared" si="108"/>
        <v>0</v>
      </c>
      <c r="L124" s="10">
        <v>0</v>
      </c>
      <c r="M124" s="10">
        <v>0</v>
      </c>
      <c r="N124" s="33">
        <f t="shared" si="109"/>
        <v>0</v>
      </c>
      <c r="O124" s="33">
        <f t="shared" si="110"/>
        <v>0</v>
      </c>
      <c r="P124" s="56">
        <v>0</v>
      </c>
      <c r="Q124" s="33">
        <f t="shared" si="111"/>
        <v>0</v>
      </c>
      <c r="R124" s="56">
        <v>0</v>
      </c>
      <c r="S124" s="56">
        <v>0</v>
      </c>
      <c r="T124" s="33">
        <f t="shared" si="112"/>
        <v>0</v>
      </c>
      <c r="U124" s="33">
        <f t="shared" si="113"/>
        <v>0</v>
      </c>
      <c r="V124" s="56">
        <v>0</v>
      </c>
      <c r="W124" s="33">
        <f t="shared" si="114"/>
        <v>0</v>
      </c>
      <c r="X124" s="56">
        <v>0</v>
      </c>
      <c r="Y124" s="56">
        <v>0</v>
      </c>
      <c r="Z124" s="33">
        <f t="shared" si="115"/>
        <v>0</v>
      </c>
      <c r="AA124" s="33">
        <f t="shared" si="116"/>
        <v>0</v>
      </c>
      <c r="AB124" s="146">
        <v>1</v>
      </c>
      <c r="AC124" s="117">
        <f t="shared" si="118"/>
        <v>1</v>
      </c>
      <c r="AD124" s="10">
        <v>0</v>
      </c>
      <c r="AE124" s="10">
        <v>0</v>
      </c>
      <c r="AF124" s="117">
        <f t="shared" si="119"/>
        <v>0</v>
      </c>
      <c r="AG124" s="118">
        <f t="shared" si="120"/>
        <v>0</v>
      </c>
      <c r="AH124" s="80">
        <f t="shared" si="121"/>
        <v>1</v>
      </c>
      <c r="AI124" s="127">
        <f t="shared" si="155"/>
        <v>1</v>
      </c>
      <c r="AJ124" s="111">
        <v>0</v>
      </c>
      <c r="AK124" s="111">
        <v>0</v>
      </c>
      <c r="AL124" s="112">
        <f t="shared" ca="1" si="153"/>
        <v>0</v>
      </c>
      <c r="AM124" s="112">
        <f t="shared" si="154"/>
        <v>0</v>
      </c>
      <c r="AN124" s="80">
        <f t="shared" si="122"/>
        <v>1</v>
      </c>
      <c r="AO124" s="12">
        <f t="shared" si="123"/>
        <v>1</v>
      </c>
      <c r="AP124" s="10">
        <v>0</v>
      </c>
      <c r="AQ124" s="10">
        <v>0</v>
      </c>
      <c r="AR124" s="12">
        <f t="shared" si="124"/>
        <v>0</v>
      </c>
      <c r="AS124" s="12">
        <f t="shared" si="125"/>
        <v>0</v>
      </c>
      <c r="AT124" s="13">
        <f t="shared" si="126"/>
        <v>1</v>
      </c>
      <c r="AU124" s="12">
        <f t="shared" si="127"/>
        <v>1</v>
      </c>
      <c r="AV124" s="10">
        <v>0</v>
      </c>
      <c r="AW124" s="10">
        <v>0</v>
      </c>
      <c r="AX124" s="12">
        <f t="shared" si="128"/>
        <v>0</v>
      </c>
      <c r="AY124" s="12">
        <f t="shared" si="129"/>
        <v>0</v>
      </c>
      <c r="AZ124" s="32">
        <f t="shared" si="130"/>
        <v>1</v>
      </c>
      <c r="BA124" s="12">
        <f t="shared" si="131"/>
        <v>1</v>
      </c>
      <c r="BB124" s="10">
        <v>0</v>
      </c>
      <c r="BC124" s="10">
        <v>0</v>
      </c>
      <c r="BD124" s="12">
        <f t="shared" si="132"/>
        <v>0</v>
      </c>
      <c r="BE124" s="12">
        <f t="shared" si="133"/>
        <v>0</v>
      </c>
      <c r="BF124" s="48">
        <v>1</v>
      </c>
      <c r="BG124" s="12">
        <f t="shared" si="164"/>
        <v>1</v>
      </c>
      <c r="BH124" s="10">
        <v>0</v>
      </c>
      <c r="BI124" s="10">
        <v>0</v>
      </c>
      <c r="BJ124" s="33">
        <f t="shared" si="156"/>
        <v>0</v>
      </c>
      <c r="BK124" s="33">
        <f t="shared" si="157"/>
        <v>0</v>
      </c>
      <c r="BL124" s="48">
        <v>1</v>
      </c>
      <c r="BM124" s="12">
        <f t="shared" si="165"/>
        <v>1</v>
      </c>
      <c r="BN124" s="10">
        <v>0</v>
      </c>
      <c r="BO124" s="10">
        <v>0</v>
      </c>
      <c r="BP124" s="33">
        <f t="shared" si="158"/>
        <v>0</v>
      </c>
      <c r="BQ124" s="33">
        <f t="shared" si="159"/>
        <v>0</v>
      </c>
      <c r="BR124" s="48">
        <v>1</v>
      </c>
      <c r="BS124" s="12">
        <f t="shared" si="166"/>
        <v>1</v>
      </c>
      <c r="BT124" s="10">
        <v>0</v>
      </c>
      <c r="BU124" s="10">
        <v>0</v>
      </c>
      <c r="BV124" s="33">
        <f t="shared" si="160"/>
        <v>0</v>
      </c>
      <c r="BW124" s="33">
        <f t="shared" si="161"/>
        <v>0</v>
      </c>
      <c r="BX124" s="48">
        <v>1</v>
      </c>
      <c r="BY124" s="12">
        <f t="shared" si="167"/>
        <v>1</v>
      </c>
      <c r="BZ124" s="10">
        <v>0</v>
      </c>
      <c r="CA124" s="10">
        <v>0</v>
      </c>
      <c r="CB124" s="33">
        <f t="shared" si="162"/>
        <v>0</v>
      </c>
      <c r="CC124" s="33">
        <f t="shared" si="163"/>
        <v>0</v>
      </c>
      <c r="CD124" s="48">
        <v>1</v>
      </c>
      <c r="CE124" s="12">
        <f t="shared" si="168"/>
        <v>1</v>
      </c>
    </row>
    <row r="125" spans="1:83" ht="80.25" customHeight="1">
      <c r="A125" s="148" t="s">
        <v>418</v>
      </c>
      <c r="B125" s="155" t="s">
        <v>419</v>
      </c>
      <c r="C125" s="174" t="s">
        <v>420</v>
      </c>
      <c r="D125" s="157">
        <v>2015</v>
      </c>
      <c r="E125" s="154"/>
      <c r="F125" s="154"/>
      <c r="G125" s="154"/>
      <c r="H125" s="165">
        <v>5</v>
      </c>
      <c r="I125" s="159">
        <v>1</v>
      </c>
      <c r="J125" s="56">
        <v>0</v>
      </c>
      <c r="K125" s="33">
        <f t="shared" si="108"/>
        <v>0</v>
      </c>
      <c r="L125" s="10">
        <v>0</v>
      </c>
      <c r="M125" s="10">
        <v>0</v>
      </c>
      <c r="N125" s="33">
        <f t="shared" si="109"/>
        <v>0</v>
      </c>
      <c r="O125" s="33">
        <f t="shared" si="110"/>
        <v>0</v>
      </c>
      <c r="P125" s="56">
        <v>0</v>
      </c>
      <c r="Q125" s="33">
        <f t="shared" si="111"/>
        <v>0</v>
      </c>
      <c r="R125" s="56">
        <v>0</v>
      </c>
      <c r="S125" s="56">
        <v>0</v>
      </c>
      <c r="T125" s="33">
        <f t="shared" si="112"/>
        <v>0</v>
      </c>
      <c r="U125" s="33">
        <f t="shared" si="113"/>
        <v>0</v>
      </c>
      <c r="V125" s="56">
        <v>0</v>
      </c>
      <c r="W125" s="33">
        <f t="shared" si="114"/>
        <v>0</v>
      </c>
      <c r="X125" s="56">
        <v>0</v>
      </c>
      <c r="Y125" s="56">
        <v>0</v>
      </c>
      <c r="Z125" s="33">
        <f t="shared" si="115"/>
        <v>0</v>
      </c>
      <c r="AA125" s="33">
        <f t="shared" si="116"/>
        <v>0</v>
      </c>
      <c r="AB125" s="146">
        <v>5</v>
      </c>
      <c r="AC125" s="117">
        <f t="shared" si="118"/>
        <v>5</v>
      </c>
      <c r="AD125" s="10">
        <v>0</v>
      </c>
      <c r="AE125" s="10">
        <v>0</v>
      </c>
      <c r="AF125" s="117">
        <f t="shared" si="119"/>
        <v>0</v>
      </c>
      <c r="AG125" s="118">
        <f t="shared" si="120"/>
        <v>0</v>
      </c>
      <c r="AH125" s="80">
        <f t="shared" si="121"/>
        <v>5</v>
      </c>
      <c r="AI125" s="127">
        <f t="shared" si="155"/>
        <v>5</v>
      </c>
      <c r="AJ125" s="111">
        <v>0</v>
      </c>
      <c r="AK125" s="111">
        <v>0</v>
      </c>
      <c r="AL125" s="112">
        <f t="shared" ca="1" si="153"/>
        <v>0</v>
      </c>
      <c r="AM125" s="112">
        <f t="shared" si="154"/>
        <v>0</v>
      </c>
      <c r="AN125" s="80">
        <f t="shared" si="122"/>
        <v>5</v>
      </c>
      <c r="AO125" s="12">
        <f t="shared" si="123"/>
        <v>5</v>
      </c>
      <c r="AP125" s="10">
        <v>0</v>
      </c>
      <c r="AQ125" s="10">
        <v>0</v>
      </c>
      <c r="AR125" s="12">
        <f t="shared" si="124"/>
        <v>0</v>
      </c>
      <c r="AS125" s="12">
        <f t="shared" si="125"/>
        <v>0</v>
      </c>
      <c r="AT125" s="13">
        <f t="shared" si="126"/>
        <v>5</v>
      </c>
      <c r="AU125" s="12">
        <f t="shared" si="127"/>
        <v>5</v>
      </c>
      <c r="AV125" s="10">
        <v>0</v>
      </c>
      <c r="AW125" s="10">
        <v>0</v>
      </c>
      <c r="AX125" s="12">
        <f t="shared" si="128"/>
        <v>0</v>
      </c>
      <c r="AY125" s="12">
        <f t="shared" si="129"/>
        <v>0</v>
      </c>
      <c r="AZ125" s="32">
        <f t="shared" si="130"/>
        <v>5</v>
      </c>
      <c r="BA125" s="12">
        <f t="shared" si="131"/>
        <v>5</v>
      </c>
      <c r="BB125" s="10">
        <v>0</v>
      </c>
      <c r="BC125" s="10">
        <v>0</v>
      </c>
      <c r="BD125" s="12">
        <f t="shared" si="132"/>
        <v>0</v>
      </c>
      <c r="BE125" s="12">
        <f t="shared" si="133"/>
        <v>0</v>
      </c>
      <c r="BF125" s="48">
        <v>5</v>
      </c>
      <c r="BG125" s="12">
        <f t="shared" si="164"/>
        <v>5</v>
      </c>
      <c r="BH125" s="10">
        <v>0</v>
      </c>
      <c r="BI125" s="10">
        <v>0</v>
      </c>
      <c r="BJ125" s="33">
        <f t="shared" si="156"/>
        <v>0</v>
      </c>
      <c r="BK125" s="33">
        <f t="shared" si="157"/>
        <v>0</v>
      </c>
      <c r="BL125" s="48">
        <v>5</v>
      </c>
      <c r="BM125" s="12">
        <f t="shared" si="165"/>
        <v>5</v>
      </c>
      <c r="BN125" s="10">
        <v>0</v>
      </c>
      <c r="BO125" s="10">
        <v>0</v>
      </c>
      <c r="BP125" s="33">
        <f t="shared" si="158"/>
        <v>0</v>
      </c>
      <c r="BQ125" s="33">
        <f t="shared" si="159"/>
        <v>0</v>
      </c>
      <c r="BR125" s="48">
        <v>5</v>
      </c>
      <c r="BS125" s="12">
        <f t="shared" si="166"/>
        <v>5</v>
      </c>
      <c r="BT125" s="10">
        <v>0</v>
      </c>
      <c r="BU125" s="10">
        <v>0</v>
      </c>
      <c r="BV125" s="33">
        <f t="shared" si="160"/>
        <v>0</v>
      </c>
      <c r="BW125" s="33">
        <f t="shared" si="161"/>
        <v>0</v>
      </c>
      <c r="BX125" s="48">
        <v>5</v>
      </c>
      <c r="BY125" s="12">
        <f t="shared" si="167"/>
        <v>5</v>
      </c>
      <c r="BZ125" s="10">
        <v>0</v>
      </c>
      <c r="CA125" s="10">
        <v>0</v>
      </c>
      <c r="CB125" s="33">
        <f t="shared" si="162"/>
        <v>0</v>
      </c>
      <c r="CC125" s="33">
        <f t="shared" si="163"/>
        <v>0</v>
      </c>
      <c r="CD125" s="48">
        <v>5</v>
      </c>
      <c r="CE125" s="12">
        <f t="shared" si="168"/>
        <v>5</v>
      </c>
    </row>
    <row r="126" spans="1:83" ht="80.25" customHeight="1">
      <c r="A126" s="148" t="s">
        <v>421</v>
      </c>
      <c r="B126" s="155" t="s">
        <v>422</v>
      </c>
      <c r="C126" s="174" t="s">
        <v>423</v>
      </c>
      <c r="D126" s="157">
        <v>2010</v>
      </c>
      <c r="E126" s="154"/>
      <c r="F126" s="154"/>
      <c r="G126" s="154"/>
      <c r="H126" s="165">
        <v>11</v>
      </c>
      <c r="I126" s="159">
        <v>1</v>
      </c>
      <c r="J126" s="56">
        <v>0</v>
      </c>
      <c r="K126" s="33">
        <f t="shared" si="108"/>
        <v>0</v>
      </c>
      <c r="L126" s="10">
        <v>0</v>
      </c>
      <c r="M126" s="10">
        <v>0</v>
      </c>
      <c r="N126" s="33">
        <f t="shared" si="109"/>
        <v>0</v>
      </c>
      <c r="O126" s="33">
        <f t="shared" si="110"/>
        <v>0</v>
      </c>
      <c r="P126" s="56">
        <v>0</v>
      </c>
      <c r="Q126" s="33">
        <f t="shared" si="111"/>
        <v>0</v>
      </c>
      <c r="R126" s="56">
        <v>0</v>
      </c>
      <c r="S126" s="56">
        <v>0</v>
      </c>
      <c r="T126" s="33">
        <f t="shared" si="112"/>
        <v>0</v>
      </c>
      <c r="U126" s="33">
        <f t="shared" si="113"/>
        <v>0</v>
      </c>
      <c r="V126" s="56">
        <v>0</v>
      </c>
      <c r="W126" s="33">
        <f t="shared" si="114"/>
        <v>0</v>
      </c>
      <c r="X126" s="56">
        <v>0</v>
      </c>
      <c r="Y126" s="56">
        <v>0</v>
      </c>
      <c r="Z126" s="33">
        <f t="shared" si="115"/>
        <v>0</v>
      </c>
      <c r="AA126" s="33">
        <f t="shared" si="116"/>
        <v>0</v>
      </c>
      <c r="AB126" s="146">
        <v>11</v>
      </c>
      <c r="AC126" s="117">
        <f t="shared" si="118"/>
        <v>11</v>
      </c>
      <c r="AD126" s="10">
        <v>0</v>
      </c>
      <c r="AE126" s="10">
        <v>0</v>
      </c>
      <c r="AF126" s="117">
        <f t="shared" si="119"/>
        <v>0</v>
      </c>
      <c r="AG126" s="118">
        <f t="shared" si="120"/>
        <v>0</v>
      </c>
      <c r="AH126" s="80">
        <f t="shared" si="121"/>
        <v>11</v>
      </c>
      <c r="AI126" s="127">
        <f t="shared" si="155"/>
        <v>11</v>
      </c>
      <c r="AJ126" s="111">
        <v>0</v>
      </c>
      <c r="AK126" s="111">
        <v>0</v>
      </c>
      <c r="AL126" s="112">
        <f t="shared" ca="1" si="153"/>
        <v>0</v>
      </c>
      <c r="AM126" s="112">
        <f t="shared" si="154"/>
        <v>0</v>
      </c>
      <c r="AN126" s="80">
        <f t="shared" si="122"/>
        <v>11</v>
      </c>
      <c r="AO126" s="12">
        <f t="shared" si="123"/>
        <v>11</v>
      </c>
      <c r="AP126" s="10">
        <v>0</v>
      </c>
      <c r="AQ126" s="10">
        <v>0</v>
      </c>
      <c r="AR126" s="12">
        <f t="shared" si="124"/>
        <v>0</v>
      </c>
      <c r="AS126" s="12">
        <f t="shared" si="125"/>
        <v>0</v>
      </c>
      <c r="AT126" s="13">
        <f t="shared" si="126"/>
        <v>11</v>
      </c>
      <c r="AU126" s="12">
        <f t="shared" si="127"/>
        <v>11</v>
      </c>
      <c r="AV126" s="10">
        <v>0</v>
      </c>
      <c r="AW126" s="10">
        <v>0</v>
      </c>
      <c r="AX126" s="12">
        <f t="shared" si="128"/>
        <v>0</v>
      </c>
      <c r="AY126" s="12">
        <f t="shared" si="129"/>
        <v>0</v>
      </c>
      <c r="AZ126" s="32">
        <f t="shared" si="130"/>
        <v>11</v>
      </c>
      <c r="BA126" s="12">
        <f t="shared" si="131"/>
        <v>11</v>
      </c>
      <c r="BB126" s="10">
        <v>0</v>
      </c>
      <c r="BC126" s="10">
        <v>0</v>
      </c>
      <c r="BD126" s="12">
        <f t="shared" si="132"/>
        <v>0</v>
      </c>
      <c r="BE126" s="12">
        <f t="shared" si="133"/>
        <v>0</v>
      </c>
      <c r="BF126" s="48">
        <v>11</v>
      </c>
      <c r="BG126" s="12">
        <f t="shared" si="164"/>
        <v>11</v>
      </c>
      <c r="BH126" s="10">
        <v>0</v>
      </c>
      <c r="BI126" s="10">
        <v>0</v>
      </c>
      <c r="BJ126" s="33">
        <f t="shared" si="156"/>
        <v>0</v>
      </c>
      <c r="BK126" s="33">
        <f t="shared" si="157"/>
        <v>0</v>
      </c>
      <c r="BL126" s="48">
        <v>11</v>
      </c>
      <c r="BM126" s="12">
        <f t="shared" si="165"/>
        <v>11</v>
      </c>
      <c r="BN126" s="10">
        <v>0</v>
      </c>
      <c r="BO126" s="10">
        <v>0</v>
      </c>
      <c r="BP126" s="33">
        <f t="shared" si="158"/>
        <v>0</v>
      </c>
      <c r="BQ126" s="33">
        <f t="shared" si="159"/>
        <v>0</v>
      </c>
      <c r="BR126" s="48">
        <v>11</v>
      </c>
      <c r="BS126" s="12">
        <f t="shared" si="166"/>
        <v>11</v>
      </c>
      <c r="BT126" s="10">
        <v>0</v>
      </c>
      <c r="BU126" s="10">
        <v>0</v>
      </c>
      <c r="BV126" s="33">
        <f t="shared" si="160"/>
        <v>0</v>
      </c>
      <c r="BW126" s="33">
        <f t="shared" si="161"/>
        <v>0</v>
      </c>
      <c r="BX126" s="48">
        <v>11</v>
      </c>
      <c r="BY126" s="12">
        <f t="shared" si="167"/>
        <v>11</v>
      </c>
      <c r="BZ126" s="10">
        <v>0</v>
      </c>
      <c r="CA126" s="10">
        <v>0</v>
      </c>
      <c r="CB126" s="33">
        <f t="shared" si="162"/>
        <v>0</v>
      </c>
      <c r="CC126" s="33">
        <f t="shared" si="163"/>
        <v>0</v>
      </c>
      <c r="CD126" s="48">
        <v>11</v>
      </c>
      <c r="CE126" s="12">
        <f t="shared" si="168"/>
        <v>11</v>
      </c>
    </row>
    <row r="127" spans="1:83" ht="80.25" customHeight="1">
      <c r="A127" s="148" t="s">
        <v>424</v>
      </c>
      <c r="B127" s="155" t="s">
        <v>425</v>
      </c>
      <c r="C127" s="173" t="s">
        <v>426</v>
      </c>
      <c r="D127" s="156">
        <v>2007</v>
      </c>
      <c r="E127" s="154"/>
      <c r="F127" s="154"/>
      <c r="G127" s="154"/>
      <c r="H127" s="165">
        <v>7</v>
      </c>
      <c r="I127" s="159">
        <v>1</v>
      </c>
      <c r="J127" s="56">
        <v>0</v>
      </c>
      <c r="K127" s="33">
        <f t="shared" si="108"/>
        <v>0</v>
      </c>
      <c r="L127" s="10">
        <v>0</v>
      </c>
      <c r="M127" s="10">
        <v>0</v>
      </c>
      <c r="N127" s="33">
        <f t="shared" si="109"/>
        <v>0</v>
      </c>
      <c r="O127" s="33">
        <f t="shared" si="110"/>
        <v>0</v>
      </c>
      <c r="P127" s="56">
        <v>0</v>
      </c>
      <c r="Q127" s="33">
        <f t="shared" si="111"/>
        <v>0</v>
      </c>
      <c r="R127" s="56">
        <v>0</v>
      </c>
      <c r="S127" s="56">
        <v>0</v>
      </c>
      <c r="T127" s="33">
        <f t="shared" si="112"/>
        <v>0</v>
      </c>
      <c r="U127" s="33">
        <f t="shared" si="113"/>
        <v>0</v>
      </c>
      <c r="V127" s="56">
        <v>0</v>
      </c>
      <c r="W127" s="33">
        <f t="shared" si="114"/>
        <v>0</v>
      </c>
      <c r="X127" s="56">
        <v>0</v>
      </c>
      <c r="Y127" s="56">
        <v>0</v>
      </c>
      <c r="Z127" s="33">
        <f t="shared" si="115"/>
        <v>0</v>
      </c>
      <c r="AA127" s="33">
        <f t="shared" si="116"/>
        <v>0</v>
      </c>
      <c r="AB127" s="146">
        <v>7</v>
      </c>
      <c r="AC127" s="117">
        <f t="shared" si="118"/>
        <v>7</v>
      </c>
      <c r="AD127" s="10">
        <v>0</v>
      </c>
      <c r="AE127" s="10">
        <v>0</v>
      </c>
      <c r="AF127" s="117">
        <f t="shared" si="119"/>
        <v>0</v>
      </c>
      <c r="AG127" s="118">
        <f t="shared" si="120"/>
        <v>0</v>
      </c>
      <c r="AH127" s="80">
        <f t="shared" si="121"/>
        <v>7</v>
      </c>
      <c r="AI127" s="127">
        <f t="shared" si="155"/>
        <v>7</v>
      </c>
      <c r="AJ127" s="111">
        <v>0</v>
      </c>
      <c r="AK127" s="111">
        <v>0</v>
      </c>
      <c r="AL127" s="112">
        <f t="shared" ca="1" si="153"/>
        <v>0</v>
      </c>
      <c r="AM127" s="112">
        <f t="shared" si="154"/>
        <v>0</v>
      </c>
      <c r="AN127" s="80">
        <f t="shared" si="122"/>
        <v>7</v>
      </c>
      <c r="AO127" s="12">
        <f t="shared" si="123"/>
        <v>7</v>
      </c>
      <c r="AP127" s="10">
        <v>0</v>
      </c>
      <c r="AQ127" s="10">
        <v>0</v>
      </c>
      <c r="AR127" s="12">
        <f t="shared" si="124"/>
        <v>0</v>
      </c>
      <c r="AS127" s="12">
        <f t="shared" si="125"/>
        <v>0</v>
      </c>
      <c r="AT127" s="13">
        <f t="shared" si="126"/>
        <v>7</v>
      </c>
      <c r="AU127" s="12">
        <f t="shared" si="127"/>
        <v>7</v>
      </c>
      <c r="AV127" s="10">
        <v>0</v>
      </c>
      <c r="AW127" s="10">
        <v>0</v>
      </c>
      <c r="AX127" s="12">
        <f t="shared" si="128"/>
        <v>0</v>
      </c>
      <c r="AY127" s="12">
        <f t="shared" si="129"/>
        <v>0</v>
      </c>
      <c r="AZ127" s="32">
        <f t="shared" si="130"/>
        <v>7</v>
      </c>
      <c r="BA127" s="12">
        <f t="shared" si="131"/>
        <v>7</v>
      </c>
      <c r="BB127" s="10">
        <v>0</v>
      </c>
      <c r="BC127" s="10">
        <v>0</v>
      </c>
      <c r="BD127" s="12">
        <f t="shared" si="132"/>
        <v>0</v>
      </c>
      <c r="BE127" s="12">
        <f t="shared" si="133"/>
        <v>0</v>
      </c>
      <c r="BF127" s="48">
        <v>7</v>
      </c>
      <c r="BG127" s="12">
        <f t="shared" si="164"/>
        <v>7</v>
      </c>
      <c r="BH127" s="10">
        <v>0</v>
      </c>
      <c r="BI127" s="10">
        <v>0</v>
      </c>
      <c r="BJ127" s="33">
        <f t="shared" si="156"/>
        <v>0</v>
      </c>
      <c r="BK127" s="33">
        <f t="shared" si="157"/>
        <v>0</v>
      </c>
      <c r="BL127" s="48">
        <v>7</v>
      </c>
      <c r="BM127" s="12">
        <f t="shared" si="165"/>
        <v>7</v>
      </c>
      <c r="BN127" s="10">
        <v>0</v>
      </c>
      <c r="BO127" s="10">
        <v>0</v>
      </c>
      <c r="BP127" s="33">
        <f t="shared" si="158"/>
        <v>0</v>
      </c>
      <c r="BQ127" s="33">
        <f t="shared" si="159"/>
        <v>0</v>
      </c>
      <c r="BR127" s="48">
        <v>7</v>
      </c>
      <c r="BS127" s="12">
        <f t="shared" si="166"/>
        <v>7</v>
      </c>
      <c r="BT127" s="10">
        <v>0</v>
      </c>
      <c r="BU127" s="10">
        <v>0</v>
      </c>
      <c r="BV127" s="33">
        <f t="shared" si="160"/>
        <v>0</v>
      </c>
      <c r="BW127" s="33">
        <f t="shared" si="161"/>
        <v>0</v>
      </c>
      <c r="BX127" s="48">
        <v>7</v>
      </c>
      <c r="BY127" s="12">
        <f t="shared" si="167"/>
        <v>7</v>
      </c>
      <c r="BZ127" s="10">
        <v>0</v>
      </c>
      <c r="CA127" s="10">
        <v>0</v>
      </c>
      <c r="CB127" s="33">
        <f t="shared" si="162"/>
        <v>0</v>
      </c>
      <c r="CC127" s="33">
        <f t="shared" si="163"/>
        <v>0</v>
      </c>
      <c r="CD127" s="48">
        <v>7</v>
      </c>
      <c r="CE127" s="12">
        <f t="shared" si="168"/>
        <v>7</v>
      </c>
    </row>
    <row r="128" spans="1:83" ht="80.25" customHeight="1">
      <c r="A128" s="148" t="s">
        <v>427</v>
      </c>
      <c r="B128" s="155" t="s">
        <v>428</v>
      </c>
      <c r="C128" s="173" t="s">
        <v>429</v>
      </c>
      <c r="D128" s="156">
        <v>2009</v>
      </c>
      <c r="E128" s="154"/>
      <c r="F128" s="154"/>
      <c r="G128" s="154"/>
      <c r="H128" s="165">
        <v>50</v>
      </c>
      <c r="I128" s="159">
        <v>1</v>
      </c>
      <c r="J128" s="56">
        <v>0</v>
      </c>
      <c r="K128" s="33">
        <f t="shared" si="108"/>
        <v>0</v>
      </c>
      <c r="L128" s="10">
        <v>0</v>
      </c>
      <c r="M128" s="10">
        <v>0</v>
      </c>
      <c r="N128" s="33">
        <f t="shared" si="109"/>
        <v>0</v>
      </c>
      <c r="O128" s="33">
        <f t="shared" si="110"/>
        <v>0</v>
      </c>
      <c r="P128" s="56">
        <v>0</v>
      </c>
      <c r="Q128" s="33">
        <f t="shared" si="111"/>
        <v>0</v>
      </c>
      <c r="R128" s="56">
        <v>0</v>
      </c>
      <c r="S128" s="56">
        <v>0</v>
      </c>
      <c r="T128" s="33">
        <f t="shared" si="112"/>
        <v>0</v>
      </c>
      <c r="U128" s="33">
        <f t="shared" si="113"/>
        <v>0</v>
      </c>
      <c r="V128" s="56">
        <v>0</v>
      </c>
      <c r="W128" s="33">
        <f t="shared" si="114"/>
        <v>0</v>
      </c>
      <c r="X128" s="56">
        <v>0</v>
      </c>
      <c r="Y128" s="56">
        <v>0</v>
      </c>
      <c r="Z128" s="33">
        <f t="shared" si="115"/>
        <v>0</v>
      </c>
      <c r="AA128" s="33">
        <f t="shared" si="116"/>
        <v>0</v>
      </c>
      <c r="AB128" s="146">
        <v>50</v>
      </c>
      <c r="AC128" s="117">
        <f t="shared" si="118"/>
        <v>50</v>
      </c>
      <c r="AD128" s="10">
        <v>0</v>
      </c>
      <c r="AE128" s="10">
        <v>0</v>
      </c>
      <c r="AF128" s="117">
        <f t="shared" si="119"/>
        <v>0</v>
      </c>
      <c r="AG128" s="118">
        <f t="shared" si="120"/>
        <v>0</v>
      </c>
      <c r="AH128" s="80">
        <f t="shared" si="121"/>
        <v>50</v>
      </c>
      <c r="AI128" s="127">
        <f t="shared" si="155"/>
        <v>50</v>
      </c>
      <c r="AJ128" s="111">
        <v>0</v>
      </c>
      <c r="AK128" s="111">
        <v>0</v>
      </c>
      <c r="AL128" s="112">
        <f t="shared" ca="1" si="153"/>
        <v>0</v>
      </c>
      <c r="AM128" s="112">
        <f t="shared" si="154"/>
        <v>0</v>
      </c>
      <c r="AN128" s="80">
        <f t="shared" si="122"/>
        <v>50</v>
      </c>
      <c r="AO128" s="12">
        <f t="shared" si="123"/>
        <v>50</v>
      </c>
      <c r="AP128" s="10">
        <v>0</v>
      </c>
      <c r="AQ128" s="10">
        <v>0</v>
      </c>
      <c r="AR128" s="12">
        <f t="shared" si="124"/>
        <v>0</v>
      </c>
      <c r="AS128" s="12">
        <f t="shared" si="125"/>
        <v>0</v>
      </c>
      <c r="AT128" s="13">
        <f t="shared" si="126"/>
        <v>50</v>
      </c>
      <c r="AU128" s="12">
        <f t="shared" si="127"/>
        <v>50</v>
      </c>
      <c r="AV128" s="10">
        <v>0</v>
      </c>
      <c r="AW128" s="10">
        <v>0</v>
      </c>
      <c r="AX128" s="12">
        <f t="shared" si="128"/>
        <v>0</v>
      </c>
      <c r="AY128" s="12">
        <f t="shared" si="129"/>
        <v>0</v>
      </c>
      <c r="AZ128" s="32">
        <f t="shared" si="130"/>
        <v>50</v>
      </c>
      <c r="BA128" s="12">
        <f t="shared" si="131"/>
        <v>50</v>
      </c>
      <c r="BB128" s="10">
        <v>0</v>
      </c>
      <c r="BC128" s="10">
        <v>0</v>
      </c>
      <c r="BD128" s="12">
        <f t="shared" si="132"/>
        <v>0</v>
      </c>
      <c r="BE128" s="12">
        <f t="shared" si="133"/>
        <v>0</v>
      </c>
      <c r="BF128" s="48">
        <v>50</v>
      </c>
      <c r="BG128" s="12">
        <f t="shared" si="164"/>
        <v>50</v>
      </c>
      <c r="BH128" s="10">
        <v>0</v>
      </c>
      <c r="BI128" s="10">
        <v>0</v>
      </c>
      <c r="BJ128" s="33">
        <f t="shared" si="156"/>
        <v>0</v>
      </c>
      <c r="BK128" s="33">
        <f t="shared" si="157"/>
        <v>0</v>
      </c>
      <c r="BL128" s="48">
        <v>50</v>
      </c>
      <c r="BM128" s="12">
        <f t="shared" si="165"/>
        <v>50</v>
      </c>
      <c r="BN128" s="10">
        <v>0</v>
      </c>
      <c r="BO128" s="10">
        <v>0</v>
      </c>
      <c r="BP128" s="33">
        <f t="shared" si="158"/>
        <v>0</v>
      </c>
      <c r="BQ128" s="33">
        <f t="shared" si="159"/>
        <v>0</v>
      </c>
      <c r="BR128" s="48">
        <v>50</v>
      </c>
      <c r="BS128" s="12">
        <f t="shared" si="166"/>
        <v>50</v>
      </c>
      <c r="BT128" s="10">
        <v>0</v>
      </c>
      <c r="BU128" s="10">
        <v>0</v>
      </c>
      <c r="BV128" s="33">
        <f t="shared" si="160"/>
        <v>0</v>
      </c>
      <c r="BW128" s="33">
        <f t="shared" si="161"/>
        <v>0</v>
      </c>
      <c r="BX128" s="48">
        <v>50</v>
      </c>
      <c r="BY128" s="12">
        <f t="shared" si="167"/>
        <v>50</v>
      </c>
      <c r="BZ128" s="10">
        <v>0</v>
      </c>
      <c r="CA128" s="10">
        <v>0</v>
      </c>
      <c r="CB128" s="33">
        <f t="shared" si="162"/>
        <v>0</v>
      </c>
      <c r="CC128" s="33">
        <f t="shared" si="163"/>
        <v>0</v>
      </c>
      <c r="CD128" s="48">
        <v>50</v>
      </c>
      <c r="CE128" s="12">
        <f t="shared" si="168"/>
        <v>50</v>
      </c>
    </row>
    <row r="129" spans="1:83" ht="80.25" customHeight="1">
      <c r="A129" s="148" t="s">
        <v>430</v>
      </c>
      <c r="B129" s="155" t="s">
        <v>431</v>
      </c>
      <c r="C129" s="173" t="s">
        <v>432</v>
      </c>
      <c r="D129" s="156">
        <v>2009</v>
      </c>
      <c r="E129" s="154"/>
      <c r="F129" s="154"/>
      <c r="G129" s="154"/>
      <c r="H129" s="165">
        <v>1</v>
      </c>
      <c r="I129" s="159">
        <v>1</v>
      </c>
      <c r="J129" s="56">
        <v>0</v>
      </c>
      <c r="K129" s="33">
        <f t="shared" si="108"/>
        <v>0</v>
      </c>
      <c r="L129" s="10">
        <v>0</v>
      </c>
      <c r="M129" s="10">
        <v>0</v>
      </c>
      <c r="N129" s="33">
        <f t="shared" si="109"/>
        <v>0</v>
      </c>
      <c r="O129" s="33">
        <f t="shared" si="110"/>
        <v>0</v>
      </c>
      <c r="P129" s="56">
        <v>0</v>
      </c>
      <c r="Q129" s="33">
        <f t="shared" si="111"/>
        <v>0</v>
      </c>
      <c r="R129" s="56">
        <v>0</v>
      </c>
      <c r="S129" s="56">
        <v>0</v>
      </c>
      <c r="T129" s="33">
        <f t="shared" si="112"/>
        <v>0</v>
      </c>
      <c r="U129" s="33">
        <f t="shared" si="113"/>
        <v>0</v>
      </c>
      <c r="V129" s="56">
        <v>0</v>
      </c>
      <c r="W129" s="33">
        <f t="shared" si="114"/>
        <v>0</v>
      </c>
      <c r="X129" s="56">
        <v>0</v>
      </c>
      <c r="Y129" s="56">
        <v>0</v>
      </c>
      <c r="Z129" s="33">
        <f t="shared" si="115"/>
        <v>0</v>
      </c>
      <c r="AA129" s="33">
        <f t="shared" si="116"/>
        <v>0</v>
      </c>
      <c r="AB129" s="146">
        <v>1</v>
      </c>
      <c r="AC129" s="117">
        <f t="shared" si="118"/>
        <v>1</v>
      </c>
      <c r="AD129" s="10">
        <v>0</v>
      </c>
      <c r="AE129" s="10">
        <v>0</v>
      </c>
      <c r="AF129" s="117">
        <f t="shared" si="119"/>
        <v>0</v>
      </c>
      <c r="AG129" s="118">
        <f t="shared" si="120"/>
        <v>0</v>
      </c>
      <c r="AH129" s="80">
        <f t="shared" si="121"/>
        <v>1</v>
      </c>
      <c r="AI129" s="127">
        <f t="shared" si="155"/>
        <v>1</v>
      </c>
      <c r="AJ129" s="111">
        <v>0</v>
      </c>
      <c r="AK129" s="111">
        <v>0</v>
      </c>
      <c r="AL129" s="112">
        <f t="shared" ca="1" si="153"/>
        <v>0</v>
      </c>
      <c r="AM129" s="112">
        <f t="shared" si="154"/>
        <v>0</v>
      </c>
      <c r="AN129" s="80">
        <f t="shared" si="122"/>
        <v>1</v>
      </c>
      <c r="AO129" s="12">
        <f t="shared" si="123"/>
        <v>1</v>
      </c>
      <c r="AP129" s="10">
        <v>0</v>
      </c>
      <c r="AQ129" s="10">
        <v>0</v>
      </c>
      <c r="AR129" s="12">
        <f t="shared" si="124"/>
        <v>0</v>
      </c>
      <c r="AS129" s="12">
        <f t="shared" si="125"/>
        <v>0</v>
      </c>
      <c r="AT129" s="13">
        <f t="shared" si="126"/>
        <v>1</v>
      </c>
      <c r="AU129" s="12">
        <f t="shared" si="127"/>
        <v>1</v>
      </c>
      <c r="AV129" s="10">
        <v>0</v>
      </c>
      <c r="AW129" s="10">
        <v>0</v>
      </c>
      <c r="AX129" s="12">
        <f t="shared" si="128"/>
        <v>0</v>
      </c>
      <c r="AY129" s="12">
        <f t="shared" si="129"/>
        <v>0</v>
      </c>
      <c r="AZ129" s="32">
        <f t="shared" si="130"/>
        <v>1</v>
      </c>
      <c r="BA129" s="12">
        <f t="shared" si="131"/>
        <v>1</v>
      </c>
      <c r="BB129" s="10">
        <v>0</v>
      </c>
      <c r="BC129" s="10">
        <v>0</v>
      </c>
      <c r="BD129" s="12">
        <f t="shared" si="132"/>
        <v>0</v>
      </c>
      <c r="BE129" s="12">
        <f t="shared" si="133"/>
        <v>0</v>
      </c>
      <c r="BF129" s="48">
        <v>1</v>
      </c>
      <c r="BG129" s="12">
        <f t="shared" si="164"/>
        <v>1</v>
      </c>
      <c r="BH129" s="10">
        <v>0</v>
      </c>
      <c r="BI129" s="10">
        <v>0</v>
      </c>
      <c r="BJ129" s="33">
        <f t="shared" si="156"/>
        <v>0</v>
      </c>
      <c r="BK129" s="33">
        <f t="shared" si="157"/>
        <v>0</v>
      </c>
      <c r="BL129" s="48">
        <v>1</v>
      </c>
      <c r="BM129" s="12">
        <f t="shared" si="165"/>
        <v>1</v>
      </c>
      <c r="BN129" s="10">
        <v>0</v>
      </c>
      <c r="BO129" s="10">
        <v>0</v>
      </c>
      <c r="BP129" s="33">
        <f t="shared" si="158"/>
        <v>0</v>
      </c>
      <c r="BQ129" s="33">
        <f t="shared" si="159"/>
        <v>0</v>
      </c>
      <c r="BR129" s="48">
        <v>1</v>
      </c>
      <c r="BS129" s="12">
        <f t="shared" si="166"/>
        <v>1</v>
      </c>
      <c r="BT129" s="10">
        <v>0</v>
      </c>
      <c r="BU129" s="10">
        <v>0</v>
      </c>
      <c r="BV129" s="33">
        <f t="shared" si="160"/>
        <v>0</v>
      </c>
      <c r="BW129" s="33">
        <f t="shared" si="161"/>
        <v>0</v>
      </c>
      <c r="BX129" s="48">
        <v>1</v>
      </c>
      <c r="BY129" s="12">
        <f t="shared" si="167"/>
        <v>1</v>
      </c>
      <c r="BZ129" s="10">
        <v>0</v>
      </c>
      <c r="CA129" s="10">
        <v>0</v>
      </c>
      <c r="CB129" s="33">
        <f t="shared" si="162"/>
        <v>0</v>
      </c>
      <c r="CC129" s="33">
        <f t="shared" si="163"/>
        <v>0</v>
      </c>
      <c r="CD129" s="48">
        <v>1</v>
      </c>
      <c r="CE129" s="12">
        <f t="shared" si="168"/>
        <v>1</v>
      </c>
    </row>
    <row r="130" spans="1:83" ht="80.25" customHeight="1">
      <c r="A130" s="148" t="s">
        <v>433</v>
      </c>
      <c r="B130" s="155" t="s">
        <v>434</v>
      </c>
      <c r="C130" s="173" t="s">
        <v>435</v>
      </c>
      <c r="D130" s="156">
        <v>2016</v>
      </c>
      <c r="E130" s="154"/>
      <c r="F130" s="154"/>
      <c r="G130" s="154"/>
      <c r="H130" s="165">
        <v>5</v>
      </c>
      <c r="I130" s="159">
        <v>1</v>
      </c>
      <c r="J130" s="56">
        <v>0</v>
      </c>
      <c r="K130" s="33">
        <f t="shared" si="108"/>
        <v>0</v>
      </c>
      <c r="L130" s="10">
        <v>0</v>
      </c>
      <c r="M130" s="10">
        <v>0</v>
      </c>
      <c r="N130" s="33">
        <f t="shared" si="109"/>
        <v>0</v>
      </c>
      <c r="O130" s="33">
        <f t="shared" si="110"/>
        <v>0</v>
      </c>
      <c r="P130" s="56">
        <v>0</v>
      </c>
      <c r="Q130" s="33">
        <f t="shared" si="111"/>
        <v>0</v>
      </c>
      <c r="R130" s="56">
        <v>0</v>
      </c>
      <c r="S130" s="56">
        <v>0</v>
      </c>
      <c r="T130" s="33">
        <f t="shared" si="112"/>
        <v>0</v>
      </c>
      <c r="U130" s="33">
        <f t="shared" si="113"/>
        <v>0</v>
      </c>
      <c r="V130" s="56">
        <v>0</v>
      </c>
      <c r="W130" s="33">
        <f t="shared" si="114"/>
        <v>0</v>
      </c>
      <c r="X130" s="56">
        <v>0</v>
      </c>
      <c r="Y130" s="56">
        <v>0</v>
      </c>
      <c r="Z130" s="33">
        <f t="shared" si="115"/>
        <v>0</v>
      </c>
      <c r="AA130" s="33">
        <f t="shared" si="116"/>
        <v>0</v>
      </c>
      <c r="AB130" s="146">
        <v>5</v>
      </c>
      <c r="AC130" s="117">
        <f t="shared" si="118"/>
        <v>5</v>
      </c>
      <c r="AD130" s="10">
        <v>0</v>
      </c>
      <c r="AE130" s="10">
        <v>0</v>
      </c>
      <c r="AF130" s="117">
        <f t="shared" si="119"/>
        <v>0</v>
      </c>
      <c r="AG130" s="118">
        <f t="shared" si="120"/>
        <v>0</v>
      </c>
      <c r="AH130" s="80">
        <f t="shared" si="121"/>
        <v>5</v>
      </c>
      <c r="AI130" s="127">
        <f t="shared" si="155"/>
        <v>5</v>
      </c>
      <c r="AJ130" s="111">
        <v>0</v>
      </c>
      <c r="AK130" s="111">
        <v>0</v>
      </c>
      <c r="AL130" s="112">
        <f t="shared" ca="1" si="153"/>
        <v>0</v>
      </c>
      <c r="AM130" s="112">
        <f t="shared" si="154"/>
        <v>0</v>
      </c>
      <c r="AN130" s="80">
        <f t="shared" si="122"/>
        <v>5</v>
      </c>
      <c r="AO130" s="12">
        <f t="shared" si="123"/>
        <v>5</v>
      </c>
      <c r="AP130" s="10">
        <v>0</v>
      </c>
      <c r="AQ130" s="10">
        <v>0</v>
      </c>
      <c r="AR130" s="12">
        <f t="shared" si="124"/>
        <v>0</v>
      </c>
      <c r="AS130" s="12">
        <f t="shared" si="125"/>
        <v>0</v>
      </c>
      <c r="AT130" s="13">
        <f t="shared" si="126"/>
        <v>5</v>
      </c>
      <c r="AU130" s="12">
        <f t="shared" si="127"/>
        <v>5</v>
      </c>
      <c r="AV130" s="10">
        <v>0</v>
      </c>
      <c r="AW130" s="10">
        <v>0</v>
      </c>
      <c r="AX130" s="12">
        <f t="shared" si="128"/>
        <v>0</v>
      </c>
      <c r="AY130" s="12">
        <f t="shared" si="129"/>
        <v>0</v>
      </c>
      <c r="AZ130" s="32">
        <f t="shared" si="130"/>
        <v>5</v>
      </c>
      <c r="BA130" s="12">
        <f t="shared" si="131"/>
        <v>5</v>
      </c>
      <c r="BB130" s="10">
        <v>0</v>
      </c>
      <c r="BC130" s="10">
        <v>0</v>
      </c>
      <c r="BD130" s="12">
        <f t="shared" si="132"/>
        <v>0</v>
      </c>
      <c r="BE130" s="12">
        <f t="shared" si="133"/>
        <v>0</v>
      </c>
      <c r="BF130" s="48">
        <v>5</v>
      </c>
      <c r="BG130" s="12">
        <f t="shared" si="164"/>
        <v>5</v>
      </c>
      <c r="BH130" s="10">
        <v>0</v>
      </c>
      <c r="BI130" s="10">
        <v>0</v>
      </c>
      <c r="BJ130" s="33">
        <f t="shared" si="156"/>
        <v>0</v>
      </c>
      <c r="BK130" s="33">
        <f t="shared" si="157"/>
        <v>0</v>
      </c>
      <c r="BL130" s="48">
        <v>5</v>
      </c>
      <c r="BM130" s="12">
        <f t="shared" si="165"/>
        <v>5</v>
      </c>
      <c r="BN130" s="10">
        <v>0</v>
      </c>
      <c r="BO130" s="10">
        <v>0</v>
      </c>
      <c r="BP130" s="33">
        <f t="shared" si="158"/>
        <v>0</v>
      </c>
      <c r="BQ130" s="33">
        <f t="shared" si="159"/>
        <v>0</v>
      </c>
      <c r="BR130" s="48">
        <v>5</v>
      </c>
      <c r="BS130" s="12">
        <f t="shared" si="166"/>
        <v>5</v>
      </c>
      <c r="BT130" s="10">
        <v>0</v>
      </c>
      <c r="BU130" s="10">
        <v>0</v>
      </c>
      <c r="BV130" s="33">
        <f t="shared" si="160"/>
        <v>0</v>
      </c>
      <c r="BW130" s="33">
        <f t="shared" si="161"/>
        <v>0</v>
      </c>
      <c r="BX130" s="48">
        <v>5</v>
      </c>
      <c r="BY130" s="12">
        <f t="shared" si="167"/>
        <v>5</v>
      </c>
      <c r="BZ130" s="10">
        <v>0</v>
      </c>
      <c r="CA130" s="10">
        <v>0</v>
      </c>
      <c r="CB130" s="33">
        <f t="shared" si="162"/>
        <v>0</v>
      </c>
      <c r="CC130" s="33">
        <f t="shared" si="163"/>
        <v>0</v>
      </c>
      <c r="CD130" s="48">
        <v>5</v>
      </c>
      <c r="CE130" s="12">
        <f t="shared" si="168"/>
        <v>5</v>
      </c>
    </row>
    <row r="131" spans="1:83" ht="80.25" customHeight="1">
      <c r="A131" s="148" t="s">
        <v>436</v>
      </c>
      <c r="B131" s="155" t="s">
        <v>437</v>
      </c>
      <c r="C131" s="174" t="s">
        <v>438</v>
      </c>
      <c r="D131" s="157" t="s">
        <v>439</v>
      </c>
      <c r="E131" s="154"/>
      <c r="F131" s="154"/>
      <c r="G131" s="154"/>
      <c r="H131" s="165">
        <v>3</v>
      </c>
      <c r="I131" s="159">
        <v>1</v>
      </c>
      <c r="J131" s="56">
        <v>0</v>
      </c>
      <c r="K131" s="33">
        <f t="shared" si="108"/>
        <v>0</v>
      </c>
      <c r="L131" s="10">
        <v>0</v>
      </c>
      <c r="M131" s="10">
        <v>0</v>
      </c>
      <c r="N131" s="33">
        <f t="shared" si="109"/>
        <v>0</v>
      </c>
      <c r="O131" s="33">
        <f t="shared" si="110"/>
        <v>0</v>
      </c>
      <c r="P131" s="56">
        <v>0</v>
      </c>
      <c r="Q131" s="33">
        <f t="shared" si="111"/>
        <v>0</v>
      </c>
      <c r="R131" s="56">
        <v>0</v>
      </c>
      <c r="S131" s="56">
        <v>0</v>
      </c>
      <c r="T131" s="33">
        <f t="shared" si="112"/>
        <v>0</v>
      </c>
      <c r="U131" s="33">
        <f t="shared" si="113"/>
        <v>0</v>
      </c>
      <c r="V131" s="56">
        <v>0</v>
      </c>
      <c r="W131" s="33">
        <f t="shared" si="114"/>
        <v>0</v>
      </c>
      <c r="X131" s="56">
        <v>0</v>
      </c>
      <c r="Y131" s="56">
        <v>0</v>
      </c>
      <c r="Z131" s="33">
        <f t="shared" si="115"/>
        <v>0</v>
      </c>
      <c r="AA131" s="33">
        <f t="shared" si="116"/>
        <v>0</v>
      </c>
      <c r="AB131" s="146">
        <v>3</v>
      </c>
      <c r="AC131" s="117">
        <f t="shared" si="118"/>
        <v>3</v>
      </c>
      <c r="AD131" s="10">
        <v>0</v>
      </c>
      <c r="AE131" s="10">
        <v>0</v>
      </c>
      <c r="AF131" s="117">
        <f t="shared" si="119"/>
        <v>0</v>
      </c>
      <c r="AG131" s="118">
        <f t="shared" si="120"/>
        <v>0</v>
      </c>
      <c r="AH131" s="80">
        <f t="shared" si="121"/>
        <v>3</v>
      </c>
      <c r="AI131" s="127">
        <f t="shared" si="155"/>
        <v>3</v>
      </c>
      <c r="AJ131" s="111">
        <v>0</v>
      </c>
      <c r="AK131" s="111">
        <v>0</v>
      </c>
      <c r="AL131" s="112">
        <f t="shared" ca="1" si="153"/>
        <v>0</v>
      </c>
      <c r="AM131" s="112">
        <f t="shared" si="154"/>
        <v>0</v>
      </c>
      <c r="AN131" s="80">
        <f t="shared" si="122"/>
        <v>3</v>
      </c>
      <c r="AO131" s="12">
        <f t="shared" si="123"/>
        <v>3</v>
      </c>
      <c r="AP131" s="10">
        <v>0</v>
      </c>
      <c r="AQ131" s="10">
        <v>0</v>
      </c>
      <c r="AR131" s="12">
        <f t="shared" si="124"/>
        <v>0</v>
      </c>
      <c r="AS131" s="12">
        <f t="shared" si="125"/>
        <v>0</v>
      </c>
      <c r="AT131" s="13">
        <f t="shared" si="126"/>
        <v>3</v>
      </c>
      <c r="AU131" s="12">
        <f t="shared" si="127"/>
        <v>3</v>
      </c>
      <c r="AV131" s="10">
        <v>0</v>
      </c>
      <c r="AW131" s="10">
        <v>0</v>
      </c>
      <c r="AX131" s="12">
        <f t="shared" si="128"/>
        <v>0</v>
      </c>
      <c r="AY131" s="12">
        <f t="shared" si="129"/>
        <v>0</v>
      </c>
      <c r="AZ131" s="32">
        <f t="shared" si="130"/>
        <v>3</v>
      </c>
      <c r="BA131" s="12">
        <f t="shared" si="131"/>
        <v>3</v>
      </c>
      <c r="BB131" s="10">
        <v>0</v>
      </c>
      <c r="BC131" s="10">
        <v>0</v>
      </c>
      <c r="BD131" s="12">
        <f t="shared" si="132"/>
        <v>0</v>
      </c>
      <c r="BE131" s="12">
        <f t="shared" si="133"/>
        <v>0</v>
      </c>
      <c r="BF131" s="48">
        <v>3</v>
      </c>
      <c r="BG131" s="12">
        <f t="shared" si="164"/>
        <v>3</v>
      </c>
      <c r="BH131" s="10">
        <v>0</v>
      </c>
      <c r="BI131" s="10">
        <v>0</v>
      </c>
      <c r="BJ131" s="33">
        <f t="shared" si="156"/>
        <v>0</v>
      </c>
      <c r="BK131" s="33">
        <f t="shared" si="157"/>
        <v>0</v>
      </c>
      <c r="BL131" s="48">
        <v>3</v>
      </c>
      <c r="BM131" s="12">
        <f t="shared" si="165"/>
        <v>3</v>
      </c>
      <c r="BN131" s="10">
        <v>0</v>
      </c>
      <c r="BO131" s="10">
        <v>0</v>
      </c>
      <c r="BP131" s="33">
        <f t="shared" si="158"/>
        <v>0</v>
      </c>
      <c r="BQ131" s="33">
        <f t="shared" si="159"/>
        <v>0</v>
      </c>
      <c r="BR131" s="48">
        <v>3</v>
      </c>
      <c r="BS131" s="12">
        <f t="shared" si="166"/>
        <v>3</v>
      </c>
      <c r="BT131" s="10">
        <v>0</v>
      </c>
      <c r="BU131" s="10">
        <v>0</v>
      </c>
      <c r="BV131" s="33">
        <f t="shared" si="160"/>
        <v>0</v>
      </c>
      <c r="BW131" s="33">
        <f t="shared" si="161"/>
        <v>0</v>
      </c>
      <c r="BX131" s="48">
        <v>3</v>
      </c>
      <c r="BY131" s="12">
        <f t="shared" si="167"/>
        <v>3</v>
      </c>
      <c r="BZ131" s="10">
        <v>0</v>
      </c>
      <c r="CA131" s="10">
        <v>0</v>
      </c>
      <c r="CB131" s="33">
        <f t="shared" si="162"/>
        <v>0</v>
      </c>
      <c r="CC131" s="33">
        <f t="shared" si="163"/>
        <v>0</v>
      </c>
      <c r="CD131" s="48">
        <v>3</v>
      </c>
      <c r="CE131" s="12">
        <f t="shared" si="168"/>
        <v>3</v>
      </c>
    </row>
    <row r="132" spans="1:83" ht="80.25" customHeight="1">
      <c r="A132" s="148" t="s">
        <v>440</v>
      </c>
      <c r="B132" s="155" t="s">
        <v>441</v>
      </c>
      <c r="C132" s="174" t="s">
        <v>442</v>
      </c>
      <c r="D132" s="157">
        <v>2012</v>
      </c>
      <c r="E132" s="154"/>
      <c r="F132" s="154"/>
      <c r="G132" s="154"/>
      <c r="H132" s="165">
        <v>11</v>
      </c>
      <c r="I132" s="159">
        <v>1</v>
      </c>
      <c r="J132" s="56">
        <v>0</v>
      </c>
      <c r="K132" s="33">
        <f t="shared" si="108"/>
        <v>0</v>
      </c>
      <c r="L132" s="10">
        <v>0</v>
      </c>
      <c r="M132" s="10">
        <v>0</v>
      </c>
      <c r="N132" s="33">
        <f t="shared" si="109"/>
        <v>0</v>
      </c>
      <c r="O132" s="33">
        <f t="shared" si="110"/>
        <v>0</v>
      </c>
      <c r="P132" s="56">
        <v>0</v>
      </c>
      <c r="Q132" s="33">
        <f t="shared" si="111"/>
        <v>0</v>
      </c>
      <c r="R132" s="56">
        <v>0</v>
      </c>
      <c r="S132" s="56">
        <v>0</v>
      </c>
      <c r="T132" s="33">
        <f t="shared" si="112"/>
        <v>0</v>
      </c>
      <c r="U132" s="33">
        <f t="shared" si="113"/>
        <v>0</v>
      </c>
      <c r="V132" s="56">
        <v>0</v>
      </c>
      <c r="W132" s="33">
        <f t="shared" si="114"/>
        <v>0</v>
      </c>
      <c r="X132" s="56">
        <v>0</v>
      </c>
      <c r="Y132" s="56">
        <v>0</v>
      </c>
      <c r="Z132" s="33">
        <f t="shared" si="115"/>
        <v>0</v>
      </c>
      <c r="AA132" s="33">
        <f t="shared" si="116"/>
        <v>0</v>
      </c>
      <c r="AB132" s="146">
        <v>11</v>
      </c>
      <c r="AC132" s="117">
        <f t="shared" si="118"/>
        <v>11</v>
      </c>
      <c r="AD132" s="10">
        <v>0</v>
      </c>
      <c r="AE132" s="10">
        <v>0</v>
      </c>
      <c r="AF132" s="117">
        <f t="shared" si="119"/>
        <v>0</v>
      </c>
      <c r="AG132" s="118">
        <f t="shared" si="120"/>
        <v>0</v>
      </c>
      <c r="AH132" s="80">
        <f t="shared" si="121"/>
        <v>11</v>
      </c>
      <c r="AI132" s="127">
        <f t="shared" si="155"/>
        <v>11</v>
      </c>
      <c r="AJ132" s="111">
        <v>0</v>
      </c>
      <c r="AK132" s="111">
        <v>0</v>
      </c>
      <c r="AL132" s="112">
        <f t="shared" ca="1" si="153"/>
        <v>0</v>
      </c>
      <c r="AM132" s="112">
        <f t="shared" si="154"/>
        <v>0</v>
      </c>
      <c r="AN132" s="80">
        <f t="shared" si="122"/>
        <v>11</v>
      </c>
      <c r="AO132" s="12">
        <f t="shared" si="123"/>
        <v>11</v>
      </c>
      <c r="AP132" s="10">
        <v>0</v>
      </c>
      <c r="AQ132" s="10">
        <v>0</v>
      </c>
      <c r="AR132" s="12">
        <f t="shared" si="124"/>
        <v>0</v>
      </c>
      <c r="AS132" s="12">
        <f t="shared" si="125"/>
        <v>0</v>
      </c>
      <c r="AT132" s="13">
        <f t="shared" si="126"/>
        <v>11</v>
      </c>
      <c r="AU132" s="12">
        <f t="shared" si="127"/>
        <v>11</v>
      </c>
      <c r="AV132" s="10">
        <v>0</v>
      </c>
      <c r="AW132" s="10">
        <v>0</v>
      </c>
      <c r="AX132" s="12">
        <f t="shared" si="128"/>
        <v>0</v>
      </c>
      <c r="AY132" s="12">
        <f t="shared" si="129"/>
        <v>0</v>
      </c>
      <c r="AZ132" s="32">
        <f t="shared" si="130"/>
        <v>11</v>
      </c>
      <c r="BA132" s="12">
        <f t="shared" si="131"/>
        <v>11</v>
      </c>
      <c r="BB132" s="10">
        <v>0</v>
      </c>
      <c r="BC132" s="10">
        <v>0</v>
      </c>
      <c r="BD132" s="12">
        <f t="shared" si="132"/>
        <v>0</v>
      </c>
      <c r="BE132" s="12">
        <f t="shared" si="133"/>
        <v>0</v>
      </c>
      <c r="BF132" s="48">
        <v>11</v>
      </c>
      <c r="BG132" s="12">
        <f t="shared" si="164"/>
        <v>11</v>
      </c>
      <c r="BH132" s="10">
        <v>0</v>
      </c>
      <c r="BI132" s="10">
        <v>0</v>
      </c>
      <c r="BJ132" s="33">
        <f t="shared" si="156"/>
        <v>0</v>
      </c>
      <c r="BK132" s="33">
        <f t="shared" si="157"/>
        <v>0</v>
      </c>
      <c r="BL132" s="48">
        <v>11</v>
      </c>
      <c r="BM132" s="12">
        <f t="shared" si="165"/>
        <v>11</v>
      </c>
      <c r="BN132" s="10">
        <v>0</v>
      </c>
      <c r="BO132" s="10">
        <v>0</v>
      </c>
      <c r="BP132" s="33">
        <f t="shared" si="158"/>
        <v>0</v>
      </c>
      <c r="BQ132" s="33">
        <f t="shared" si="159"/>
        <v>0</v>
      </c>
      <c r="BR132" s="48">
        <v>11</v>
      </c>
      <c r="BS132" s="12">
        <f t="shared" si="166"/>
        <v>11</v>
      </c>
      <c r="BT132" s="10">
        <v>0</v>
      </c>
      <c r="BU132" s="10">
        <v>0</v>
      </c>
      <c r="BV132" s="33">
        <f t="shared" si="160"/>
        <v>0</v>
      </c>
      <c r="BW132" s="33">
        <f t="shared" si="161"/>
        <v>0</v>
      </c>
      <c r="BX132" s="48">
        <v>11</v>
      </c>
      <c r="BY132" s="12">
        <f t="shared" si="167"/>
        <v>11</v>
      </c>
      <c r="BZ132" s="10">
        <v>0</v>
      </c>
      <c r="CA132" s="10">
        <v>0</v>
      </c>
      <c r="CB132" s="33">
        <f t="shared" si="162"/>
        <v>0</v>
      </c>
      <c r="CC132" s="33">
        <f t="shared" si="163"/>
        <v>0</v>
      </c>
      <c r="CD132" s="48">
        <v>11</v>
      </c>
      <c r="CE132" s="12">
        <f t="shared" si="168"/>
        <v>11</v>
      </c>
    </row>
    <row r="133" spans="1:83" ht="80.25" customHeight="1">
      <c r="A133" s="148" t="s">
        <v>443</v>
      </c>
      <c r="B133" s="155" t="s">
        <v>444</v>
      </c>
      <c r="C133" s="173" t="s">
        <v>445</v>
      </c>
      <c r="D133" s="156">
        <v>2014</v>
      </c>
      <c r="E133" s="154"/>
      <c r="F133" s="154"/>
      <c r="G133" s="154"/>
      <c r="H133" s="165">
        <v>3</v>
      </c>
      <c r="I133" s="159">
        <v>1</v>
      </c>
      <c r="J133" s="56">
        <v>0</v>
      </c>
      <c r="K133" s="33">
        <f t="shared" ref="K133:K196" si="169">I133*J133</f>
        <v>0</v>
      </c>
      <c r="L133" s="10">
        <v>0</v>
      </c>
      <c r="M133" s="10">
        <v>0</v>
      </c>
      <c r="N133" s="33">
        <f t="shared" ref="N133:N196" si="170">M133*I133</f>
        <v>0</v>
      </c>
      <c r="O133" s="33">
        <f t="shared" ref="O133:O196" si="171">L133*I133</f>
        <v>0</v>
      </c>
      <c r="P133" s="56">
        <v>0</v>
      </c>
      <c r="Q133" s="33">
        <f t="shared" ref="Q133:Q196" si="172">P133*I133</f>
        <v>0</v>
      </c>
      <c r="R133" s="56">
        <v>0</v>
      </c>
      <c r="S133" s="56">
        <v>0</v>
      </c>
      <c r="T133" s="33">
        <f t="shared" ref="T133:T196" si="173">S133*O133</f>
        <v>0</v>
      </c>
      <c r="U133" s="33">
        <f t="shared" ref="U133:U196" si="174">R133*O133</f>
        <v>0</v>
      </c>
      <c r="V133" s="56">
        <v>0</v>
      </c>
      <c r="W133" s="33">
        <f t="shared" ref="W133:W196" si="175">V133*O133</f>
        <v>0</v>
      </c>
      <c r="X133" s="56">
        <v>0</v>
      </c>
      <c r="Y133" s="56">
        <v>0</v>
      </c>
      <c r="Z133" s="33">
        <f t="shared" ref="Z133:Z196" si="176">Y133*U133</f>
        <v>0</v>
      </c>
      <c r="AA133" s="33">
        <f t="shared" ref="AA133:AA196" si="177">X133*U133</f>
        <v>0</v>
      </c>
      <c r="AB133" s="146">
        <v>3</v>
      </c>
      <c r="AC133" s="117">
        <f t="shared" si="118"/>
        <v>3</v>
      </c>
      <c r="AD133" s="10">
        <v>0</v>
      </c>
      <c r="AE133" s="10">
        <v>0</v>
      </c>
      <c r="AF133" s="117">
        <f t="shared" si="119"/>
        <v>0</v>
      </c>
      <c r="AG133" s="118">
        <f t="shared" si="120"/>
        <v>0</v>
      </c>
      <c r="AH133" s="80">
        <f t="shared" si="121"/>
        <v>3</v>
      </c>
      <c r="AI133" s="127">
        <f t="shared" si="155"/>
        <v>3</v>
      </c>
      <c r="AJ133" s="111">
        <v>0</v>
      </c>
      <c r="AK133" s="111">
        <v>0</v>
      </c>
      <c r="AL133" s="112">
        <f t="shared" ca="1" si="153"/>
        <v>0</v>
      </c>
      <c r="AM133" s="112">
        <f t="shared" si="154"/>
        <v>0</v>
      </c>
      <c r="AN133" s="80">
        <f t="shared" si="122"/>
        <v>3</v>
      </c>
      <c r="AO133" s="12">
        <f t="shared" si="123"/>
        <v>3</v>
      </c>
      <c r="AP133" s="10">
        <v>0</v>
      </c>
      <c r="AQ133" s="10">
        <v>0</v>
      </c>
      <c r="AR133" s="12">
        <f t="shared" si="124"/>
        <v>0</v>
      </c>
      <c r="AS133" s="12">
        <f t="shared" si="125"/>
        <v>0</v>
      </c>
      <c r="AT133" s="13">
        <f t="shared" si="126"/>
        <v>3</v>
      </c>
      <c r="AU133" s="12">
        <f t="shared" si="127"/>
        <v>3</v>
      </c>
      <c r="AV133" s="10">
        <v>0</v>
      </c>
      <c r="AW133" s="10">
        <v>0</v>
      </c>
      <c r="AX133" s="12">
        <f t="shared" si="128"/>
        <v>0</v>
      </c>
      <c r="AY133" s="12">
        <f t="shared" si="129"/>
        <v>0</v>
      </c>
      <c r="AZ133" s="32">
        <f t="shared" si="130"/>
        <v>3</v>
      </c>
      <c r="BA133" s="12">
        <f t="shared" si="131"/>
        <v>3</v>
      </c>
      <c r="BB133" s="10">
        <v>0</v>
      </c>
      <c r="BC133" s="10">
        <v>0</v>
      </c>
      <c r="BD133" s="12">
        <f t="shared" si="132"/>
        <v>0</v>
      </c>
      <c r="BE133" s="12">
        <f t="shared" si="133"/>
        <v>0</v>
      </c>
      <c r="BF133" s="48">
        <v>3</v>
      </c>
      <c r="BG133" s="12">
        <f t="shared" ref="BG133:BG196" si="178">AN133*I133</f>
        <v>3</v>
      </c>
      <c r="BH133" s="10">
        <v>0</v>
      </c>
      <c r="BI133" s="10">
        <v>0</v>
      </c>
      <c r="BJ133" s="33">
        <f t="shared" si="156"/>
        <v>0</v>
      </c>
      <c r="BK133" s="33">
        <f t="shared" si="157"/>
        <v>0</v>
      </c>
      <c r="BL133" s="48">
        <v>3</v>
      </c>
      <c r="BM133" s="12">
        <f t="shared" ref="BM133:BM196" si="179">AN133*I133</f>
        <v>3</v>
      </c>
      <c r="BN133" s="10">
        <v>0</v>
      </c>
      <c r="BO133" s="10">
        <v>0</v>
      </c>
      <c r="BP133" s="33">
        <f t="shared" si="158"/>
        <v>0</v>
      </c>
      <c r="BQ133" s="33">
        <f t="shared" si="159"/>
        <v>0</v>
      </c>
      <c r="BR133" s="48">
        <v>3</v>
      </c>
      <c r="BS133" s="12">
        <f t="shared" ref="BS133:BS196" si="180">AN133*I133</f>
        <v>3</v>
      </c>
      <c r="BT133" s="10">
        <v>0</v>
      </c>
      <c r="BU133" s="10">
        <v>0</v>
      </c>
      <c r="BV133" s="33">
        <f t="shared" si="160"/>
        <v>0</v>
      </c>
      <c r="BW133" s="33">
        <f t="shared" si="161"/>
        <v>0</v>
      </c>
      <c r="BX133" s="48">
        <v>3</v>
      </c>
      <c r="BY133" s="12">
        <f t="shared" ref="BY133:BY196" si="181">AN133*I133</f>
        <v>3</v>
      </c>
      <c r="BZ133" s="10">
        <v>0</v>
      </c>
      <c r="CA133" s="10">
        <v>0</v>
      </c>
      <c r="CB133" s="33">
        <f t="shared" si="162"/>
        <v>0</v>
      </c>
      <c r="CC133" s="33">
        <f t="shared" si="163"/>
        <v>0</v>
      </c>
      <c r="CD133" s="48">
        <v>3</v>
      </c>
      <c r="CE133" s="12">
        <f t="shared" ref="CE133:CE196" si="182">AN133*I133</f>
        <v>3</v>
      </c>
    </row>
    <row r="134" spans="1:83" ht="80.25" customHeight="1">
      <c r="A134" s="148" t="s">
        <v>446</v>
      </c>
      <c r="B134" s="155" t="s">
        <v>447</v>
      </c>
      <c r="C134" s="173" t="s">
        <v>448</v>
      </c>
      <c r="D134" s="156">
        <v>2013</v>
      </c>
      <c r="E134" s="154"/>
      <c r="F134" s="154"/>
      <c r="G134" s="154"/>
      <c r="H134" s="165">
        <v>3</v>
      </c>
      <c r="I134" s="159">
        <v>1</v>
      </c>
      <c r="J134" s="56">
        <v>0</v>
      </c>
      <c r="K134" s="33">
        <f t="shared" si="169"/>
        <v>0</v>
      </c>
      <c r="L134" s="10">
        <v>0</v>
      </c>
      <c r="M134" s="10">
        <v>0</v>
      </c>
      <c r="N134" s="33">
        <f t="shared" si="170"/>
        <v>0</v>
      </c>
      <c r="O134" s="33">
        <f t="shared" si="171"/>
        <v>0</v>
      </c>
      <c r="P134" s="56">
        <v>0</v>
      </c>
      <c r="Q134" s="33">
        <f t="shared" si="172"/>
        <v>0</v>
      </c>
      <c r="R134" s="56">
        <v>0</v>
      </c>
      <c r="S134" s="56">
        <v>0</v>
      </c>
      <c r="T134" s="33">
        <f t="shared" si="173"/>
        <v>0</v>
      </c>
      <c r="U134" s="33">
        <f t="shared" si="174"/>
        <v>0</v>
      </c>
      <c r="V134" s="56">
        <v>0</v>
      </c>
      <c r="W134" s="33">
        <f t="shared" si="175"/>
        <v>0</v>
      </c>
      <c r="X134" s="56">
        <v>0</v>
      </c>
      <c r="Y134" s="56">
        <v>0</v>
      </c>
      <c r="Z134" s="33">
        <f t="shared" si="176"/>
        <v>0</v>
      </c>
      <c r="AA134" s="33">
        <f t="shared" si="177"/>
        <v>0</v>
      </c>
      <c r="AB134" s="146">
        <v>3</v>
      </c>
      <c r="AC134" s="117">
        <f t="shared" si="118"/>
        <v>3</v>
      </c>
      <c r="AD134" s="10">
        <v>0</v>
      </c>
      <c r="AE134" s="10">
        <v>0</v>
      </c>
      <c r="AF134" s="117">
        <f t="shared" si="119"/>
        <v>0</v>
      </c>
      <c r="AG134" s="118">
        <f t="shared" si="120"/>
        <v>0</v>
      </c>
      <c r="AH134" s="80">
        <f t="shared" si="121"/>
        <v>3</v>
      </c>
      <c r="AI134" s="127">
        <f t="shared" si="155"/>
        <v>3</v>
      </c>
      <c r="AJ134" s="111">
        <v>0</v>
      </c>
      <c r="AK134" s="111">
        <v>0</v>
      </c>
      <c r="AL134" s="112">
        <f t="shared" ca="1" si="153"/>
        <v>0</v>
      </c>
      <c r="AM134" s="112">
        <f t="shared" si="154"/>
        <v>0</v>
      </c>
      <c r="AN134" s="80">
        <f t="shared" si="122"/>
        <v>3</v>
      </c>
      <c r="AO134" s="12">
        <f t="shared" si="123"/>
        <v>3</v>
      </c>
      <c r="AP134" s="10">
        <v>0</v>
      </c>
      <c r="AQ134" s="10">
        <v>0</v>
      </c>
      <c r="AR134" s="12">
        <f t="shared" si="124"/>
        <v>0</v>
      </c>
      <c r="AS134" s="12">
        <f t="shared" si="125"/>
        <v>0</v>
      </c>
      <c r="AT134" s="13">
        <f t="shared" si="126"/>
        <v>3</v>
      </c>
      <c r="AU134" s="12">
        <f t="shared" si="127"/>
        <v>3</v>
      </c>
      <c r="AV134" s="10">
        <v>0</v>
      </c>
      <c r="AW134" s="10">
        <v>0</v>
      </c>
      <c r="AX134" s="12">
        <f t="shared" si="128"/>
        <v>0</v>
      </c>
      <c r="AY134" s="12">
        <f t="shared" si="129"/>
        <v>0</v>
      </c>
      <c r="AZ134" s="32">
        <f t="shared" si="130"/>
        <v>3</v>
      </c>
      <c r="BA134" s="12">
        <f t="shared" si="131"/>
        <v>3</v>
      </c>
      <c r="BB134" s="10">
        <v>0</v>
      </c>
      <c r="BC134" s="10">
        <v>0</v>
      </c>
      <c r="BD134" s="12">
        <f t="shared" si="132"/>
        <v>0</v>
      </c>
      <c r="BE134" s="12">
        <f t="shared" si="133"/>
        <v>0</v>
      </c>
      <c r="BF134" s="48">
        <v>3</v>
      </c>
      <c r="BG134" s="12">
        <f t="shared" si="178"/>
        <v>3</v>
      </c>
      <c r="BH134" s="10">
        <v>0</v>
      </c>
      <c r="BI134" s="10">
        <v>0</v>
      </c>
      <c r="BJ134" s="33">
        <f t="shared" si="156"/>
        <v>0</v>
      </c>
      <c r="BK134" s="33">
        <f t="shared" si="157"/>
        <v>0</v>
      </c>
      <c r="BL134" s="48">
        <v>3</v>
      </c>
      <c r="BM134" s="12">
        <f t="shared" si="179"/>
        <v>3</v>
      </c>
      <c r="BN134" s="10">
        <v>0</v>
      </c>
      <c r="BO134" s="10">
        <v>0</v>
      </c>
      <c r="BP134" s="33">
        <f t="shared" si="158"/>
        <v>0</v>
      </c>
      <c r="BQ134" s="33">
        <f t="shared" si="159"/>
        <v>0</v>
      </c>
      <c r="BR134" s="48">
        <v>3</v>
      </c>
      <c r="BS134" s="12">
        <f t="shared" si="180"/>
        <v>3</v>
      </c>
      <c r="BT134" s="10">
        <v>0</v>
      </c>
      <c r="BU134" s="10">
        <v>0</v>
      </c>
      <c r="BV134" s="33">
        <f t="shared" si="160"/>
        <v>0</v>
      </c>
      <c r="BW134" s="33">
        <f t="shared" si="161"/>
        <v>0</v>
      </c>
      <c r="BX134" s="48">
        <v>3</v>
      </c>
      <c r="BY134" s="12">
        <f t="shared" si="181"/>
        <v>3</v>
      </c>
      <c r="BZ134" s="10">
        <v>0</v>
      </c>
      <c r="CA134" s="10">
        <v>0</v>
      </c>
      <c r="CB134" s="33">
        <f t="shared" si="162"/>
        <v>0</v>
      </c>
      <c r="CC134" s="33">
        <f t="shared" si="163"/>
        <v>0</v>
      </c>
      <c r="CD134" s="48">
        <v>3</v>
      </c>
      <c r="CE134" s="12">
        <f t="shared" si="182"/>
        <v>3</v>
      </c>
    </row>
    <row r="135" spans="1:83" ht="80.25" customHeight="1">
      <c r="A135" s="148" t="s">
        <v>449</v>
      </c>
      <c r="B135" s="155" t="s">
        <v>450</v>
      </c>
      <c r="C135" s="173" t="s">
        <v>451</v>
      </c>
      <c r="D135" s="156">
        <v>2011</v>
      </c>
      <c r="E135" s="154"/>
      <c r="F135" s="154"/>
      <c r="G135" s="154"/>
      <c r="H135" s="165">
        <v>188</v>
      </c>
      <c r="I135" s="159">
        <v>1</v>
      </c>
      <c r="J135" s="56">
        <v>0</v>
      </c>
      <c r="K135" s="33">
        <f t="shared" si="169"/>
        <v>0</v>
      </c>
      <c r="L135" s="10">
        <v>0</v>
      </c>
      <c r="M135" s="10">
        <v>0</v>
      </c>
      <c r="N135" s="33">
        <f t="shared" si="170"/>
        <v>0</v>
      </c>
      <c r="O135" s="33">
        <f t="shared" si="171"/>
        <v>0</v>
      </c>
      <c r="P135" s="56">
        <v>0</v>
      </c>
      <c r="Q135" s="33">
        <f t="shared" si="172"/>
        <v>0</v>
      </c>
      <c r="R135" s="56">
        <v>0</v>
      </c>
      <c r="S135" s="56">
        <v>0</v>
      </c>
      <c r="T135" s="33">
        <f t="shared" si="173"/>
        <v>0</v>
      </c>
      <c r="U135" s="33">
        <f t="shared" si="174"/>
        <v>0</v>
      </c>
      <c r="V135" s="56">
        <v>0</v>
      </c>
      <c r="W135" s="33">
        <f t="shared" si="175"/>
        <v>0</v>
      </c>
      <c r="X135" s="56">
        <v>0</v>
      </c>
      <c r="Y135" s="56">
        <v>0</v>
      </c>
      <c r="Z135" s="33">
        <f t="shared" si="176"/>
        <v>0</v>
      </c>
      <c r="AA135" s="33">
        <f t="shared" si="177"/>
        <v>0</v>
      </c>
      <c r="AB135" s="146">
        <v>188</v>
      </c>
      <c r="AC135" s="117">
        <f t="shared" ref="AC135:AC198" si="183">AB135*I135</f>
        <v>188</v>
      </c>
      <c r="AD135" s="10">
        <v>0</v>
      </c>
      <c r="AE135" s="10">
        <v>0</v>
      </c>
      <c r="AF135" s="117">
        <f t="shared" ref="AF135:AF198" si="184">AE135*I135</f>
        <v>0</v>
      </c>
      <c r="AG135" s="118">
        <f t="shared" ref="AG135:AG198" si="185">AD135*I135</f>
        <v>0</v>
      </c>
      <c r="AH135" s="80">
        <f t="shared" ref="AH135:AH198" si="186">SUM(AB135-AD135+AE135)</f>
        <v>188</v>
      </c>
      <c r="AI135" s="127">
        <f t="shared" si="155"/>
        <v>188</v>
      </c>
      <c r="AJ135" s="111">
        <v>0</v>
      </c>
      <c r="AK135" s="111">
        <v>0</v>
      </c>
      <c r="AL135" s="112">
        <f t="shared" ca="1" si="153"/>
        <v>0</v>
      </c>
      <c r="AM135" s="112">
        <f t="shared" si="154"/>
        <v>0</v>
      </c>
      <c r="AN135" s="80">
        <f t="shared" ref="AN135:AN198" si="187">AH135-AJ135+AK135</f>
        <v>188</v>
      </c>
      <c r="AO135" s="12">
        <f t="shared" ref="AO135:AO198" si="188">AN135*I135</f>
        <v>188</v>
      </c>
      <c r="AP135" s="10">
        <v>0</v>
      </c>
      <c r="AQ135" s="10">
        <v>0</v>
      </c>
      <c r="AR135" s="12">
        <f t="shared" ref="AR135:AR198" si="189">AQ135*I135</f>
        <v>0</v>
      </c>
      <c r="AS135" s="12">
        <f t="shared" ref="AS135:AS198" si="190">AP135*I135</f>
        <v>0</v>
      </c>
      <c r="AT135" s="13">
        <f t="shared" ref="AT135:AT198" si="191">AN135-AP135+AQ135</f>
        <v>188</v>
      </c>
      <c r="AU135" s="12">
        <f t="shared" ref="AU135:AU198" si="192">AT135*I135</f>
        <v>188</v>
      </c>
      <c r="AV135" s="10">
        <v>0</v>
      </c>
      <c r="AW135" s="10">
        <v>0</v>
      </c>
      <c r="AX135" s="12">
        <f t="shared" ref="AX135:AX198" si="193">AW135*I135</f>
        <v>0</v>
      </c>
      <c r="AY135" s="12">
        <f t="shared" ref="AY135:AY198" si="194">AV135*I135</f>
        <v>0</v>
      </c>
      <c r="AZ135" s="32">
        <f t="shared" ref="AZ135:AZ198" si="195">AT135-AV135+AW135</f>
        <v>188</v>
      </c>
      <c r="BA135" s="12">
        <f t="shared" ref="BA135:BA198" si="196">AZ135*I135</f>
        <v>188</v>
      </c>
      <c r="BB135" s="10">
        <v>0</v>
      </c>
      <c r="BC135" s="10">
        <v>0</v>
      </c>
      <c r="BD135" s="12">
        <f t="shared" ref="BD135:BD198" si="197">BC135*I135</f>
        <v>0</v>
      </c>
      <c r="BE135" s="12">
        <f t="shared" ref="BE135:BE198" si="198">BB135*I135</f>
        <v>0</v>
      </c>
      <c r="BF135" s="48">
        <v>188</v>
      </c>
      <c r="BG135" s="12">
        <f t="shared" si="178"/>
        <v>188</v>
      </c>
      <c r="BH135" s="10">
        <v>0</v>
      </c>
      <c r="BI135" s="10">
        <v>0</v>
      </c>
      <c r="BJ135" s="33">
        <f t="shared" si="156"/>
        <v>0</v>
      </c>
      <c r="BK135" s="33">
        <f t="shared" si="157"/>
        <v>0</v>
      </c>
      <c r="BL135" s="48">
        <v>188</v>
      </c>
      <c r="BM135" s="12">
        <f t="shared" si="179"/>
        <v>188</v>
      </c>
      <c r="BN135" s="10">
        <v>0</v>
      </c>
      <c r="BO135" s="10">
        <v>0</v>
      </c>
      <c r="BP135" s="33">
        <f t="shared" si="158"/>
        <v>0</v>
      </c>
      <c r="BQ135" s="33">
        <f t="shared" si="159"/>
        <v>0</v>
      </c>
      <c r="BR135" s="48">
        <v>188</v>
      </c>
      <c r="BS135" s="12">
        <f t="shared" si="180"/>
        <v>188</v>
      </c>
      <c r="BT135" s="10">
        <v>0</v>
      </c>
      <c r="BU135" s="10">
        <v>0</v>
      </c>
      <c r="BV135" s="33">
        <f t="shared" si="160"/>
        <v>0</v>
      </c>
      <c r="BW135" s="33">
        <f t="shared" si="161"/>
        <v>0</v>
      </c>
      <c r="BX135" s="48">
        <v>188</v>
      </c>
      <c r="BY135" s="12">
        <f t="shared" si="181"/>
        <v>188</v>
      </c>
      <c r="BZ135" s="10">
        <v>0</v>
      </c>
      <c r="CA135" s="10">
        <v>0</v>
      </c>
      <c r="CB135" s="33">
        <f t="shared" si="162"/>
        <v>0</v>
      </c>
      <c r="CC135" s="33">
        <f t="shared" si="163"/>
        <v>0</v>
      </c>
      <c r="CD135" s="48">
        <v>188</v>
      </c>
      <c r="CE135" s="12">
        <f t="shared" si="182"/>
        <v>188</v>
      </c>
    </row>
    <row r="136" spans="1:83" ht="80.25" customHeight="1">
      <c r="A136" s="148" t="s">
        <v>452</v>
      </c>
      <c r="B136" s="155" t="s">
        <v>453</v>
      </c>
      <c r="C136" s="174" t="s">
        <v>454</v>
      </c>
      <c r="D136" s="157">
        <v>2015</v>
      </c>
      <c r="E136" s="154"/>
      <c r="F136" s="154"/>
      <c r="G136" s="154"/>
      <c r="H136" s="165">
        <v>5</v>
      </c>
      <c r="I136" s="159">
        <v>1</v>
      </c>
      <c r="J136" s="56">
        <v>0</v>
      </c>
      <c r="K136" s="33">
        <f t="shared" si="169"/>
        <v>0</v>
      </c>
      <c r="L136" s="10">
        <v>0</v>
      </c>
      <c r="M136" s="10">
        <v>0</v>
      </c>
      <c r="N136" s="33">
        <f t="shared" si="170"/>
        <v>0</v>
      </c>
      <c r="O136" s="33">
        <f t="shared" si="171"/>
        <v>0</v>
      </c>
      <c r="P136" s="56">
        <v>0</v>
      </c>
      <c r="Q136" s="33">
        <f t="shared" si="172"/>
        <v>0</v>
      </c>
      <c r="R136" s="56">
        <v>0</v>
      </c>
      <c r="S136" s="56">
        <v>0</v>
      </c>
      <c r="T136" s="33">
        <f t="shared" si="173"/>
        <v>0</v>
      </c>
      <c r="U136" s="33">
        <f t="shared" si="174"/>
        <v>0</v>
      </c>
      <c r="V136" s="56">
        <v>0</v>
      </c>
      <c r="W136" s="33">
        <f t="shared" si="175"/>
        <v>0</v>
      </c>
      <c r="X136" s="56">
        <v>0</v>
      </c>
      <c r="Y136" s="56">
        <v>0</v>
      </c>
      <c r="Z136" s="33">
        <f t="shared" si="176"/>
        <v>0</v>
      </c>
      <c r="AA136" s="33">
        <f t="shared" si="177"/>
        <v>0</v>
      </c>
      <c r="AB136" s="146">
        <v>5</v>
      </c>
      <c r="AC136" s="117">
        <f t="shared" si="183"/>
        <v>5</v>
      </c>
      <c r="AD136" s="10">
        <v>0</v>
      </c>
      <c r="AE136" s="10">
        <v>0</v>
      </c>
      <c r="AF136" s="117">
        <f t="shared" si="184"/>
        <v>0</v>
      </c>
      <c r="AG136" s="118">
        <f t="shared" si="185"/>
        <v>0</v>
      </c>
      <c r="AH136" s="80">
        <f t="shared" si="186"/>
        <v>5</v>
      </c>
      <c r="AI136" s="127">
        <f t="shared" si="155"/>
        <v>5</v>
      </c>
      <c r="AJ136" s="111">
        <v>0</v>
      </c>
      <c r="AK136" s="111">
        <v>0</v>
      </c>
      <c r="AL136" s="112">
        <f t="shared" ca="1" si="153"/>
        <v>0</v>
      </c>
      <c r="AM136" s="112">
        <f t="shared" si="154"/>
        <v>0</v>
      </c>
      <c r="AN136" s="80">
        <f t="shared" si="187"/>
        <v>5</v>
      </c>
      <c r="AO136" s="12">
        <f t="shared" si="188"/>
        <v>5</v>
      </c>
      <c r="AP136" s="10">
        <v>0</v>
      </c>
      <c r="AQ136" s="10">
        <v>0</v>
      </c>
      <c r="AR136" s="12">
        <f t="shared" si="189"/>
        <v>0</v>
      </c>
      <c r="AS136" s="12">
        <f t="shared" si="190"/>
        <v>0</v>
      </c>
      <c r="AT136" s="13">
        <f t="shared" si="191"/>
        <v>5</v>
      </c>
      <c r="AU136" s="12">
        <f t="shared" si="192"/>
        <v>5</v>
      </c>
      <c r="AV136" s="10">
        <v>0</v>
      </c>
      <c r="AW136" s="10">
        <v>0</v>
      </c>
      <c r="AX136" s="12">
        <f t="shared" si="193"/>
        <v>0</v>
      </c>
      <c r="AY136" s="12">
        <f t="shared" si="194"/>
        <v>0</v>
      </c>
      <c r="AZ136" s="32">
        <f t="shared" si="195"/>
        <v>5</v>
      </c>
      <c r="BA136" s="12">
        <f t="shared" si="196"/>
        <v>5</v>
      </c>
      <c r="BB136" s="10">
        <v>0</v>
      </c>
      <c r="BC136" s="10">
        <v>0</v>
      </c>
      <c r="BD136" s="12">
        <f t="shared" si="197"/>
        <v>0</v>
      </c>
      <c r="BE136" s="12">
        <f t="shared" si="198"/>
        <v>0</v>
      </c>
      <c r="BF136" s="48">
        <v>5</v>
      </c>
      <c r="BG136" s="12">
        <f t="shared" si="178"/>
        <v>5</v>
      </c>
      <c r="BH136" s="10">
        <v>0</v>
      </c>
      <c r="BI136" s="10">
        <v>0</v>
      </c>
      <c r="BJ136" s="33">
        <f t="shared" si="156"/>
        <v>0</v>
      </c>
      <c r="BK136" s="33">
        <f t="shared" si="157"/>
        <v>0</v>
      </c>
      <c r="BL136" s="48">
        <v>5</v>
      </c>
      <c r="BM136" s="12">
        <f t="shared" si="179"/>
        <v>5</v>
      </c>
      <c r="BN136" s="10">
        <v>0</v>
      </c>
      <c r="BO136" s="10">
        <v>0</v>
      </c>
      <c r="BP136" s="33">
        <f t="shared" si="158"/>
        <v>0</v>
      </c>
      <c r="BQ136" s="33">
        <f t="shared" si="159"/>
        <v>0</v>
      </c>
      <c r="BR136" s="48">
        <v>5</v>
      </c>
      <c r="BS136" s="12">
        <f t="shared" si="180"/>
        <v>5</v>
      </c>
      <c r="BT136" s="10">
        <v>0</v>
      </c>
      <c r="BU136" s="10">
        <v>0</v>
      </c>
      <c r="BV136" s="33">
        <f t="shared" si="160"/>
        <v>0</v>
      </c>
      <c r="BW136" s="33">
        <f t="shared" si="161"/>
        <v>0</v>
      </c>
      <c r="BX136" s="48">
        <v>5</v>
      </c>
      <c r="BY136" s="12">
        <f t="shared" si="181"/>
        <v>5</v>
      </c>
      <c r="BZ136" s="10">
        <v>0</v>
      </c>
      <c r="CA136" s="10">
        <v>0</v>
      </c>
      <c r="CB136" s="33">
        <f t="shared" si="162"/>
        <v>0</v>
      </c>
      <c r="CC136" s="33">
        <f t="shared" si="163"/>
        <v>0</v>
      </c>
      <c r="CD136" s="48">
        <v>5</v>
      </c>
      <c r="CE136" s="12">
        <f t="shared" si="182"/>
        <v>5</v>
      </c>
    </row>
    <row r="137" spans="1:83" ht="80.25" customHeight="1">
      <c r="A137" s="148" t="s">
        <v>455</v>
      </c>
      <c r="B137" s="155" t="s">
        <v>456</v>
      </c>
      <c r="C137" s="174" t="s">
        <v>457</v>
      </c>
      <c r="D137" s="157">
        <v>2005</v>
      </c>
      <c r="E137" s="154"/>
      <c r="F137" s="154"/>
      <c r="G137" s="154"/>
      <c r="H137" s="165">
        <v>1</v>
      </c>
      <c r="I137" s="159">
        <v>1</v>
      </c>
      <c r="J137" s="56">
        <v>0</v>
      </c>
      <c r="K137" s="33">
        <f t="shared" si="169"/>
        <v>0</v>
      </c>
      <c r="L137" s="10">
        <v>0</v>
      </c>
      <c r="M137" s="10">
        <v>0</v>
      </c>
      <c r="N137" s="33">
        <f t="shared" si="170"/>
        <v>0</v>
      </c>
      <c r="O137" s="33">
        <f t="shared" si="171"/>
        <v>0</v>
      </c>
      <c r="P137" s="56">
        <v>0</v>
      </c>
      <c r="Q137" s="33">
        <f t="shared" si="172"/>
        <v>0</v>
      </c>
      <c r="R137" s="56">
        <v>0</v>
      </c>
      <c r="S137" s="56">
        <v>0</v>
      </c>
      <c r="T137" s="33">
        <f t="shared" si="173"/>
        <v>0</v>
      </c>
      <c r="U137" s="33">
        <f t="shared" si="174"/>
        <v>0</v>
      </c>
      <c r="V137" s="56">
        <v>0</v>
      </c>
      <c r="W137" s="33">
        <f t="shared" si="175"/>
        <v>0</v>
      </c>
      <c r="X137" s="56">
        <v>0</v>
      </c>
      <c r="Y137" s="56">
        <v>0</v>
      </c>
      <c r="Z137" s="33">
        <f t="shared" si="176"/>
        <v>0</v>
      </c>
      <c r="AA137" s="33">
        <f t="shared" si="177"/>
        <v>0</v>
      </c>
      <c r="AB137" s="146">
        <v>1</v>
      </c>
      <c r="AC137" s="117">
        <f t="shared" si="183"/>
        <v>1</v>
      </c>
      <c r="AD137" s="10">
        <v>0</v>
      </c>
      <c r="AE137" s="10">
        <v>0</v>
      </c>
      <c r="AF137" s="117">
        <f t="shared" si="184"/>
        <v>0</v>
      </c>
      <c r="AG137" s="118">
        <f t="shared" si="185"/>
        <v>0</v>
      </c>
      <c r="AH137" s="80">
        <f t="shared" si="186"/>
        <v>1</v>
      </c>
      <c r="AI137" s="127">
        <f t="shared" si="155"/>
        <v>1</v>
      </c>
      <c r="AJ137" s="111">
        <v>0</v>
      </c>
      <c r="AK137" s="111">
        <v>0</v>
      </c>
      <c r="AL137" s="112">
        <f t="shared" ca="1" si="153"/>
        <v>0</v>
      </c>
      <c r="AM137" s="112">
        <f t="shared" si="154"/>
        <v>0</v>
      </c>
      <c r="AN137" s="80">
        <f t="shared" si="187"/>
        <v>1</v>
      </c>
      <c r="AO137" s="12">
        <f t="shared" si="188"/>
        <v>1</v>
      </c>
      <c r="AP137" s="10">
        <v>0</v>
      </c>
      <c r="AQ137" s="10">
        <v>0</v>
      </c>
      <c r="AR137" s="12">
        <f t="shared" si="189"/>
        <v>0</v>
      </c>
      <c r="AS137" s="12">
        <f t="shared" si="190"/>
        <v>0</v>
      </c>
      <c r="AT137" s="13">
        <f t="shared" si="191"/>
        <v>1</v>
      </c>
      <c r="AU137" s="12">
        <f t="shared" si="192"/>
        <v>1</v>
      </c>
      <c r="AV137" s="10">
        <v>0</v>
      </c>
      <c r="AW137" s="10">
        <v>0</v>
      </c>
      <c r="AX137" s="12">
        <f t="shared" si="193"/>
        <v>0</v>
      </c>
      <c r="AY137" s="12">
        <f t="shared" si="194"/>
        <v>0</v>
      </c>
      <c r="AZ137" s="32">
        <f t="shared" si="195"/>
        <v>1</v>
      </c>
      <c r="BA137" s="12">
        <f t="shared" si="196"/>
        <v>1</v>
      </c>
      <c r="BB137" s="10">
        <v>0</v>
      </c>
      <c r="BC137" s="10">
        <v>0</v>
      </c>
      <c r="BD137" s="12">
        <f t="shared" si="197"/>
        <v>0</v>
      </c>
      <c r="BE137" s="12">
        <f t="shared" si="198"/>
        <v>0</v>
      </c>
      <c r="BF137" s="48">
        <v>1</v>
      </c>
      <c r="BG137" s="12">
        <f t="shared" si="178"/>
        <v>1</v>
      </c>
      <c r="BH137" s="10">
        <v>0</v>
      </c>
      <c r="BI137" s="10">
        <v>0</v>
      </c>
      <c r="BJ137" s="33">
        <f t="shared" si="156"/>
        <v>0</v>
      </c>
      <c r="BK137" s="33">
        <f t="shared" si="157"/>
        <v>0</v>
      </c>
      <c r="BL137" s="48">
        <v>1</v>
      </c>
      <c r="BM137" s="12">
        <f t="shared" si="179"/>
        <v>1</v>
      </c>
      <c r="BN137" s="10">
        <v>0</v>
      </c>
      <c r="BO137" s="10">
        <v>0</v>
      </c>
      <c r="BP137" s="33">
        <f t="shared" si="158"/>
        <v>0</v>
      </c>
      <c r="BQ137" s="33">
        <f t="shared" si="159"/>
        <v>0</v>
      </c>
      <c r="BR137" s="48">
        <v>1</v>
      </c>
      <c r="BS137" s="12">
        <f t="shared" si="180"/>
        <v>1</v>
      </c>
      <c r="BT137" s="10">
        <v>0</v>
      </c>
      <c r="BU137" s="10">
        <v>0</v>
      </c>
      <c r="BV137" s="33">
        <f t="shared" si="160"/>
        <v>0</v>
      </c>
      <c r="BW137" s="33">
        <f t="shared" si="161"/>
        <v>0</v>
      </c>
      <c r="BX137" s="48">
        <v>1</v>
      </c>
      <c r="BY137" s="12">
        <f t="shared" si="181"/>
        <v>1</v>
      </c>
      <c r="BZ137" s="10">
        <v>0</v>
      </c>
      <c r="CA137" s="10">
        <v>0</v>
      </c>
      <c r="CB137" s="33">
        <f t="shared" si="162"/>
        <v>0</v>
      </c>
      <c r="CC137" s="33">
        <f t="shared" si="163"/>
        <v>0</v>
      </c>
      <c r="CD137" s="48">
        <v>1</v>
      </c>
      <c r="CE137" s="12">
        <f t="shared" si="182"/>
        <v>1</v>
      </c>
    </row>
    <row r="138" spans="1:83" ht="80.25" customHeight="1">
      <c r="A138" s="148" t="s">
        <v>458</v>
      </c>
      <c r="B138" s="155" t="s">
        <v>459</v>
      </c>
      <c r="C138" s="174" t="s">
        <v>460</v>
      </c>
      <c r="D138" s="157">
        <v>2012</v>
      </c>
      <c r="E138" s="154"/>
      <c r="F138" s="154"/>
      <c r="G138" s="154"/>
      <c r="H138" s="165">
        <v>4</v>
      </c>
      <c r="I138" s="159">
        <v>1</v>
      </c>
      <c r="J138" s="56">
        <v>0</v>
      </c>
      <c r="K138" s="33">
        <f t="shared" si="169"/>
        <v>0</v>
      </c>
      <c r="L138" s="10">
        <v>0</v>
      </c>
      <c r="M138" s="10">
        <v>0</v>
      </c>
      <c r="N138" s="33">
        <f t="shared" si="170"/>
        <v>0</v>
      </c>
      <c r="O138" s="33">
        <f t="shared" si="171"/>
        <v>0</v>
      </c>
      <c r="P138" s="56">
        <v>0</v>
      </c>
      <c r="Q138" s="33">
        <f t="shared" si="172"/>
        <v>0</v>
      </c>
      <c r="R138" s="56">
        <v>0</v>
      </c>
      <c r="S138" s="56">
        <v>0</v>
      </c>
      <c r="T138" s="33">
        <f t="shared" si="173"/>
        <v>0</v>
      </c>
      <c r="U138" s="33">
        <f t="shared" si="174"/>
        <v>0</v>
      </c>
      <c r="V138" s="56">
        <v>0</v>
      </c>
      <c r="W138" s="33">
        <f t="shared" si="175"/>
        <v>0</v>
      </c>
      <c r="X138" s="56">
        <v>0</v>
      </c>
      <c r="Y138" s="56">
        <v>0</v>
      </c>
      <c r="Z138" s="33">
        <f t="shared" si="176"/>
        <v>0</v>
      </c>
      <c r="AA138" s="33">
        <f t="shared" si="177"/>
        <v>0</v>
      </c>
      <c r="AB138" s="146">
        <v>4</v>
      </c>
      <c r="AC138" s="117">
        <f t="shared" si="183"/>
        <v>4</v>
      </c>
      <c r="AD138" s="10">
        <v>0</v>
      </c>
      <c r="AE138" s="10">
        <v>0</v>
      </c>
      <c r="AF138" s="117">
        <f t="shared" si="184"/>
        <v>0</v>
      </c>
      <c r="AG138" s="118">
        <f t="shared" si="185"/>
        <v>0</v>
      </c>
      <c r="AH138" s="80">
        <f t="shared" si="186"/>
        <v>4</v>
      </c>
      <c r="AI138" s="127">
        <f t="shared" ref="AI138:AI169" si="199">AH138*I138</f>
        <v>4</v>
      </c>
      <c r="AJ138" s="111">
        <v>0</v>
      </c>
      <c r="AK138" s="111">
        <v>0</v>
      </c>
      <c r="AL138" s="112">
        <f t="shared" ca="1" si="153"/>
        <v>0</v>
      </c>
      <c r="AM138" s="112">
        <f t="shared" si="154"/>
        <v>0</v>
      </c>
      <c r="AN138" s="80">
        <f t="shared" si="187"/>
        <v>4</v>
      </c>
      <c r="AO138" s="12">
        <f t="shared" si="188"/>
        <v>4</v>
      </c>
      <c r="AP138" s="10">
        <v>0</v>
      </c>
      <c r="AQ138" s="10">
        <v>0</v>
      </c>
      <c r="AR138" s="12">
        <f t="shared" si="189"/>
        <v>0</v>
      </c>
      <c r="AS138" s="12">
        <f t="shared" si="190"/>
        <v>0</v>
      </c>
      <c r="AT138" s="13">
        <f t="shared" si="191"/>
        <v>4</v>
      </c>
      <c r="AU138" s="12">
        <f t="shared" si="192"/>
        <v>4</v>
      </c>
      <c r="AV138" s="10">
        <v>0</v>
      </c>
      <c r="AW138" s="10">
        <v>0</v>
      </c>
      <c r="AX138" s="12">
        <f t="shared" si="193"/>
        <v>0</v>
      </c>
      <c r="AY138" s="12">
        <f t="shared" si="194"/>
        <v>0</v>
      </c>
      <c r="AZ138" s="32">
        <f t="shared" si="195"/>
        <v>4</v>
      </c>
      <c r="BA138" s="12">
        <f t="shared" si="196"/>
        <v>4</v>
      </c>
      <c r="BB138" s="10">
        <v>0</v>
      </c>
      <c r="BC138" s="10">
        <v>0</v>
      </c>
      <c r="BD138" s="12">
        <f t="shared" si="197"/>
        <v>0</v>
      </c>
      <c r="BE138" s="12">
        <f t="shared" si="198"/>
        <v>0</v>
      </c>
      <c r="BF138" s="48">
        <v>2</v>
      </c>
      <c r="BG138" s="12">
        <f t="shared" si="178"/>
        <v>4</v>
      </c>
      <c r="BH138" s="10">
        <v>0</v>
      </c>
      <c r="BI138" s="10">
        <v>0</v>
      </c>
      <c r="BJ138" s="33">
        <f t="shared" ref="BJ138:BJ169" si="200">BI138*AM138</f>
        <v>0</v>
      </c>
      <c r="BK138" s="33">
        <f t="shared" ref="BK138:BK169" si="201">BJ138*AN138</f>
        <v>0</v>
      </c>
      <c r="BL138" s="48">
        <v>2</v>
      </c>
      <c r="BM138" s="12">
        <f t="shared" si="179"/>
        <v>4</v>
      </c>
      <c r="BN138" s="10">
        <v>0</v>
      </c>
      <c r="BO138" s="10">
        <v>0</v>
      </c>
      <c r="BP138" s="33">
        <f t="shared" ref="BP138:BP169" si="202">BO138*AS138</f>
        <v>0</v>
      </c>
      <c r="BQ138" s="33">
        <f t="shared" ref="BQ138:BQ169" si="203">BP138*AT138</f>
        <v>0</v>
      </c>
      <c r="BR138" s="48">
        <v>2</v>
      </c>
      <c r="BS138" s="12">
        <f t="shared" si="180"/>
        <v>4</v>
      </c>
      <c r="BT138" s="10">
        <v>0</v>
      </c>
      <c r="BU138" s="10">
        <v>0</v>
      </c>
      <c r="BV138" s="33">
        <f t="shared" ref="BV138:BV169" si="204">BU138*AY138</f>
        <v>0</v>
      </c>
      <c r="BW138" s="33">
        <f t="shared" ref="BW138:BW169" si="205">BV138*AZ138</f>
        <v>0</v>
      </c>
      <c r="BX138" s="48">
        <v>2</v>
      </c>
      <c r="BY138" s="12">
        <f t="shared" si="181"/>
        <v>4</v>
      </c>
      <c r="BZ138" s="10">
        <v>0</v>
      </c>
      <c r="CA138" s="10">
        <v>0</v>
      </c>
      <c r="CB138" s="33">
        <f t="shared" ref="CB138:CB169" si="206">CA138*BE138</f>
        <v>0</v>
      </c>
      <c r="CC138" s="33">
        <f t="shared" ref="CC138:CC169" si="207">CB138*BF138</f>
        <v>0</v>
      </c>
      <c r="CD138" s="48">
        <v>2</v>
      </c>
      <c r="CE138" s="12">
        <f t="shared" si="182"/>
        <v>4</v>
      </c>
    </row>
    <row r="139" spans="1:83" ht="80.25" customHeight="1">
      <c r="A139" s="148" t="s">
        <v>461</v>
      </c>
      <c r="B139" s="155" t="s">
        <v>462</v>
      </c>
      <c r="C139" s="174" t="s">
        <v>463</v>
      </c>
      <c r="D139" s="157">
        <v>2014</v>
      </c>
      <c r="E139" s="154"/>
      <c r="F139" s="154"/>
      <c r="G139" s="154"/>
      <c r="H139" s="165">
        <v>5</v>
      </c>
      <c r="I139" s="159">
        <v>1</v>
      </c>
      <c r="J139" s="56">
        <v>0</v>
      </c>
      <c r="K139" s="33">
        <f t="shared" si="169"/>
        <v>0</v>
      </c>
      <c r="L139" s="10">
        <v>0</v>
      </c>
      <c r="M139" s="10">
        <v>0</v>
      </c>
      <c r="N139" s="33">
        <f t="shared" si="170"/>
        <v>0</v>
      </c>
      <c r="O139" s="33">
        <f t="shared" si="171"/>
        <v>0</v>
      </c>
      <c r="P139" s="56">
        <v>0</v>
      </c>
      <c r="Q139" s="33">
        <f t="shared" si="172"/>
        <v>0</v>
      </c>
      <c r="R139" s="56">
        <v>0</v>
      </c>
      <c r="S139" s="56">
        <v>0</v>
      </c>
      <c r="T139" s="33">
        <f t="shared" si="173"/>
        <v>0</v>
      </c>
      <c r="U139" s="33">
        <f t="shared" si="174"/>
        <v>0</v>
      </c>
      <c r="V139" s="56">
        <v>0</v>
      </c>
      <c r="W139" s="33">
        <f t="shared" si="175"/>
        <v>0</v>
      </c>
      <c r="X139" s="56">
        <v>0</v>
      </c>
      <c r="Y139" s="56">
        <v>0</v>
      </c>
      <c r="Z139" s="33">
        <f t="shared" si="176"/>
        <v>0</v>
      </c>
      <c r="AA139" s="33">
        <f t="shared" si="177"/>
        <v>0</v>
      </c>
      <c r="AB139" s="146">
        <v>5</v>
      </c>
      <c r="AC139" s="117">
        <f t="shared" si="183"/>
        <v>5</v>
      </c>
      <c r="AD139" s="10">
        <v>0</v>
      </c>
      <c r="AE139" s="10">
        <v>0</v>
      </c>
      <c r="AF139" s="117">
        <f t="shared" si="184"/>
        <v>0</v>
      </c>
      <c r="AG139" s="118">
        <f t="shared" si="185"/>
        <v>0</v>
      </c>
      <c r="AH139" s="80">
        <f t="shared" si="186"/>
        <v>5</v>
      </c>
      <c r="AI139" s="127">
        <f t="shared" si="199"/>
        <v>5</v>
      </c>
      <c r="AJ139" s="111">
        <v>0</v>
      </c>
      <c r="AK139" s="111">
        <v>0</v>
      </c>
      <c r="AL139" s="112">
        <f t="shared" ca="1" si="153"/>
        <v>0</v>
      </c>
      <c r="AM139" s="112">
        <f t="shared" si="154"/>
        <v>0</v>
      </c>
      <c r="AN139" s="80">
        <f t="shared" si="187"/>
        <v>5</v>
      </c>
      <c r="AO139" s="12">
        <f t="shared" si="188"/>
        <v>5</v>
      </c>
      <c r="AP139" s="10">
        <v>0</v>
      </c>
      <c r="AQ139" s="10">
        <v>0</v>
      </c>
      <c r="AR139" s="12">
        <f t="shared" si="189"/>
        <v>0</v>
      </c>
      <c r="AS139" s="12">
        <f t="shared" si="190"/>
        <v>0</v>
      </c>
      <c r="AT139" s="13">
        <f t="shared" si="191"/>
        <v>5</v>
      </c>
      <c r="AU139" s="12">
        <f t="shared" si="192"/>
        <v>5</v>
      </c>
      <c r="AV139" s="10">
        <v>0</v>
      </c>
      <c r="AW139" s="10">
        <v>0</v>
      </c>
      <c r="AX139" s="12">
        <f t="shared" si="193"/>
        <v>0</v>
      </c>
      <c r="AY139" s="12">
        <f t="shared" si="194"/>
        <v>0</v>
      </c>
      <c r="AZ139" s="32">
        <f t="shared" si="195"/>
        <v>5</v>
      </c>
      <c r="BA139" s="12">
        <f t="shared" si="196"/>
        <v>5</v>
      </c>
      <c r="BB139" s="10">
        <v>0</v>
      </c>
      <c r="BC139" s="10">
        <v>0</v>
      </c>
      <c r="BD139" s="12">
        <f t="shared" si="197"/>
        <v>0</v>
      </c>
      <c r="BE139" s="12">
        <f t="shared" si="198"/>
        <v>0</v>
      </c>
      <c r="BF139" s="48">
        <v>3</v>
      </c>
      <c r="BG139" s="12">
        <f t="shared" si="178"/>
        <v>5</v>
      </c>
      <c r="BH139" s="10">
        <v>0</v>
      </c>
      <c r="BI139" s="10">
        <v>0</v>
      </c>
      <c r="BJ139" s="33">
        <f t="shared" si="200"/>
        <v>0</v>
      </c>
      <c r="BK139" s="33">
        <f t="shared" si="201"/>
        <v>0</v>
      </c>
      <c r="BL139" s="48">
        <v>3</v>
      </c>
      <c r="BM139" s="12">
        <f t="shared" si="179"/>
        <v>5</v>
      </c>
      <c r="BN139" s="10">
        <v>0</v>
      </c>
      <c r="BO139" s="10">
        <v>0</v>
      </c>
      <c r="BP139" s="33">
        <f t="shared" si="202"/>
        <v>0</v>
      </c>
      <c r="BQ139" s="33">
        <f t="shared" si="203"/>
        <v>0</v>
      </c>
      <c r="BR139" s="48">
        <v>3</v>
      </c>
      <c r="BS139" s="12">
        <f t="shared" si="180"/>
        <v>5</v>
      </c>
      <c r="BT139" s="10">
        <v>0</v>
      </c>
      <c r="BU139" s="10">
        <v>0</v>
      </c>
      <c r="BV139" s="33">
        <f t="shared" si="204"/>
        <v>0</v>
      </c>
      <c r="BW139" s="33">
        <f t="shared" si="205"/>
        <v>0</v>
      </c>
      <c r="BX139" s="48">
        <v>3</v>
      </c>
      <c r="BY139" s="12">
        <f t="shared" si="181"/>
        <v>5</v>
      </c>
      <c r="BZ139" s="10">
        <v>0</v>
      </c>
      <c r="CA139" s="10">
        <v>0</v>
      </c>
      <c r="CB139" s="33">
        <f t="shared" si="206"/>
        <v>0</v>
      </c>
      <c r="CC139" s="33">
        <f t="shared" si="207"/>
        <v>0</v>
      </c>
      <c r="CD139" s="48">
        <v>3</v>
      </c>
      <c r="CE139" s="12">
        <f t="shared" si="182"/>
        <v>5</v>
      </c>
    </row>
    <row r="140" spans="1:83" ht="80.25" customHeight="1">
      <c r="A140" s="148" t="s">
        <v>464</v>
      </c>
      <c r="B140" s="155" t="s">
        <v>465</v>
      </c>
      <c r="C140" s="174" t="s">
        <v>466</v>
      </c>
      <c r="D140" s="157">
        <v>2006</v>
      </c>
      <c r="E140" s="154"/>
      <c r="F140" s="154"/>
      <c r="G140" s="154"/>
      <c r="H140" s="165">
        <v>2</v>
      </c>
      <c r="I140" s="159">
        <v>1</v>
      </c>
      <c r="J140" s="56">
        <v>0</v>
      </c>
      <c r="K140" s="33">
        <f t="shared" si="169"/>
        <v>0</v>
      </c>
      <c r="L140" s="10">
        <v>0</v>
      </c>
      <c r="M140" s="10">
        <v>0</v>
      </c>
      <c r="N140" s="33">
        <f t="shared" si="170"/>
        <v>0</v>
      </c>
      <c r="O140" s="33">
        <f t="shared" si="171"/>
        <v>0</v>
      </c>
      <c r="P140" s="56">
        <v>0</v>
      </c>
      <c r="Q140" s="33">
        <f t="shared" si="172"/>
        <v>0</v>
      </c>
      <c r="R140" s="56">
        <v>0</v>
      </c>
      <c r="S140" s="56">
        <v>0</v>
      </c>
      <c r="T140" s="33">
        <f t="shared" si="173"/>
        <v>0</v>
      </c>
      <c r="U140" s="33">
        <f t="shared" si="174"/>
        <v>0</v>
      </c>
      <c r="V140" s="56">
        <v>0</v>
      </c>
      <c r="W140" s="33">
        <f t="shared" si="175"/>
        <v>0</v>
      </c>
      <c r="X140" s="56">
        <v>0</v>
      </c>
      <c r="Y140" s="56">
        <v>0</v>
      </c>
      <c r="Z140" s="33">
        <f t="shared" si="176"/>
        <v>0</v>
      </c>
      <c r="AA140" s="33">
        <f t="shared" si="177"/>
        <v>0</v>
      </c>
      <c r="AB140" s="146">
        <v>2</v>
      </c>
      <c r="AC140" s="117">
        <f t="shared" si="183"/>
        <v>2</v>
      </c>
      <c r="AD140" s="10">
        <v>0</v>
      </c>
      <c r="AE140" s="10">
        <v>0</v>
      </c>
      <c r="AF140" s="117">
        <f t="shared" si="184"/>
        <v>0</v>
      </c>
      <c r="AG140" s="118">
        <f t="shared" si="185"/>
        <v>0</v>
      </c>
      <c r="AH140" s="80">
        <f t="shared" si="186"/>
        <v>2</v>
      </c>
      <c r="AI140" s="127">
        <f t="shared" si="199"/>
        <v>2</v>
      </c>
      <c r="AJ140" s="111">
        <v>0</v>
      </c>
      <c r="AK140" s="111">
        <v>0</v>
      </c>
      <c r="AL140" s="112">
        <f t="shared" ca="1" si="153"/>
        <v>0</v>
      </c>
      <c r="AM140" s="112">
        <f t="shared" si="154"/>
        <v>0</v>
      </c>
      <c r="AN140" s="80">
        <f t="shared" si="187"/>
        <v>2</v>
      </c>
      <c r="AO140" s="12">
        <f t="shared" si="188"/>
        <v>2</v>
      </c>
      <c r="AP140" s="10">
        <v>0</v>
      </c>
      <c r="AQ140" s="10">
        <v>0</v>
      </c>
      <c r="AR140" s="12">
        <f t="shared" si="189"/>
        <v>0</v>
      </c>
      <c r="AS140" s="12">
        <f t="shared" si="190"/>
        <v>0</v>
      </c>
      <c r="AT140" s="13">
        <f t="shared" si="191"/>
        <v>2</v>
      </c>
      <c r="AU140" s="12">
        <f t="shared" si="192"/>
        <v>2</v>
      </c>
      <c r="AV140" s="10">
        <v>0</v>
      </c>
      <c r="AW140" s="10">
        <v>0</v>
      </c>
      <c r="AX140" s="12">
        <f t="shared" si="193"/>
        <v>0</v>
      </c>
      <c r="AY140" s="12">
        <f t="shared" si="194"/>
        <v>0</v>
      </c>
      <c r="AZ140" s="32">
        <f t="shared" si="195"/>
        <v>2</v>
      </c>
      <c r="BA140" s="12">
        <f t="shared" si="196"/>
        <v>2</v>
      </c>
      <c r="BB140" s="10">
        <v>0</v>
      </c>
      <c r="BC140" s="10">
        <v>0</v>
      </c>
      <c r="BD140" s="12">
        <f t="shared" si="197"/>
        <v>0</v>
      </c>
      <c r="BE140" s="12">
        <f t="shared" si="198"/>
        <v>0</v>
      </c>
      <c r="BF140" s="48">
        <v>2</v>
      </c>
      <c r="BG140" s="12">
        <f t="shared" si="178"/>
        <v>2</v>
      </c>
      <c r="BH140" s="10">
        <v>0</v>
      </c>
      <c r="BI140" s="10">
        <v>0</v>
      </c>
      <c r="BJ140" s="33">
        <f t="shared" si="200"/>
        <v>0</v>
      </c>
      <c r="BK140" s="33">
        <f t="shared" si="201"/>
        <v>0</v>
      </c>
      <c r="BL140" s="48">
        <v>2</v>
      </c>
      <c r="BM140" s="12">
        <f t="shared" si="179"/>
        <v>2</v>
      </c>
      <c r="BN140" s="10">
        <v>0</v>
      </c>
      <c r="BO140" s="10">
        <v>0</v>
      </c>
      <c r="BP140" s="33">
        <f t="shared" si="202"/>
        <v>0</v>
      </c>
      <c r="BQ140" s="33">
        <f t="shared" si="203"/>
        <v>0</v>
      </c>
      <c r="BR140" s="48">
        <v>2</v>
      </c>
      <c r="BS140" s="12">
        <f t="shared" si="180"/>
        <v>2</v>
      </c>
      <c r="BT140" s="10">
        <v>0</v>
      </c>
      <c r="BU140" s="10">
        <v>0</v>
      </c>
      <c r="BV140" s="33">
        <f t="shared" si="204"/>
        <v>0</v>
      </c>
      <c r="BW140" s="33">
        <f t="shared" si="205"/>
        <v>0</v>
      </c>
      <c r="BX140" s="48">
        <v>2</v>
      </c>
      <c r="BY140" s="12">
        <f t="shared" si="181"/>
        <v>2</v>
      </c>
      <c r="BZ140" s="10">
        <v>0</v>
      </c>
      <c r="CA140" s="10">
        <v>0</v>
      </c>
      <c r="CB140" s="33">
        <f t="shared" si="206"/>
        <v>0</v>
      </c>
      <c r="CC140" s="33">
        <f t="shared" si="207"/>
        <v>0</v>
      </c>
      <c r="CD140" s="48">
        <v>2</v>
      </c>
      <c r="CE140" s="12">
        <f t="shared" si="182"/>
        <v>2</v>
      </c>
    </row>
    <row r="141" spans="1:83" ht="80.25" customHeight="1">
      <c r="A141" s="148" t="s">
        <v>467</v>
      </c>
      <c r="B141" s="155" t="s">
        <v>468</v>
      </c>
      <c r="C141" s="176" t="s">
        <v>469</v>
      </c>
      <c r="D141" s="156">
        <v>2014</v>
      </c>
      <c r="E141" s="154"/>
      <c r="F141" s="154"/>
      <c r="G141" s="154"/>
      <c r="H141" s="165">
        <v>10</v>
      </c>
      <c r="I141" s="159">
        <v>1</v>
      </c>
      <c r="J141" s="56">
        <v>0</v>
      </c>
      <c r="K141" s="33">
        <f t="shared" si="169"/>
        <v>0</v>
      </c>
      <c r="L141" s="10">
        <v>0</v>
      </c>
      <c r="M141" s="10">
        <v>0</v>
      </c>
      <c r="N141" s="33">
        <f t="shared" si="170"/>
        <v>0</v>
      </c>
      <c r="O141" s="33">
        <f t="shared" si="171"/>
        <v>0</v>
      </c>
      <c r="P141" s="56">
        <v>0</v>
      </c>
      <c r="Q141" s="33">
        <f t="shared" si="172"/>
        <v>0</v>
      </c>
      <c r="R141" s="56">
        <v>0</v>
      </c>
      <c r="S141" s="56">
        <v>0</v>
      </c>
      <c r="T141" s="33">
        <f t="shared" si="173"/>
        <v>0</v>
      </c>
      <c r="U141" s="33">
        <f t="shared" si="174"/>
        <v>0</v>
      </c>
      <c r="V141" s="56">
        <v>0</v>
      </c>
      <c r="W141" s="33">
        <f t="shared" si="175"/>
        <v>0</v>
      </c>
      <c r="X141" s="56">
        <v>0</v>
      </c>
      <c r="Y141" s="56">
        <v>0</v>
      </c>
      <c r="Z141" s="33">
        <f t="shared" si="176"/>
        <v>0</v>
      </c>
      <c r="AA141" s="33">
        <f t="shared" si="177"/>
        <v>0</v>
      </c>
      <c r="AB141" s="146">
        <v>10</v>
      </c>
      <c r="AC141" s="117">
        <f t="shared" si="183"/>
        <v>10</v>
      </c>
      <c r="AD141" s="10">
        <v>0</v>
      </c>
      <c r="AE141" s="10">
        <v>0</v>
      </c>
      <c r="AF141" s="117">
        <f t="shared" si="184"/>
        <v>0</v>
      </c>
      <c r="AG141" s="118">
        <f t="shared" si="185"/>
        <v>0</v>
      </c>
      <c r="AH141" s="80">
        <f t="shared" si="186"/>
        <v>10</v>
      </c>
      <c r="AI141" s="127">
        <f t="shared" si="199"/>
        <v>10</v>
      </c>
      <c r="AJ141" s="111">
        <v>0</v>
      </c>
      <c r="AK141" s="111">
        <v>0</v>
      </c>
      <c r="AL141" s="112">
        <f t="shared" ca="1" si="153"/>
        <v>0</v>
      </c>
      <c r="AM141" s="112">
        <f t="shared" si="154"/>
        <v>0</v>
      </c>
      <c r="AN141" s="80">
        <f t="shared" si="187"/>
        <v>10</v>
      </c>
      <c r="AO141" s="12">
        <f t="shared" si="188"/>
        <v>10</v>
      </c>
      <c r="AP141" s="10">
        <v>0</v>
      </c>
      <c r="AQ141" s="10">
        <v>0</v>
      </c>
      <c r="AR141" s="12">
        <f t="shared" si="189"/>
        <v>0</v>
      </c>
      <c r="AS141" s="12">
        <f t="shared" si="190"/>
        <v>0</v>
      </c>
      <c r="AT141" s="13">
        <f t="shared" si="191"/>
        <v>10</v>
      </c>
      <c r="AU141" s="12">
        <f t="shared" si="192"/>
        <v>10</v>
      </c>
      <c r="AV141" s="10">
        <v>0</v>
      </c>
      <c r="AW141" s="10">
        <v>0</v>
      </c>
      <c r="AX141" s="12">
        <f t="shared" si="193"/>
        <v>0</v>
      </c>
      <c r="AY141" s="12">
        <f t="shared" si="194"/>
        <v>0</v>
      </c>
      <c r="AZ141" s="32">
        <f t="shared" si="195"/>
        <v>10</v>
      </c>
      <c r="BA141" s="12">
        <f t="shared" si="196"/>
        <v>10</v>
      </c>
      <c r="BB141" s="10">
        <v>0</v>
      </c>
      <c r="BC141" s="10">
        <v>0</v>
      </c>
      <c r="BD141" s="12">
        <f t="shared" si="197"/>
        <v>0</v>
      </c>
      <c r="BE141" s="12">
        <f t="shared" si="198"/>
        <v>0</v>
      </c>
      <c r="BF141" s="48">
        <v>10</v>
      </c>
      <c r="BG141" s="12">
        <f t="shared" si="178"/>
        <v>10</v>
      </c>
      <c r="BH141" s="10">
        <v>0</v>
      </c>
      <c r="BI141" s="10">
        <v>0</v>
      </c>
      <c r="BJ141" s="33">
        <f t="shared" si="200"/>
        <v>0</v>
      </c>
      <c r="BK141" s="33">
        <f t="shared" si="201"/>
        <v>0</v>
      </c>
      <c r="BL141" s="48">
        <v>10</v>
      </c>
      <c r="BM141" s="12">
        <f t="shared" si="179"/>
        <v>10</v>
      </c>
      <c r="BN141" s="10">
        <v>0</v>
      </c>
      <c r="BO141" s="10">
        <v>0</v>
      </c>
      <c r="BP141" s="33">
        <f t="shared" si="202"/>
        <v>0</v>
      </c>
      <c r="BQ141" s="33">
        <f t="shared" si="203"/>
        <v>0</v>
      </c>
      <c r="BR141" s="48">
        <v>10</v>
      </c>
      <c r="BS141" s="12">
        <f t="shared" si="180"/>
        <v>10</v>
      </c>
      <c r="BT141" s="10">
        <v>0</v>
      </c>
      <c r="BU141" s="10">
        <v>0</v>
      </c>
      <c r="BV141" s="33">
        <f t="shared" si="204"/>
        <v>0</v>
      </c>
      <c r="BW141" s="33">
        <f t="shared" si="205"/>
        <v>0</v>
      </c>
      <c r="BX141" s="48">
        <v>10</v>
      </c>
      <c r="BY141" s="12">
        <f t="shared" si="181"/>
        <v>10</v>
      </c>
      <c r="BZ141" s="10">
        <v>0</v>
      </c>
      <c r="CA141" s="10">
        <v>0</v>
      </c>
      <c r="CB141" s="33">
        <f t="shared" si="206"/>
        <v>0</v>
      </c>
      <c r="CC141" s="33">
        <f t="shared" si="207"/>
        <v>0</v>
      </c>
      <c r="CD141" s="48">
        <v>10</v>
      </c>
      <c r="CE141" s="12">
        <f t="shared" si="182"/>
        <v>10</v>
      </c>
    </row>
    <row r="142" spans="1:83" ht="80.25" customHeight="1">
      <c r="A142" s="148" t="s">
        <v>470</v>
      </c>
      <c r="B142" s="155" t="s">
        <v>471</v>
      </c>
      <c r="C142" s="176" t="s">
        <v>472</v>
      </c>
      <c r="D142" s="156">
        <v>2014</v>
      </c>
      <c r="E142" s="154"/>
      <c r="F142" s="154"/>
      <c r="G142" s="154"/>
      <c r="H142" s="165">
        <v>10</v>
      </c>
      <c r="I142" s="159">
        <v>1</v>
      </c>
      <c r="J142" s="56">
        <v>0</v>
      </c>
      <c r="K142" s="33">
        <f t="shared" si="169"/>
        <v>0</v>
      </c>
      <c r="L142" s="10">
        <v>0</v>
      </c>
      <c r="M142" s="10">
        <v>0</v>
      </c>
      <c r="N142" s="33">
        <f t="shared" si="170"/>
        <v>0</v>
      </c>
      <c r="O142" s="33">
        <f t="shared" si="171"/>
        <v>0</v>
      </c>
      <c r="P142" s="56">
        <v>0</v>
      </c>
      <c r="Q142" s="33">
        <f t="shared" si="172"/>
        <v>0</v>
      </c>
      <c r="R142" s="56">
        <v>0</v>
      </c>
      <c r="S142" s="56">
        <v>0</v>
      </c>
      <c r="T142" s="33">
        <f t="shared" si="173"/>
        <v>0</v>
      </c>
      <c r="U142" s="33">
        <f t="shared" si="174"/>
        <v>0</v>
      </c>
      <c r="V142" s="56">
        <v>0</v>
      </c>
      <c r="W142" s="33">
        <f t="shared" si="175"/>
        <v>0</v>
      </c>
      <c r="X142" s="56">
        <v>0</v>
      </c>
      <c r="Y142" s="56">
        <v>0</v>
      </c>
      <c r="Z142" s="33">
        <f t="shared" si="176"/>
        <v>0</v>
      </c>
      <c r="AA142" s="33">
        <f t="shared" si="177"/>
        <v>0</v>
      </c>
      <c r="AB142" s="146">
        <v>10</v>
      </c>
      <c r="AC142" s="117">
        <f t="shared" si="183"/>
        <v>10</v>
      </c>
      <c r="AD142" s="10">
        <v>0</v>
      </c>
      <c r="AE142" s="10">
        <v>0</v>
      </c>
      <c r="AF142" s="117">
        <f t="shared" si="184"/>
        <v>0</v>
      </c>
      <c r="AG142" s="118">
        <f t="shared" si="185"/>
        <v>0</v>
      </c>
      <c r="AH142" s="80">
        <f t="shared" si="186"/>
        <v>10</v>
      </c>
      <c r="AI142" s="127">
        <f t="shared" si="199"/>
        <v>10</v>
      </c>
      <c r="AJ142" s="111">
        <v>0</v>
      </c>
      <c r="AK142" s="111">
        <v>0</v>
      </c>
      <c r="AL142" s="112">
        <f t="shared" ca="1" si="153"/>
        <v>0</v>
      </c>
      <c r="AM142" s="112">
        <f t="shared" si="154"/>
        <v>0</v>
      </c>
      <c r="AN142" s="80">
        <f t="shared" si="187"/>
        <v>10</v>
      </c>
      <c r="AO142" s="12">
        <f t="shared" si="188"/>
        <v>10</v>
      </c>
      <c r="AP142" s="10">
        <v>0</v>
      </c>
      <c r="AQ142" s="10">
        <v>0</v>
      </c>
      <c r="AR142" s="12">
        <f t="shared" si="189"/>
        <v>0</v>
      </c>
      <c r="AS142" s="12">
        <f t="shared" si="190"/>
        <v>0</v>
      </c>
      <c r="AT142" s="13">
        <f t="shared" si="191"/>
        <v>10</v>
      </c>
      <c r="AU142" s="12">
        <f t="shared" si="192"/>
        <v>10</v>
      </c>
      <c r="AV142" s="10">
        <v>0</v>
      </c>
      <c r="AW142" s="10">
        <v>0</v>
      </c>
      <c r="AX142" s="12">
        <f t="shared" si="193"/>
        <v>0</v>
      </c>
      <c r="AY142" s="12">
        <f t="shared" si="194"/>
        <v>0</v>
      </c>
      <c r="AZ142" s="32">
        <f t="shared" si="195"/>
        <v>10</v>
      </c>
      <c r="BA142" s="12">
        <f t="shared" si="196"/>
        <v>10</v>
      </c>
      <c r="BB142" s="10">
        <v>0</v>
      </c>
      <c r="BC142" s="10">
        <v>0</v>
      </c>
      <c r="BD142" s="12">
        <f t="shared" si="197"/>
        <v>0</v>
      </c>
      <c r="BE142" s="12">
        <f t="shared" si="198"/>
        <v>0</v>
      </c>
      <c r="BF142" s="48">
        <v>10</v>
      </c>
      <c r="BG142" s="12">
        <f t="shared" si="178"/>
        <v>10</v>
      </c>
      <c r="BH142" s="10">
        <v>0</v>
      </c>
      <c r="BI142" s="10">
        <v>0</v>
      </c>
      <c r="BJ142" s="33">
        <f t="shared" si="200"/>
        <v>0</v>
      </c>
      <c r="BK142" s="33">
        <f t="shared" si="201"/>
        <v>0</v>
      </c>
      <c r="BL142" s="48">
        <v>10</v>
      </c>
      <c r="BM142" s="12">
        <f t="shared" si="179"/>
        <v>10</v>
      </c>
      <c r="BN142" s="10">
        <v>0</v>
      </c>
      <c r="BO142" s="10">
        <v>0</v>
      </c>
      <c r="BP142" s="33">
        <f t="shared" si="202"/>
        <v>0</v>
      </c>
      <c r="BQ142" s="33">
        <f t="shared" si="203"/>
        <v>0</v>
      </c>
      <c r="BR142" s="48">
        <v>10</v>
      </c>
      <c r="BS142" s="12">
        <f t="shared" si="180"/>
        <v>10</v>
      </c>
      <c r="BT142" s="10">
        <v>0</v>
      </c>
      <c r="BU142" s="10">
        <v>0</v>
      </c>
      <c r="BV142" s="33">
        <f t="shared" si="204"/>
        <v>0</v>
      </c>
      <c r="BW142" s="33">
        <f t="shared" si="205"/>
        <v>0</v>
      </c>
      <c r="BX142" s="48">
        <v>10</v>
      </c>
      <c r="BY142" s="12">
        <f t="shared" si="181"/>
        <v>10</v>
      </c>
      <c r="BZ142" s="10">
        <v>0</v>
      </c>
      <c r="CA142" s="10">
        <v>0</v>
      </c>
      <c r="CB142" s="33">
        <f t="shared" si="206"/>
        <v>0</v>
      </c>
      <c r="CC142" s="33">
        <f t="shared" si="207"/>
        <v>0</v>
      </c>
      <c r="CD142" s="48">
        <v>10</v>
      </c>
      <c r="CE142" s="12">
        <f t="shared" si="182"/>
        <v>10</v>
      </c>
    </row>
    <row r="143" spans="1:83" ht="80.25" customHeight="1">
      <c r="A143" s="148" t="s">
        <v>473</v>
      </c>
      <c r="B143" s="155" t="s">
        <v>474</v>
      </c>
      <c r="C143" s="176" t="s">
        <v>475</v>
      </c>
      <c r="D143" s="156">
        <v>2012</v>
      </c>
      <c r="E143" s="154"/>
      <c r="F143" s="154"/>
      <c r="G143" s="154"/>
      <c r="H143" s="165">
        <v>10</v>
      </c>
      <c r="I143" s="159">
        <v>1</v>
      </c>
      <c r="J143" s="56">
        <v>0</v>
      </c>
      <c r="K143" s="33">
        <f t="shared" si="169"/>
        <v>0</v>
      </c>
      <c r="L143" s="10">
        <v>0</v>
      </c>
      <c r="M143" s="10">
        <v>0</v>
      </c>
      <c r="N143" s="33">
        <f t="shared" si="170"/>
        <v>0</v>
      </c>
      <c r="O143" s="33">
        <f t="shared" si="171"/>
        <v>0</v>
      </c>
      <c r="P143" s="56">
        <v>0</v>
      </c>
      <c r="Q143" s="33">
        <f t="shared" si="172"/>
        <v>0</v>
      </c>
      <c r="R143" s="56">
        <v>0</v>
      </c>
      <c r="S143" s="56">
        <v>0</v>
      </c>
      <c r="T143" s="33">
        <f t="shared" si="173"/>
        <v>0</v>
      </c>
      <c r="U143" s="33">
        <f t="shared" si="174"/>
        <v>0</v>
      </c>
      <c r="V143" s="56">
        <v>0</v>
      </c>
      <c r="W143" s="33">
        <f t="shared" si="175"/>
        <v>0</v>
      </c>
      <c r="X143" s="56">
        <v>0</v>
      </c>
      <c r="Y143" s="56">
        <v>0</v>
      </c>
      <c r="Z143" s="33">
        <f t="shared" si="176"/>
        <v>0</v>
      </c>
      <c r="AA143" s="33">
        <f t="shared" si="177"/>
        <v>0</v>
      </c>
      <c r="AB143" s="146">
        <v>10</v>
      </c>
      <c r="AC143" s="117">
        <f t="shared" si="183"/>
        <v>10</v>
      </c>
      <c r="AD143" s="10">
        <v>0</v>
      </c>
      <c r="AE143" s="10">
        <v>0</v>
      </c>
      <c r="AF143" s="117">
        <f t="shared" si="184"/>
        <v>0</v>
      </c>
      <c r="AG143" s="118">
        <f t="shared" si="185"/>
        <v>0</v>
      </c>
      <c r="AH143" s="80">
        <f t="shared" si="186"/>
        <v>10</v>
      </c>
      <c r="AI143" s="127">
        <f t="shared" si="199"/>
        <v>10</v>
      </c>
      <c r="AJ143" s="111">
        <v>0</v>
      </c>
      <c r="AK143" s="111">
        <v>0</v>
      </c>
      <c r="AL143" s="112">
        <f t="shared" ca="1" si="153"/>
        <v>0</v>
      </c>
      <c r="AM143" s="112">
        <f t="shared" si="154"/>
        <v>0</v>
      </c>
      <c r="AN143" s="80">
        <f t="shared" si="187"/>
        <v>10</v>
      </c>
      <c r="AO143" s="12">
        <f t="shared" si="188"/>
        <v>10</v>
      </c>
      <c r="AP143" s="10">
        <v>0</v>
      </c>
      <c r="AQ143" s="10">
        <v>0</v>
      </c>
      <c r="AR143" s="12">
        <f t="shared" si="189"/>
        <v>0</v>
      </c>
      <c r="AS143" s="12">
        <f t="shared" si="190"/>
        <v>0</v>
      </c>
      <c r="AT143" s="13">
        <f t="shared" si="191"/>
        <v>10</v>
      </c>
      <c r="AU143" s="12">
        <f t="shared" si="192"/>
        <v>10</v>
      </c>
      <c r="AV143" s="10">
        <v>0</v>
      </c>
      <c r="AW143" s="10">
        <v>0</v>
      </c>
      <c r="AX143" s="12">
        <f t="shared" si="193"/>
        <v>0</v>
      </c>
      <c r="AY143" s="12">
        <f t="shared" si="194"/>
        <v>0</v>
      </c>
      <c r="AZ143" s="32">
        <f t="shared" si="195"/>
        <v>10</v>
      </c>
      <c r="BA143" s="12">
        <f t="shared" si="196"/>
        <v>10</v>
      </c>
      <c r="BB143" s="10">
        <v>0</v>
      </c>
      <c r="BC143" s="10">
        <v>0</v>
      </c>
      <c r="BD143" s="12">
        <f t="shared" si="197"/>
        <v>0</v>
      </c>
      <c r="BE143" s="12">
        <f t="shared" si="198"/>
        <v>0</v>
      </c>
      <c r="BF143" s="48">
        <v>10</v>
      </c>
      <c r="BG143" s="12">
        <f t="shared" si="178"/>
        <v>10</v>
      </c>
      <c r="BH143" s="10">
        <v>0</v>
      </c>
      <c r="BI143" s="10">
        <v>0</v>
      </c>
      <c r="BJ143" s="33">
        <f t="shared" si="200"/>
        <v>0</v>
      </c>
      <c r="BK143" s="33">
        <f t="shared" si="201"/>
        <v>0</v>
      </c>
      <c r="BL143" s="48">
        <v>10</v>
      </c>
      <c r="BM143" s="12">
        <f t="shared" si="179"/>
        <v>10</v>
      </c>
      <c r="BN143" s="10">
        <v>0</v>
      </c>
      <c r="BO143" s="10">
        <v>0</v>
      </c>
      <c r="BP143" s="33">
        <f t="shared" si="202"/>
        <v>0</v>
      </c>
      <c r="BQ143" s="33">
        <f t="shared" si="203"/>
        <v>0</v>
      </c>
      <c r="BR143" s="48">
        <v>10</v>
      </c>
      <c r="BS143" s="12">
        <f t="shared" si="180"/>
        <v>10</v>
      </c>
      <c r="BT143" s="10">
        <v>0</v>
      </c>
      <c r="BU143" s="10">
        <v>0</v>
      </c>
      <c r="BV143" s="33">
        <f t="shared" si="204"/>
        <v>0</v>
      </c>
      <c r="BW143" s="33">
        <f t="shared" si="205"/>
        <v>0</v>
      </c>
      <c r="BX143" s="48">
        <v>10</v>
      </c>
      <c r="BY143" s="12">
        <f t="shared" si="181"/>
        <v>10</v>
      </c>
      <c r="BZ143" s="10">
        <v>0</v>
      </c>
      <c r="CA143" s="10">
        <v>0</v>
      </c>
      <c r="CB143" s="33">
        <f t="shared" si="206"/>
        <v>0</v>
      </c>
      <c r="CC143" s="33">
        <f t="shared" si="207"/>
        <v>0</v>
      </c>
      <c r="CD143" s="48">
        <v>10</v>
      </c>
      <c r="CE143" s="12">
        <f t="shared" si="182"/>
        <v>10</v>
      </c>
    </row>
    <row r="144" spans="1:83" ht="80.25" customHeight="1">
      <c r="A144" s="148" t="s">
        <v>476</v>
      </c>
      <c r="B144" s="155" t="s">
        <v>477</v>
      </c>
      <c r="C144" s="176" t="s">
        <v>478</v>
      </c>
      <c r="D144" s="156">
        <v>2012</v>
      </c>
      <c r="E144" s="154"/>
      <c r="F144" s="154"/>
      <c r="G144" s="154"/>
      <c r="H144" s="165">
        <v>4</v>
      </c>
      <c r="I144" s="159">
        <v>1</v>
      </c>
      <c r="J144" s="56">
        <v>0</v>
      </c>
      <c r="K144" s="33">
        <f t="shared" si="169"/>
        <v>0</v>
      </c>
      <c r="L144" s="10">
        <v>0</v>
      </c>
      <c r="M144" s="10">
        <v>0</v>
      </c>
      <c r="N144" s="33">
        <f t="shared" si="170"/>
        <v>0</v>
      </c>
      <c r="O144" s="33">
        <f t="shared" si="171"/>
        <v>0</v>
      </c>
      <c r="P144" s="56">
        <v>0</v>
      </c>
      <c r="Q144" s="33">
        <f t="shared" si="172"/>
        <v>0</v>
      </c>
      <c r="R144" s="56">
        <v>0</v>
      </c>
      <c r="S144" s="56">
        <v>0</v>
      </c>
      <c r="T144" s="33">
        <f t="shared" si="173"/>
        <v>0</v>
      </c>
      <c r="U144" s="33">
        <f t="shared" si="174"/>
        <v>0</v>
      </c>
      <c r="V144" s="56">
        <v>0</v>
      </c>
      <c r="W144" s="33">
        <f t="shared" si="175"/>
        <v>0</v>
      </c>
      <c r="X144" s="56">
        <v>0</v>
      </c>
      <c r="Y144" s="56">
        <v>0</v>
      </c>
      <c r="Z144" s="33">
        <f t="shared" si="176"/>
        <v>0</v>
      </c>
      <c r="AA144" s="33">
        <f t="shared" si="177"/>
        <v>0</v>
      </c>
      <c r="AB144" s="146">
        <v>4</v>
      </c>
      <c r="AC144" s="117">
        <f t="shared" si="183"/>
        <v>4</v>
      </c>
      <c r="AD144" s="10">
        <v>0</v>
      </c>
      <c r="AE144" s="10">
        <v>0</v>
      </c>
      <c r="AF144" s="117">
        <f t="shared" si="184"/>
        <v>0</v>
      </c>
      <c r="AG144" s="118">
        <f t="shared" si="185"/>
        <v>0</v>
      </c>
      <c r="AH144" s="80">
        <f t="shared" si="186"/>
        <v>4</v>
      </c>
      <c r="AI144" s="127">
        <f t="shared" si="199"/>
        <v>4</v>
      </c>
      <c r="AJ144" s="111">
        <v>0</v>
      </c>
      <c r="AK144" s="111">
        <v>0</v>
      </c>
      <c r="AL144" s="112">
        <f t="shared" ca="1" si="153"/>
        <v>0</v>
      </c>
      <c r="AM144" s="112">
        <f t="shared" si="154"/>
        <v>0</v>
      </c>
      <c r="AN144" s="80">
        <f t="shared" si="187"/>
        <v>4</v>
      </c>
      <c r="AO144" s="12">
        <f t="shared" si="188"/>
        <v>4</v>
      </c>
      <c r="AP144" s="10">
        <v>0</v>
      </c>
      <c r="AQ144" s="10">
        <v>0</v>
      </c>
      <c r="AR144" s="12">
        <f t="shared" si="189"/>
        <v>0</v>
      </c>
      <c r="AS144" s="12">
        <f t="shared" si="190"/>
        <v>0</v>
      </c>
      <c r="AT144" s="13">
        <f t="shared" si="191"/>
        <v>4</v>
      </c>
      <c r="AU144" s="12">
        <f t="shared" si="192"/>
        <v>4</v>
      </c>
      <c r="AV144" s="10">
        <v>0</v>
      </c>
      <c r="AW144" s="10">
        <v>0</v>
      </c>
      <c r="AX144" s="12">
        <f t="shared" si="193"/>
        <v>0</v>
      </c>
      <c r="AY144" s="12">
        <f t="shared" si="194"/>
        <v>0</v>
      </c>
      <c r="AZ144" s="32">
        <f t="shared" si="195"/>
        <v>4</v>
      </c>
      <c r="BA144" s="12">
        <f t="shared" si="196"/>
        <v>4</v>
      </c>
      <c r="BB144" s="10">
        <v>0</v>
      </c>
      <c r="BC144" s="10">
        <v>0</v>
      </c>
      <c r="BD144" s="12">
        <f t="shared" si="197"/>
        <v>0</v>
      </c>
      <c r="BE144" s="12">
        <f t="shared" si="198"/>
        <v>0</v>
      </c>
      <c r="BF144" s="48">
        <v>4</v>
      </c>
      <c r="BG144" s="12">
        <f t="shared" si="178"/>
        <v>4</v>
      </c>
      <c r="BH144" s="10">
        <v>0</v>
      </c>
      <c r="BI144" s="10">
        <v>0</v>
      </c>
      <c r="BJ144" s="33">
        <f t="shared" si="200"/>
        <v>0</v>
      </c>
      <c r="BK144" s="33">
        <f t="shared" si="201"/>
        <v>0</v>
      </c>
      <c r="BL144" s="48">
        <v>4</v>
      </c>
      <c r="BM144" s="12">
        <f t="shared" si="179"/>
        <v>4</v>
      </c>
      <c r="BN144" s="10">
        <v>0</v>
      </c>
      <c r="BO144" s="10">
        <v>0</v>
      </c>
      <c r="BP144" s="33">
        <f t="shared" si="202"/>
        <v>0</v>
      </c>
      <c r="BQ144" s="33">
        <f t="shared" si="203"/>
        <v>0</v>
      </c>
      <c r="BR144" s="48">
        <v>4</v>
      </c>
      <c r="BS144" s="12">
        <f t="shared" si="180"/>
        <v>4</v>
      </c>
      <c r="BT144" s="10">
        <v>0</v>
      </c>
      <c r="BU144" s="10">
        <v>0</v>
      </c>
      <c r="BV144" s="33">
        <f t="shared" si="204"/>
        <v>0</v>
      </c>
      <c r="BW144" s="33">
        <f t="shared" si="205"/>
        <v>0</v>
      </c>
      <c r="BX144" s="48">
        <v>4</v>
      </c>
      <c r="BY144" s="12">
        <f t="shared" si="181"/>
        <v>4</v>
      </c>
      <c r="BZ144" s="10">
        <v>0</v>
      </c>
      <c r="CA144" s="10">
        <v>0</v>
      </c>
      <c r="CB144" s="33">
        <f t="shared" si="206"/>
        <v>0</v>
      </c>
      <c r="CC144" s="33">
        <f t="shared" si="207"/>
        <v>0</v>
      </c>
      <c r="CD144" s="48">
        <v>4</v>
      </c>
      <c r="CE144" s="12">
        <f t="shared" si="182"/>
        <v>4</v>
      </c>
    </row>
    <row r="145" spans="1:83" ht="80.25" customHeight="1">
      <c r="A145" s="148" t="s">
        <v>479</v>
      </c>
      <c r="B145" s="155" t="s">
        <v>480</v>
      </c>
      <c r="C145" s="176" t="s">
        <v>481</v>
      </c>
      <c r="D145" s="156">
        <v>2013</v>
      </c>
      <c r="E145" s="154"/>
      <c r="F145" s="154"/>
      <c r="G145" s="154"/>
      <c r="H145" s="165">
        <v>2</v>
      </c>
      <c r="I145" s="159">
        <v>1</v>
      </c>
      <c r="J145" s="56">
        <v>0</v>
      </c>
      <c r="K145" s="33">
        <f t="shared" si="169"/>
        <v>0</v>
      </c>
      <c r="L145" s="10">
        <v>0</v>
      </c>
      <c r="M145" s="10">
        <v>0</v>
      </c>
      <c r="N145" s="33">
        <f t="shared" si="170"/>
        <v>0</v>
      </c>
      <c r="O145" s="33">
        <f t="shared" si="171"/>
        <v>0</v>
      </c>
      <c r="P145" s="56">
        <v>0</v>
      </c>
      <c r="Q145" s="33">
        <f t="shared" si="172"/>
        <v>0</v>
      </c>
      <c r="R145" s="56">
        <v>0</v>
      </c>
      <c r="S145" s="56">
        <v>0</v>
      </c>
      <c r="T145" s="33">
        <f t="shared" si="173"/>
        <v>0</v>
      </c>
      <c r="U145" s="33">
        <f t="shared" si="174"/>
        <v>0</v>
      </c>
      <c r="V145" s="56">
        <v>0</v>
      </c>
      <c r="W145" s="33">
        <f t="shared" si="175"/>
        <v>0</v>
      </c>
      <c r="X145" s="56">
        <v>0</v>
      </c>
      <c r="Y145" s="56">
        <v>0</v>
      </c>
      <c r="Z145" s="33">
        <f t="shared" si="176"/>
        <v>0</v>
      </c>
      <c r="AA145" s="33">
        <f t="shared" si="177"/>
        <v>0</v>
      </c>
      <c r="AB145" s="146">
        <v>2</v>
      </c>
      <c r="AC145" s="117">
        <f t="shared" si="183"/>
        <v>2</v>
      </c>
      <c r="AD145" s="10">
        <v>0</v>
      </c>
      <c r="AE145" s="10">
        <v>0</v>
      </c>
      <c r="AF145" s="117">
        <f t="shared" si="184"/>
        <v>0</v>
      </c>
      <c r="AG145" s="118">
        <f t="shared" si="185"/>
        <v>0</v>
      </c>
      <c r="AH145" s="80">
        <f t="shared" si="186"/>
        <v>2</v>
      </c>
      <c r="AI145" s="127">
        <f t="shared" si="199"/>
        <v>2</v>
      </c>
      <c r="AJ145" s="111">
        <v>0</v>
      </c>
      <c r="AK145" s="111">
        <v>0</v>
      </c>
      <c r="AL145" s="112">
        <f t="shared" ca="1" si="153"/>
        <v>0</v>
      </c>
      <c r="AM145" s="112">
        <f t="shared" si="154"/>
        <v>0</v>
      </c>
      <c r="AN145" s="80">
        <f t="shared" si="187"/>
        <v>2</v>
      </c>
      <c r="AO145" s="12">
        <f t="shared" si="188"/>
        <v>2</v>
      </c>
      <c r="AP145" s="10">
        <v>0</v>
      </c>
      <c r="AQ145" s="10">
        <v>0</v>
      </c>
      <c r="AR145" s="12">
        <f t="shared" si="189"/>
        <v>0</v>
      </c>
      <c r="AS145" s="12">
        <f t="shared" si="190"/>
        <v>0</v>
      </c>
      <c r="AT145" s="13">
        <f t="shared" si="191"/>
        <v>2</v>
      </c>
      <c r="AU145" s="12">
        <f t="shared" si="192"/>
        <v>2</v>
      </c>
      <c r="AV145" s="10">
        <v>0</v>
      </c>
      <c r="AW145" s="10">
        <v>0</v>
      </c>
      <c r="AX145" s="12">
        <f t="shared" si="193"/>
        <v>0</v>
      </c>
      <c r="AY145" s="12">
        <f t="shared" si="194"/>
        <v>0</v>
      </c>
      <c r="AZ145" s="32">
        <f t="shared" si="195"/>
        <v>2</v>
      </c>
      <c r="BA145" s="12">
        <f t="shared" si="196"/>
        <v>2</v>
      </c>
      <c r="BB145" s="10">
        <v>0</v>
      </c>
      <c r="BC145" s="10">
        <v>0</v>
      </c>
      <c r="BD145" s="12">
        <f t="shared" si="197"/>
        <v>0</v>
      </c>
      <c r="BE145" s="12">
        <f t="shared" si="198"/>
        <v>0</v>
      </c>
      <c r="BF145" s="48">
        <v>2</v>
      </c>
      <c r="BG145" s="12">
        <f t="shared" si="178"/>
        <v>2</v>
      </c>
      <c r="BH145" s="10">
        <v>0</v>
      </c>
      <c r="BI145" s="10">
        <v>0</v>
      </c>
      <c r="BJ145" s="33">
        <f t="shared" si="200"/>
        <v>0</v>
      </c>
      <c r="BK145" s="33">
        <f t="shared" si="201"/>
        <v>0</v>
      </c>
      <c r="BL145" s="48">
        <v>2</v>
      </c>
      <c r="BM145" s="12">
        <f t="shared" si="179"/>
        <v>2</v>
      </c>
      <c r="BN145" s="10">
        <v>0</v>
      </c>
      <c r="BO145" s="10">
        <v>0</v>
      </c>
      <c r="BP145" s="33">
        <f t="shared" si="202"/>
        <v>0</v>
      </c>
      <c r="BQ145" s="33">
        <f t="shared" si="203"/>
        <v>0</v>
      </c>
      <c r="BR145" s="48">
        <v>2</v>
      </c>
      <c r="BS145" s="12">
        <f t="shared" si="180"/>
        <v>2</v>
      </c>
      <c r="BT145" s="10">
        <v>0</v>
      </c>
      <c r="BU145" s="10">
        <v>0</v>
      </c>
      <c r="BV145" s="33">
        <f t="shared" si="204"/>
        <v>0</v>
      </c>
      <c r="BW145" s="33">
        <f t="shared" si="205"/>
        <v>0</v>
      </c>
      <c r="BX145" s="48">
        <v>2</v>
      </c>
      <c r="BY145" s="12">
        <f t="shared" si="181"/>
        <v>2</v>
      </c>
      <c r="BZ145" s="10">
        <v>0</v>
      </c>
      <c r="CA145" s="10">
        <v>0</v>
      </c>
      <c r="CB145" s="33">
        <f t="shared" si="206"/>
        <v>0</v>
      </c>
      <c r="CC145" s="33">
        <f t="shared" si="207"/>
        <v>0</v>
      </c>
      <c r="CD145" s="48">
        <v>2</v>
      </c>
      <c r="CE145" s="12">
        <f t="shared" si="182"/>
        <v>2</v>
      </c>
    </row>
    <row r="146" spans="1:83" ht="80.25" customHeight="1">
      <c r="A146" s="148" t="s">
        <v>482</v>
      </c>
      <c r="B146" s="155" t="s">
        <v>483</v>
      </c>
      <c r="C146" s="176" t="s">
        <v>484</v>
      </c>
      <c r="D146" s="156">
        <v>2013</v>
      </c>
      <c r="E146" s="154"/>
      <c r="F146" s="154"/>
      <c r="G146" s="154"/>
      <c r="H146" s="165">
        <v>10</v>
      </c>
      <c r="I146" s="159">
        <v>1</v>
      </c>
      <c r="J146" s="56">
        <v>0</v>
      </c>
      <c r="K146" s="33">
        <f t="shared" si="169"/>
        <v>0</v>
      </c>
      <c r="L146" s="10">
        <v>0</v>
      </c>
      <c r="M146" s="10">
        <v>0</v>
      </c>
      <c r="N146" s="33">
        <f t="shared" si="170"/>
        <v>0</v>
      </c>
      <c r="O146" s="33">
        <f t="shared" si="171"/>
        <v>0</v>
      </c>
      <c r="P146" s="56">
        <v>0</v>
      </c>
      <c r="Q146" s="33">
        <f t="shared" si="172"/>
        <v>0</v>
      </c>
      <c r="R146" s="56">
        <v>0</v>
      </c>
      <c r="S146" s="56">
        <v>0</v>
      </c>
      <c r="T146" s="33">
        <f t="shared" si="173"/>
        <v>0</v>
      </c>
      <c r="U146" s="33">
        <f t="shared" si="174"/>
        <v>0</v>
      </c>
      <c r="V146" s="56">
        <v>0</v>
      </c>
      <c r="W146" s="33">
        <f t="shared" si="175"/>
        <v>0</v>
      </c>
      <c r="X146" s="56">
        <v>0</v>
      </c>
      <c r="Y146" s="56">
        <v>0</v>
      </c>
      <c r="Z146" s="33">
        <f t="shared" si="176"/>
        <v>0</v>
      </c>
      <c r="AA146" s="33">
        <f t="shared" si="177"/>
        <v>0</v>
      </c>
      <c r="AB146" s="146">
        <v>10</v>
      </c>
      <c r="AC146" s="117">
        <f t="shared" si="183"/>
        <v>10</v>
      </c>
      <c r="AD146" s="10">
        <v>0</v>
      </c>
      <c r="AE146" s="10">
        <v>0</v>
      </c>
      <c r="AF146" s="117">
        <f t="shared" si="184"/>
        <v>0</v>
      </c>
      <c r="AG146" s="118">
        <f t="shared" si="185"/>
        <v>0</v>
      </c>
      <c r="AH146" s="80">
        <f t="shared" si="186"/>
        <v>10</v>
      </c>
      <c r="AI146" s="127">
        <f t="shared" si="199"/>
        <v>10</v>
      </c>
      <c r="AJ146" s="111">
        <v>0</v>
      </c>
      <c r="AK146" s="111">
        <v>0</v>
      </c>
      <c r="AL146" s="112">
        <f t="shared" ca="1" si="153"/>
        <v>0</v>
      </c>
      <c r="AM146" s="112">
        <f t="shared" si="154"/>
        <v>0</v>
      </c>
      <c r="AN146" s="80">
        <f t="shared" si="187"/>
        <v>10</v>
      </c>
      <c r="AO146" s="12">
        <f t="shared" si="188"/>
        <v>10</v>
      </c>
      <c r="AP146" s="10">
        <v>0</v>
      </c>
      <c r="AQ146" s="10">
        <v>0</v>
      </c>
      <c r="AR146" s="12">
        <f t="shared" si="189"/>
        <v>0</v>
      </c>
      <c r="AS146" s="12">
        <f t="shared" si="190"/>
        <v>0</v>
      </c>
      <c r="AT146" s="13">
        <f t="shared" si="191"/>
        <v>10</v>
      </c>
      <c r="AU146" s="12">
        <f t="shared" si="192"/>
        <v>10</v>
      </c>
      <c r="AV146" s="10">
        <v>0</v>
      </c>
      <c r="AW146" s="10">
        <v>0</v>
      </c>
      <c r="AX146" s="12">
        <f t="shared" si="193"/>
        <v>0</v>
      </c>
      <c r="AY146" s="12">
        <f t="shared" si="194"/>
        <v>0</v>
      </c>
      <c r="AZ146" s="32">
        <f t="shared" si="195"/>
        <v>10</v>
      </c>
      <c r="BA146" s="12">
        <f t="shared" si="196"/>
        <v>10</v>
      </c>
      <c r="BB146" s="10">
        <v>0</v>
      </c>
      <c r="BC146" s="10">
        <v>0</v>
      </c>
      <c r="BD146" s="12">
        <f t="shared" si="197"/>
        <v>0</v>
      </c>
      <c r="BE146" s="12">
        <f t="shared" si="198"/>
        <v>0</v>
      </c>
      <c r="BF146" s="48">
        <v>10</v>
      </c>
      <c r="BG146" s="12">
        <f t="shared" si="178"/>
        <v>10</v>
      </c>
      <c r="BH146" s="10">
        <v>0</v>
      </c>
      <c r="BI146" s="10">
        <v>0</v>
      </c>
      <c r="BJ146" s="33">
        <f t="shared" si="200"/>
        <v>0</v>
      </c>
      <c r="BK146" s="33">
        <f t="shared" si="201"/>
        <v>0</v>
      </c>
      <c r="BL146" s="48">
        <v>10</v>
      </c>
      <c r="BM146" s="12">
        <f t="shared" si="179"/>
        <v>10</v>
      </c>
      <c r="BN146" s="10">
        <v>0</v>
      </c>
      <c r="BO146" s="10">
        <v>0</v>
      </c>
      <c r="BP146" s="33">
        <f t="shared" si="202"/>
        <v>0</v>
      </c>
      <c r="BQ146" s="33">
        <f t="shared" si="203"/>
        <v>0</v>
      </c>
      <c r="BR146" s="48">
        <v>10</v>
      </c>
      <c r="BS146" s="12">
        <f t="shared" si="180"/>
        <v>10</v>
      </c>
      <c r="BT146" s="10">
        <v>0</v>
      </c>
      <c r="BU146" s="10">
        <v>0</v>
      </c>
      <c r="BV146" s="33">
        <f t="shared" si="204"/>
        <v>0</v>
      </c>
      <c r="BW146" s="33">
        <f t="shared" si="205"/>
        <v>0</v>
      </c>
      <c r="BX146" s="48">
        <v>10</v>
      </c>
      <c r="BY146" s="12">
        <f t="shared" si="181"/>
        <v>10</v>
      </c>
      <c r="BZ146" s="10">
        <v>0</v>
      </c>
      <c r="CA146" s="10">
        <v>0</v>
      </c>
      <c r="CB146" s="33">
        <f t="shared" si="206"/>
        <v>0</v>
      </c>
      <c r="CC146" s="33">
        <f t="shared" si="207"/>
        <v>0</v>
      </c>
      <c r="CD146" s="48">
        <v>10</v>
      </c>
      <c r="CE146" s="12">
        <f t="shared" si="182"/>
        <v>10</v>
      </c>
    </row>
    <row r="147" spans="1:83" ht="80.25" customHeight="1">
      <c r="A147" s="148" t="s">
        <v>79</v>
      </c>
      <c r="B147" s="155" t="s">
        <v>485</v>
      </c>
      <c r="C147" s="174" t="s">
        <v>486</v>
      </c>
      <c r="D147" s="157">
        <v>2009</v>
      </c>
      <c r="E147" s="154"/>
      <c r="F147" s="154"/>
      <c r="G147" s="154"/>
      <c r="H147" s="165">
        <v>12</v>
      </c>
      <c r="I147" s="159">
        <v>1</v>
      </c>
      <c r="J147" s="56">
        <v>0</v>
      </c>
      <c r="K147" s="33">
        <f t="shared" si="169"/>
        <v>0</v>
      </c>
      <c r="L147" s="10">
        <v>0</v>
      </c>
      <c r="M147" s="10">
        <v>0</v>
      </c>
      <c r="N147" s="33">
        <f t="shared" si="170"/>
        <v>0</v>
      </c>
      <c r="O147" s="33">
        <f t="shared" si="171"/>
        <v>0</v>
      </c>
      <c r="P147" s="56">
        <v>0</v>
      </c>
      <c r="Q147" s="33">
        <f t="shared" si="172"/>
        <v>0</v>
      </c>
      <c r="R147" s="56">
        <v>0</v>
      </c>
      <c r="S147" s="56">
        <v>0</v>
      </c>
      <c r="T147" s="33">
        <f t="shared" si="173"/>
        <v>0</v>
      </c>
      <c r="U147" s="33">
        <f t="shared" si="174"/>
        <v>0</v>
      </c>
      <c r="V147" s="56">
        <v>0</v>
      </c>
      <c r="W147" s="33">
        <f t="shared" si="175"/>
        <v>0</v>
      </c>
      <c r="X147" s="56">
        <v>0</v>
      </c>
      <c r="Y147" s="56">
        <v>0</v>
      </c>
      <c r="Z147" s="33">
        <f t="shared" si="176"/>
        <v>0</v>
      </c>
      <c r="AA147" s="33">
        <f t="shared" si="177"/>
        <v>0</v>
      </c>
      <c r="AB147" s="146">
        <v>12</v>
      </c>
      <c r="AC147" s="117">
        <f t="shared" si="183"/>
        <v>12</v>
      </c>
      <c r="AD147" s="10">
        <v>0</v>
      </c>
      <c r="AE147" s="10">
        <v>0</v>
      </c>
      <c r="AF147" s="117">
        <f t="shared" si="184"/>
        <v>0</v>
      </c>
      <c r="AG147" s="118">
        <f t="shared" si="185"/>
        <v>0</v>
      </c>
      <c r="AH147" s="80">
        <f t="shared" si="186"/>
        <v>12</v>
      </c>
      <c r="AI147" s="127">
        <f t="shared" si="199"/>
        <v>12</v>
      </c>
      <c r="AJ147" s="111">
        <v>0</v>
      </c>
      <c r="AK147" s="111">
        <v>0</v>
      </c>
      <c r="AL147" s="112">
        <f t="shared" ca="1" si="153"/>
        <v>0</v>
      </c>
      <c r="AM147" s="112">
        <f t="shared" si="154"/>
        <v>0</v>
      </c>
      <c r="AN147" s="80">
        <f t="shared" si="187"/>
        <v>12</v>
      </c>
      <c r="AO147" s="12">
        <f t="shared" si="188"/>
        <v>12</v>
      </c>
      <c r="AP147" s="10">
        <v>0</v>
      </c>
      <c r="AQ147" s="10">
        <v>0</v>
      </c>
      <c r="AR147" s="12">
        <f t="shared" si="189"/>
        <v>0</v>
      </c>
      <c r="AS147" s="12">
        <f t="shared" si="190"/>
        <v>0</v>
      </c>
      <c r="AT147" s="13">
        <f t="shared" si="191"/>
        <v>12</v>
      </c>
      <c r="AU147" s="12">
        <f t="shared" si="192"/>
        <v>12</v>
      </c>
      <c r="AV147" s="10">
        <v>0</v>
      </c>
      <c r="AW147" s="10">
        <v>0</v>
      </c>
      <c r="AX147" s="12">
        <f t="shared" si="193"/>
        <v>0</v>
      </c>
      <c r="AY147" s="12">
        <f t="shared" si="194"/>
        <v>0</v>
      </c>
      <c r="AZ147" s="32">
        <f t="shared" si="195"/>
        <v>12</v>
      </c>
      <c r="BA147" s="12">
        <f t="shared" si="196"/>
        <v>12</v>
      </c>
      <c r="BB147" s="10">
        <v>0</v>
      </c>
      <c r="BC147" s="10">
        <v>0</v>
      </c>
      <c r="BD147" s="12">
        <f t="shared" si="197"/>
        <v>0</v>
      </c>
      <c r="BE147" s="12">
        <f t="shared" si="198"/>
        <v>0</v>
      </c>
      <c r="BF147" s="48">
        <v>12</v>
      </c>
      <c r="BG147" s="12">
        <f t="shared" si="178"/>
        <v>12</v>
      </c>
      <c r="BH147" s="10">
        <v>0</v>
      </c>
      <c r="BI147" s="10">
        <v>0</v>
      </c>
      <c r="BJ147" s="33">
        <f t="shared" si="200"/>
        <v>0</v>
      </c>
      <c r="BK147" s="33">
        <f t="shared" si="201"/>
        <v>0</v>
      </c>
      <c r="BL147" s="48">
        <v>12</v>
      </c>
      <c r="BM147" s="12">
        <f t="shared" si="179"/>
        <v>12</v>
      </c>
      <c r="BN147" s="10">
        <v>0</v>
      </c>
      <c r="BO147" s="10">
        <v>0</v>
      </c>
      <c r="BP147" s="33">
        <f t="shared" si="202"/>
        <v>0</v>
      </c>
      <c r="BQ147" s="33">
        <f t="shared" si="203"/>
        <v>0</v>
      </c>
      <c r="BR147" s="48">
        <v>12</v>
      </c>
      <c r="BS147" s="12">
        <f t="shared" si="180"/>
        <v>12</v>
      </c>
      <c r="BT147" s="10">
        <v>0</v>
      </c>
      <c r="BU147" s="10">
        <v>0</v>
      </c>
      <c r="BV147" s="33">
        <f t="shared" si="204"/>
        <v>0</v>
      </c>
      <c r="BW147" s="33">
        <f t="shared" si="205"/>
        <v>0</v>
      </c>
      <c r="BX147" s="48">
        <v>12</v>
      </c>
      <c r="BY147" s="12">
        <f t="shared" si="181"/>
        <v>12</v>
      </c>
      <c r="BZ147" s="10">
        <v>0</v>
      </c>
      <c r="CA147" s="10">
        <v>0</v>
      </c>
      <c r="CB147" s="33">
        <f t="shared" si="206"/>
        <v>0</v>
      </c>
      <c r="CC147" s="33">
        <f t="shared" si="207"/>
        <v>0</v>
      </c>
      <c r="CD147" s="48">
        <v>12</v>
      </c>
      <c r="CE147" s="12">
        <f t="shared" si="182"/>
        <v>12</v>
      </c>
    </row>
    <row r="148" spans="1:83" ht="80.25" customHeight="1">
      <c r="A148" s="148" t="s">
        <v>487</v>
      </c>
      <c r="B148" s="155" t="s">
        <v>488</v>
      </c>
      <c r="C148" s="173" t="s">
        <v>489</v>
      </c>
      <c r="D148" s="156">
        <v>2009</v>
      </c>
      <c r="E148" s="154"/>
      <c r="F148" s="154"/>
      <c r="G148" s="154"/>
      <c r="H148" s="165">
        <v>2</v>
      </c>
      <c r="I148" s="159">
        <v>1</v>
      </c>
      <c r="J148" s="56">
        <v>0</v>
      </c>
      <c r="K148" s="33">
        <f t="shared" si="169"/>
        <v>0</v>
      </c>
      <c r="L148" s="10">
        <v>0</v>
      </c>
      <c r="M148" s="10">
        <v>0</v>
      </c>
      <c r="N148" s="33">
        <f t="shared" si="170"/>
        <v>0</v>
      </c>
      <c r="O148" s="33">
        <f t="shared" si="171"/>
        <v>0</v>
      </c>
      <c r="P148" s="56">
        <v>0</v>
      </c>
      <c r="Q148" s="33">
        <f t="shared" si="172"/>
        <v>0</v>
      </c>
      <c r="R148" s="56">
        <v>0</v>
      </c>
      <c r="S148" s="56">
        <v>0</v>
      </c>
      <c r="T148" s="33">
        <f t="shared" si="173"/>
        <v>0</v>
      </c>
      <c r="U148" s="33">
        <f t="shared" si="174"/>
        <v>0</v>
      </c>
      <c r="V148" s="56">
        <v>0</v>
      </c>
      <c r="W148" s="33">
        <f t="shared" si="175"/>
        <v>0</v>
      </c>
      <c r="X148" s="56">
        <v>0</v>
      </c>
      <c r="Y148" s="56">
        <v>0</v>
      </c>
      <c r="Z148" s="33">
        <f t="shared" si="176"/>
        <v>0</v>
      </c>
      <c r="AA148" s="33">
        <f t="shared" si="177"/>
        <v>0</v>
      </c>
      <c r="AB148" s="146">
        <v>2</v>
      </c>
      <c r="AC148" s="117">
        <f t="shared" si="183"/>
        <v>2</v>
      </c>
      <c r="AD148" s="10">
        <v>0</v>
      </c>
      <c r="AE148" s="10">
        <v>0</v>
      </c>
      <c r="AF148" s="117">
        <f t="shared" si="184"/>
        <v>0</v>
      </c>
      <c r="AG148" s="118">
        <f t="shared" si="185"/>
        <v>0</v>
      </c>
      <c r="AH148" s="80">
        <f t="shared" si="186"/>
        <v>2</v>
      </c>
      <c r="AI148" s="127">
        <f t="shared" si="199"/>
        <v>2</v>
      </c>
      <c r="AJ148" s="111">
        <v>0</v>
      </c>
      <c r="AK148" s="111">
        <v>0</v>
      </c>
      <c r="AL148" s="112">
        <f t="shared" ca="1" si="153"/>
        <v>0</v>
      </c>
      <c r="AM148" s="112">
        <f t="shared" si="154"/>
        <v>0</v>
      </c>
      <c r="AN148" s="80">
        <f t="shared" si="187"/>
        <v>2</v>
      </c>
      <c r="AO148" s="12">
        <f t="shared" si="188"/>
        <v>2</v>
      </c>
      <c r="AP148" s="10">
        <v>0</v>
      </c>
      <c r="AQ148" s="10">
        <v>0</v>
      </c>
      <c r="AR148" s="12">
        <f t="shared" si="189"/>
        <v>0</v>
      </c>
      <c r="AS148" s="12">
        <f t="shared" si="190"/>
        <v>0</v>
      </c>
      <c r="AT148" s="13">
        <f t="shared" si="191"/>
        <v>2</v>
      </c>
      <c r="AU148" s="12">
        <f t="shared" si="192"/>
        <v>2</v>
      </c>
      <c r="AV148" s="10">
        <v>0</v>
      </c>
      <c r="AW148" s="10">
        <v>0</v>
      </c>
      <c r="AX148" s="12">
        <f t="shared" si="193"/>
        <v>0</v>
      </c>
      <c r="AY148" s="12">
        <f t="shared" si="194"/>
        <v>0</v>
      </c>
      <c r="AZ148" s="32">
        <f t="shared" si="195"/>
        <v>2</v>
      </c>
      <c r="BA148" s="12">
        <f t="shared" si="196"/>
        <v>2</v>
      </c>
      <c r="BB148" s="10">
        <v>0</v>
      </c>
      <c r="BC148" s="10">
        <v>0</v>
      </c>
      <c r="BD148" s="12">
        <f t="shared" si="197"/>
        <v>0</v>
      </c>
      <c r="BE148" s="12">
        <f t="shared" si="198"/>
        <v>0</v>
      </c>
      <c r="BF148" s="48">
        <v>2</v>
      </c>
      <c r="BG148" s="12">
        <f t="shared" si="178"/>
        <v>2</v>
      </c>
      <c r="BH148" s="10">
        <v>0</v>
      </c>
      <c r="BI148" s="10">
        <v>0</v>
      </c>
      <c r="BJ148" s="33">
        <f t="shared" si="200"/>
        <v>0</v>
      </c>
      <c r="BK148" s="33">
        <f t="shared" si="201"/>
        <v>0</v>
      </c>
      <c r="BL148" s="48">
        <v>2</v>
      </c>
      <c r="BM148" s="12">
        <f t="shared" si="179"/>
        <v>2</v>
      </c>
      <c r="BN148" s="10">
        <v>0</v>
      </c>
      <c r="BO148" s="10">
        <v>0</v>
      </c>
      <c r="BP148" s="33">
        <f t="shared" si="202"/>
        <v>0</v>
      </c>
      <c r="BQ148" s="33">
        <f t="shared" si="203"/>
        <v>0</v>
      </c>
      <c r="BR148" s="48">
        <v>2</v>
      </c>
      <c r="BS148" s="12">
        <f t="shared" si="180"/>
        <v>2</v>
      </c>
      <c r="BT148" s="10">
        <v>0</v>
      </c>
      <c r="BU148" s="10">
        <v>0</v>
      </c>
      <c r="BV148" s="33">
        <f t="shared" si="204"/>
        <v>0</v>
      </c>
      <c r="BW148" s="33">
        <f t="shared" si="205"/>
        <v>0</v>
      </c>
      <c r="BX148" s="48">
        <v>2</v>
      </c>
      <c r="BY148" s="12">
        <f t="shared" si="181"/>
        <v>2</v>
      </c>
      <c r="BZ148" s="10">
        <v>0</v>
      </c>
      <c r="CA148" s="10">
        <v>0</v>
      </c>
      <c r="CB148" s="33">
        <f t="shared" si="206"/>
        <v>0</v>
      </c>
      <c r="CC148" s="33">
        <f t="shared" si="207"/>
        <v>0</v>
      </c>
      <c r="CD148" s="48">
        <v>2</v>
      </c>
      <c r="CE148" s="12">
        <f t="shared" si="182"/>
        <v>2</v>
      </c>
    </row>
    <row r="149" spans="1:83" ht="80.25" customHeight="1">
      <c r="A149" s="148" t="s">
        <v>234</v>
      </c>
      <c r="B149" s="155" t="s">
        <v>490</v>
      </c>
      <c r="C149" s="173" t="s">
        <v>491</v>
      </c>
      <c r="D149" s="156">
        <v>1997</v>
      </c>
      <c r="E149" s="154"/>
      <c r="F149" s="154"/>
      <c r="G149" s="154"/>
      <c r="H149" s="165">
        <v>2</v>
      </c>
      <c r="I149" s="159">
        <v>1</v>
      </c>
      <c r="J149" s="56">
        <v>0</v>
      </c>
      <c r="K149" s="33">
        <f t="shared" si="169"/>
        <v>0</v>
      </c>
      <c r="L149" s="10">
        <v>0</v>
      </c>
      <c r="M149" s="10">
        <v>0</v>
      </c>
      <c r="N149" s="33">
        <f t="shared" si="170"/>
        <v>0</v>
      </c>
      <c r="O149" s="33">
        <f t="shared" si="171"/>
        <v>0</v>
      </c>
      <c r="P149" s="56">
        <v>0</v>
      </c>
      <c r="Q149" s="33">
        <f t="shared" si="172"/>
        <v>0</v>
      </c>
      <c r="R149" s="56">
        <v>0</v>
      </c>
      <c r="S149" s="56">
        <v>0</v>
      </c>
      <c r="T149" s="33">
        <f t="shared" si="173"/>
        <v>0</v>
      </c>
      <c r="U149" s="33">
        <f t="shared" si="174"/>
        <v>0</v>
      </c>
      <c r="V149" s="56">
        <v>0</v>
      </c>
      <c r="W149" s="33">
        <f t="shared" si="175"/>
        <v>0</v>
      </c>
      <c r="X149" s="56">
        <v>0</v>
      </c>
      <c r="Y149" s="56">
        <v>0</v>
      </c>
      <c r="Z149" s="33">
        <f t="shared" si="176"/>
        <v>0</v>
      </c>
      <c r="AA149" s="33">
        <f t="shared" si="177"/>
        <v>0</v>
      </c>
      <c r="AB149" s="146">
        <v>2</v>
      </c>
      <c r="AC149" s="117">
        <f t="shared" si="183"/>
        <v>2</v>
      </c>
      <c r="AD149" s="10">
        <v>0</v>
      </c>
      <c r="AE149" s="10">
        <v>0</v>
      </c>
      <c r="AF149" s="117">
        <f t="shared" si="184"/>
        <v>0</v>
      </c>
      <c r="AG149" s="118">
        <f t="shared" si="185"/>
        <v>0</v>
      </c>
      <c r="AH149" s="80">
        <f t="shared" si="186"/>
        <v>2</v>
      </c>
      <c r="AI149" s="127">
        <f t="shared" si="199"/>
        <v>2</v>
      </c>
      <c r="AJ149" s="111">
        <v>0</v>
      </c>
      <c r="AK149" s="111">
        <v>0</v>
      </c>
      <c r="AL149" s="112">
        <f t="shared" ca="1" si="153"/>
        <v>0</v>
      </c>
      <c r="AM149" s="112">
        <f t="shared" si="154"/>
        <v>0</v>
      </c>
      <c r="AN149" s="80">
        <f t="shared" si="187"/>
        <v>2</v>
      </c>
      <c r="AO149" s="12">
        <f t="shared" si="188"/>
        <v>2</v>
      </c>
      <c r="AP149" s="10">
        <v>0</v>
      </c>
      <c r="AQ149" s="10">
        <v>0</v>
      </c>
      <c r="AR149" s="12">
        <f t="shared" si="189"/>
        <v>0</v>
      </c>
      <c r="AS149" s="12">
        <f t="shared" si="190"/>
        <v>0</v>
      </c>
      <c r="AT149" s="13">
        <f t="shared" si="191"/>
        <v>2</v>
      </c>
      <c r="AU149" s="12">
        <f t="shared" si="192"/>
        <v>2</v>
      </c>
      <c r="AV149" s="10">
        <v>0</v>
      </c>
      <c r="AW149" s="10">
        <v>0</v>
      </c>
      <c r="AX149" s="12">
        <f t="shared" si="193"/>
        <v>0</v>
      </c>
      <c r="AY149" s="12">
        <f t="shared" si="194"/>
        <v>0</v>
      </c>
      <c r="AZ149" s="32">
        <f t="shared" si="195"/>
        <v>2</v>
      </c>
      <c r="BA149" s="12">
        <f t="shared" si="196"/>
        <v>2</v>
      </c>
      <c r="BB149" s="10">
        <v>0</v>
      </c>
      <c r="BC149" s="10">
        <v>0</v>
      </c>
      <c r="BD149" s="12">
        <f t="shared" si="197"/>
        <v>0</v>
      </c>
      <c r="BE149" s="12">
        <f t="shared" si="198"/>
        <v>0</v>
      </c>
      <c r="BF149" s="48">
        <v>2</v>
      </c>
      <c r="BG149" s="12">
        <f t="shared" si="178"/>
        <v>2</v>
      </c>
      <c r="BH149" s="10">
        <v>0</v>
      </c>
      <c r="BI149" s="10">
        <v>0</v>
      </c>
      <c r="BJ149" s="33">
        <f t="shared" si="200"/>
        <v>0</v>
      </c>
      <c r="BK149" s="33">
        <f t="shared" si="201"/>
        <v>0</v>
      </c>
      <c r="BL149" s="48">
        <v>2</v>
      </c>
      <c r="BM149" s="12">
        <f t="shared" si="179"/>
        <v>2</v>
      </c>
      <c r="BN149" s="10">
        <v>0</v>
      </c>
      <c r="BO149" s="10">
        <v>0</v>
      </c>
      <c r="BP149" s="33">
        <f t="shared" si="202"/>
        <v>0</v>
      </c>
      <c r="BQ149" s="33">
        <f t="shared" si="203"/>
        <v>0</v>
      </c>
      <c r="BR149" s="48">
        <v>2</v>
      </c>
      <c r="BS149" s="12">
        <f t="shared" si="180"/>
        <v>2</v>
      </c>
      <c r="BT149" s="10">
        <v>0</v>
      </c>
      <c r="BU149" s="10">
        <v>0</v>
      </c>
      <c r="BV149" s="33">
        <f t="shared" si="204"/>
        <v>0</v>
      </c>
      <c r="BW149" s="33">
        <f t="shared" si="205"/>
        <v>0</v>
      </c>
      <c r="BX149" s="48">
        <v>2</v>
      </c>
      <c r="BY149" s="12">
        <f t="shared" si="181"/>
        <v>2</v>
      </c>
      <c r="BZ149" s="10">
        <v>0</v>
      </c>
      <c r="CA149" s="10">
        <v>0</v>
      </c>
      <c r="CB149" s="33">
        <f t="shared" si="206"/>
        <v>0</v>
      </c>
      <c r="CC149" s="33">
        <f t="shared" si="207"/>
        <v>0</v>
      </c>
      <c r="CD149" s="48">
        <v>2</v>
      </c>
      <c r="CE149" s="12">
        <f t="shared" si="182"/>
        <v>2</v>
      </c>
    </row>
    <row r="150" spans="1:83" ht="80.25" customHeight="1">
      <c r="A150" s="148" t="s">
        <v>492</v>
      </c>
      <c r="B150" s="155" t="s">
        <v>493</v>
      </c>
      <c r="C150" s="173" t="s">
        <v>494</v>
      </c>
      <c r="D150" s="156">
        <v>2010</v>
      </c>
      <c r="E150" s="154"/>
      <c r="F150" s="154"/>
      <c r="G150" s="154"/>
      <c r="H150" s="165">
        <v>12</v>
      </c>
      <c r="I150" s="159">
        <v>1</v>
      </c>
      <c r="J150" s="56">
        <v>0</v>
      </c>
      <c r="K150" s="33">
        <f t="shared" si="169"/>
        <v>0</v>
      </c>
      <c r="L150" s="10">
        <v>0</v>
      </c>
      <c r="M150" s="10">
        <v>0</v>
      </c>
      <c r="N150" s="33">
        <f t="shared" si="170"/>
        <v>0</v>
      </c>
      <c r="O150" s="33">
        <f t="shared" si="171"/>
        <v>0</v>
      </c>
      <c r="P150" s="56">
        <v>0</v>
      </c>
      <c r="Q150" s="33">
        <f t="shared" si="172"/>
        <v>0</v>
      </c>
      <c r="R150" s="56">
        <v>0</v>
      </c>
      <c r="S150" s="56">
        <v>0</v>
      </c>
      <c r="T150" s="33">
        <f t="shared" si="173"/>
        <v>0</v>
      </c>
      <c r="U150" s="33">
        <f t="shared" si="174"/>
        <v>0</v>
      </c>
      <c r="V150" s="56">
        <v>0</v>
      </c>
      <c r="W150" s="33">
        <f t="shared" si="175"/>
        <v>0</v>
      </c>
      <c r="X150" s="56">
        <v>0</v>
      </c>
      <c r="Y150" s="56">
        <v>0</v>
      </c>
      <c r="Z150" s="33">
        <f t="shared" si="176"/>
        <v>0</v>
      </c>
      <c r="AA150" s="33">
        <f t="shared" si="177"/>
        <v>0</v>
      </c>
      <c r="AB150" s="146">
        <v>12</v>
      </c>
      <c r="AC150" s="117">
        <f t="shared" si="183"/>
        <v>12</v>
      </c>
      <c r="AD150" s="10">
        <v>0</v>
      </c>
      <c r="AE150" s="10">
        <v>0</v>
      </c>
      <c r="AF150" s="117">
        <f t="shared" si="184"/>
        <v>0</v>
      </c>
      <c r="AG150" s="118">
        <f t="shared" si="185"/>
        <v>0</v>
      </c>
      <c r="AH150" s="80">
        <f t="shared" si="186"/>
        <v>12</v>
      </c>
      <c r="AI150" s="127">
        <f t="shared" si="199"/>
        <v>12</v>
      </c>
      <c r="AJ150" s="111">
        <v>0</v>
      </c>
      <c r="AK150" s="111">
        <v>0</v>
      </c>
      <c r="AL150" s="112">
        <f t="shared" ca="1" si="153"/>
        <v>0</v>
      </c>
      <c r="AM150" s="112">
        <f t="shared" si="154"/>
        <v>0</v>
      </c>
      <c r="AN150" s="80">
        <f t="shared" si="187"/>
        <v>12</v>
      </c>
      <c r="AO150" s="12">
        <f t="shared" si="188"/>
        <v>12</v>
      </c>
      <c r="AP150" s="10">
        <v>0</v>
      </c>
      <c r="AQ150" s="10">
        <v>0</v>
      </c>
      <c r="AR150" s="12">
        <f t="shared" si="189"/>
        <v>0</v>
      </c>
      <c r="AS150" s="12">
        <f t="shared" si="190"/>
        <v>0</v>
      </c>
      <c r="AT150" s="13">
        <f t="shared" si="191"/>
        <v>12</v>
      </c>
      <c r="AU150" s="12">
        <f t="shared" si="192"/>
        <v>12</v>
      </c>
      <c r="AV150" s="10">
        <v>0</v>
      </c>
      <c r="AW150" s="10">
        <v>0</v>
      </c>
      <c r="AX150" s="12">
        <f t="shared" si="193"/>
        <v>0</v>
      </c>
      <c r="AY150" s="12">
        <f t="shared" si="194"/>
        <v>0</v>
      </c>
      <c r="AZ150" s="32">
        <f t="shared" si="195"/>
        <v>12</v>
      </c>
      <c r="BA150" s="12">
        <f t="shared" si="196"/>
        <v>12</v>
      </c>
      <c r="BB150" s="10">
        <v>0</v>
      </c>
      <c r="BC150" s="10">
        <v>0</v>
      </c>
      <c r="BD150" s="12">
        <f t="shared" si="197"/>
        <v>0</v>
      </c>
      <c r="BE150" s="12">
        <f t="shared" si="198"/>
        <v>0</v>
      </c>
      <c r="BF150" s="48">
        <v>12</v>
      </c>
      <c r="BG150" s="12">
        <f t="shared" si="178"/>
        <v>12</v>
      </c>
      <c r="BH150" s="10">
        <v>0</v>
      </c>
      <c r="BI150" s="10">
        <v>0</v>
      </c>
      <c r="BJ150" s="33">
        <f t="shared" si="200"/>
        <v>0</v>
      </c>
      <c r="BK150" s="33">
        <f t="shared" si="201"/>
        <v>0</v>
      </c>
      <c r="BL150" s="48">
        <v>12</v>
      </c>
      <c r="BM150" s="12">
        <f t="shared" si="179"/>
        <v>12</v>
      </c>
      <c r="BN150" s="10">
        <v>0</v>
      </c>
      <c r="BO150" s="10">
        <v>0</v>
      </c>
      <c r="BP150" s="33">
        <f t="shared" si="202"/>
        <v>0</v>
      </c>
      <c r="BQ150" s="33">
        <f t="shared" si="203"/>
        <v>0</v>
      </c>
      <c r="BR150" s="48">
        <v>12</v>
      </c>
      <c r="BS150" s="12">
        <f t="shared" si="180"/>
        <v>12</v>
      </c>
      <c r="BT150" s="10">
        <v>0</v>
      </c>
      <c r="BU150" s="10">
        <v>0</v>
      </c>
      <c r="BV150" s="33">
        <f t="shared" si="204"/>
        <v>0</v>
      </c>
      <c r="BW150" s="33">
        <f t="shared" si="205"/>
        <v>0</v>
      </c>
      <c r="BX150" s="48">
        <v>12</v>
      </c>
      <c r="BY150" s="12">
        <f t="shared" si="181"/>
        <v>12</v>
      </c>
      <c r="BZ150" s="10">
        <v>0</v>
      </c>
      <c r="CA150" s="10">
        <v>0</v>
      </c>
      <c r="CB150" s="33">
        <f t="shared" si="206"/>
        <v>0</v>
      </c>
      <c r="CC150" s="33">
        <f t="shared" si="207"/>
        <v>0</v>
      </c>
      <c r="CD150" s="48">
        <v>12</v>
      </c>
      <c r="CE150" s="12">
        <f t="shared" si="182"/>
        <v>12</v>
      </c>
    </row>
    <row r="151" spans="1:83" ht="80.25" customHeight="1">
      <c r="A151" s="148" t="s">
        <v>495</v>
      </c>
      <c r="B151" s="155" t="s">
        <v>496</v>
      </c>
      <c r="C151" s="174" t="s">
        <v>497</v>
      </c>
      <c r="D151" s="157">
        <v>2013</v>
      </c>
      <c r="E151" s="154"/>
      <c r="F151" s="154"/>
      <c r="G151" s="154"/>
      <c r="H151" s="165">
        <v>3</v>
      </c>
      <c r="I151" s="159">
        <v>1</v>
      </c>
      <c r="J151" s="56">
        <v>0</v>
      </c>
      <c r="K151" s="33">
        <f t="shared" si="169"/>
        <v>0</v>
      </c>
      <c r="L151" s="10">
        <v>0</v>
      </c>
      <c r="M151" s="10">
        <v>0</v>
      </c>
      <c r="N151" s="33">
        <f t="shared" si="170"/>
        <v>0</v>
      </c>
      <c r="O151" s="33">
        <f t="shared" si="171"/>
        <v>0</v>
      </c>
      <c r="P151" s="56">
        <v>0</v>
      </c>
      <c r="Q151" s="33">
        <f t="shared" si="172"/>
        <v>0</v>
      </c>
      <c r="R151" s="56">
        <v>0</v>
      </c>
      <c r="S151" s="56">
        <v>0</v>
      </c>
      <c r="T151" s="33">
        <f t="shared" si="173"/>
        <v>0</v>
      </c>
      <c r="U151" s="33">
        <f t="shared" si="174"/>
        <v>0</v>
      </c>
      <c r="V151" s="56">
        <v>0</v>
      </c>
      <c r="W151" s="33">
        <f t="shared" si="175"/>
        <v>0</v>
      </c>
      <c r="X151" s="56">
        <v>0</v>
      </c>
      <c r="Y151" s="56">
        <v>0</v>
      </c>
      <c r="Z151" s="33">
        <f t="shared" si="176"/>
        <v>0</v>
      </c>
      <c r="AA151" s="33">
        <f t="shared" si="177"/>
        <v>0</v>
      </c>
      <c r="AB151" s="146">
        <v>3</v>
      </c>
      <c r="AC151" s="117">
        <f t="shared" si="183"/>
        <v>3</v>
      </c>
      <c r="AD151" s="10">
        <v>0</v>
      </c>
      <c r="AE151" s="10">
        <v>0</v>
      </c>
      <c r="AF151" s="117">
        <f t="shared" si="184"/>
        <v>0</v>
      </c>
      <c r="AG151" s="118">
        <f t="shared" si="185"/>
        <v>0</v>
      </c>
      <c r="AH151" s="80">
        <f t="shared" si="186"/>
        <v>3</v>
      </c>
      <c r="AI151" s="127">
        <f t="shared" si="199"/>
        <v>3</v>
      </c>
      <c r="AJ151" s="111">
        <v>0</v>
      </c>
      <c r="AK151" s="111">
        <v>0</v>
      </c>
      <c r="AL151" s="112">
        <f t="shared" ca="1" si="153"/>
        <v>0</v>
      </c>
      <c r="AM151" s="112">
        <f t="shared" si="154"/>
        <v>0</v>
      </c>
      <c r="AN151" s="80">
        <f t="shared" si="187"/>
        <v>3</v>
      </c>
      <c r="AO151" s="12">
        <f t="shared" si="188"/>
        <v>3</v>
      </c>
      <c r="AP151" s="10">
        <v>0</v>
      </c>
      <c r="AQ151" s="10">
        <v>0</v>
      </c>
      <c r="AR151" s="12">
        <f t="shared" si="189"/>
        <v>0</v>
      </c>
      <c r="AS151" s="12">
        <f t="shared" si="190"/>
        <v>0</v>
      </c>
      <c r="AT151" s="13">
        <f t="shared" si="191"/>
        <v>3</v>
      </c>
      <c r="AU151" s="12">
        <f t="shared" si="192"/>
        <v>3</v>
      </c>
      <c r="AV151" s="10">
        <v>0</v>
      </c>
      <c r="AW151" s="10">
        <v>0</v>
      </c>
      <c r="AX151" s="12">
        <f t="shared" si="193"/>
        <v>0</v>
      </c>
      <c r="AY151" s="12">
        <f t="shared" si="194"/>
        <v>0</v>
      </c>
      <c r="AZ151" s="32">
        <f t="shared" si="195"/>
        <v>3</v>
      </c>
      <c r="BA151" s="12">
        <f t="shared" si="196"/>
        <v>3</v>
      </c>
      <c r="BB151" s="10">
        <v>0</v>
      </c>
      <c r="BC151" s="10">
        <v>0</v>
      </c>
      <c r="BD151" s="12">
        <f t="shared" si="197"/>
        <v>0</v>
      </c>
      <c r="BE151" s="12">
        <f t="shared" si="198"/>
        <v>0</v>
      </c>
      <c r="BF151" s="48">
        <v>3</v>
      </c>
      <c r="BG151" s="12">
        <f t="shared" si="178"/>
        <v>3</v>
      </c>
      <c r="BH151" s="10">
        <v>0</v>
      </c>
      <c r="BI151" s="10">
        <v>0</v>
      </c>
      <c r="BJ151" s="33">
        <f t="shared" si="200"/>
        <v>0</v>
      </c>
      <c r="BK151" s="33">
        <f t="shared" si="201"/>
        <v>0</v>
      </c>
      <c r="BL151" s="48">
        <v>3</v>
      </c>
      <c r="BM151" s="12">
        <f t="shared" si="179"/>
        <v>3</v>
      </c>
      <c r="BN151" s="10">
        <v>0</v>
      </c>
      <c r="BO151" s="10">
        <v>0</v>
      </c>
      <c r="BP151" s="33">
        <f t="shared" si="202"/>
        <v>0</v>
      </c>
      <c r="BQ151" s="33">
        <f t="shared" si="203"/>
        <v>0</v>
      </c>
      <c r="BR151" s="48">
        <v>3</v>
      </c>
      <c r="BS151" s="12">
        <f t="shared" si="180"/>
        <v>3</v>
      </c>
      <c r="BT151" s="10">
        <v>0</v>
      </c>
      <c r="BU151" s="10">
        <v>0</v>
      </c>
      <c r="BV151" s="33">
        <f t="shared" si="204"/>
        <v>0</v>
      </c>
      <c r="BW151" s="33">
        <f t="shared" si="205"/>
        <v>0</v>
      </c>
      <c r="BX151" s="48">
        <v>3</v>
      </c>
      <c r="BY151" s="12">
        <f t="shared" si="181"/>
        <v>3</v>
      </c>
      <c r="BZ151" s="10">
        <v>0</v>
      </c>
      <c r="CA151" s="10">
        <v>0</v>
      </c>
      <c r="CB151" s="33">
        <f t="shared" si="206"/>
        <v>0</v>
      </c>
      <c r="CC151" s="33">
        <f t="shared" si="207"/>
        <v>0</v>
      </c>
      <c r="CD151" s="48">
        <v>3</v>
      </c>
      <c r="CE151" s="12">
        <f t="shared" si="182"/>
        <v>3</v>
      </c>
    </row>
    <row r="152" spans="1:83" ht="80.25" customHeight="1">
      <c r="A152" s="148" t="s">
        <v>498</v>
      </c>
      <c r="B152" s="155" t="s">
        <v>499</v>
      </c>
      <c r="C152" s="173" t="s">
        <v>500</v>
      </c>
      <c r="D152" s="156">
        <v>2012</v>
      </c>
      <c r="E152" s="154"/>
      <c r="F152" s="154"/>
      <c r="G152" s="154"/>
      <c r="H152" s="165">
        <v>12</v>
      </c>
      <c r="I152" s="159">
        <v>1</v>
      </c>
      <c r="J152" s="56">
        <v>0</v>
      </c>
      <c r="K152" s="33">
        <f t="shared" si="169"/>
        <v>0</v>
      </c>
      <c r="L152" s="10">
        <v>0</v>
      </c>
      <c r="M152" s="10">
        <v>0</v>
      </c>
      <c r="N152" s="33">
        <f t="shared" si="170"/>
        <v>0</v>
      </c>
      <c r="O152" s="33">
        <f t="shared" si="171"/>
        <v>0</v>
      </c>
      <c r="P152" s="56">
        <v>0</v>
      </c>
      <c r="Q152" s="33">
        <f t="shared" si="172"/>
        <v>0</v>
      </c>
      <c r="R152" s="56">
        <v>0</v>
      </c>
      <c r="S152" s="56">
        <v>0</v>
      </c>
      <c r="T152" s="33">
        <f t="shared" si="173"/>
        <v>0</v>
      </c>
      <c r="U152" s="33">
        <f t="shared" si="174"/>
        <v>0</v>
      </c>
      <c r="V152" s="56">
        <v>0</v>
      </c>
      <c r="W152" s="33">
        <f t="shared" si="175"/>
        <v>0</v>
      </c>
      <c r="X152" s="56">
        <v>0</v>
      </c>
      <c r="Y152" s="56">
        <v>0</v>
      </c>
      <c r="Z152" s="33">
        <f t="shared" si="176"/>
        <v>0</v>
      </c>
      <c r="AA152" s="33">
        <f t="shared" si="177"/>
        <v>0</v>
      </c>
      <c r="AB152" s="146">
        <v>12</v>
      </c>
      <c r="AC152" s="117">
        <f t="shared" si="183"/>
        <v>12</v>
      </c>
      <c r="AD152" s="10">
        <v>0</v>
      </c>
      <c r="AE152" s="10">
        <v>0</v>
      </c>
      <c r="AF152" s="117">
        <f t="shared" si="184"/>
        <v>0</v>
      </c>
      <c r="AG152" s="118">
        <f t="shared" si="185"/>
        <v>0</v>
      </c>
      <c r="AH152" s="80">
        <f t="shared" si="186"/>
        <v>12</v>
      </c>
      <c r="AI152" s="127">
        <f t="shared" si="199"/>
        <v>12</v>
      </c>
      <c r="AJ152" s="111">
        <v>0</v>
      </c>
      <c r="AK152" s="111">
        <v>0</v>
      </c>
      <c r="AL152" s="112">
        <f t="shared" ca="1" si="153"/>
        <v>0</v>
      </c>
      <c r="AM152" s="112">
        <f t="shared" si="154"/>
        <v>0</v>
      </c>
      <c r="AN152" s="80">
        <f t="shared" si="187"/>
        <v>12</v>
      </c>
      <c r="AO152" s="12">
        <f t="shared" si="188"/>
        <v>12</v>
      </c>
      <c r="AP152" s="10">
        <v>0</v>
      </c>
      <c r="AQ152" s="10">
        <v>0</v>
      </c>
      <c r="AR152" s="12">
        <f t="shared" si="189"/>
        <v>0</v>
      </c>
      <c r="AS152" s="12">
        <f t="shared" si="190"/>
        <v>0</v>
      </c>
      <c r="AT152" s="13">
        <f t="shared" si="191"/>
        <v>12</v>
      </c>
      <c r="AU152" s="12">
        <f t="shared" si="192"/>
        <v>12</v>
      </c>
      <c r="AV152" s="10">
        <v>0</v>
      </c>
      <c r="AW152" s="10">
        <v>0</v>
      </c>
      <c r="AX152" s="12">
        <f t="shared" si="193"/>
        <v>0</v>
      </c>
      <c r="AY152" s="12">
        <f t="shared" si="194"/>
        <v>0</v>
      </c>
      <c r="AZ152" s="32">
        <f t="shared" si="195"/>
        <v>12</v>
      </c>
      <c r="BA152" s="12">
        <f t="shared" si="196"/>
        <v>12</v>
      </c>
      <c r="BB152" s="10">
        <v>0</v>
      </c>
      <c r="BC152" s="10">
        <v>0</v>
      </c>
      <c r="BD152" s="12">
        <f t="shared" si="197"/>
        <v>0</v>
      </c>
      <c r="BE152" s="12">
        <f t="shared" si="198"/>
        <v>0</v>
      </c>
      <c r="BF152" s="48">
        <v>12</v>
      </c>
      <c r="BG152" s="12">
        <f t="shared" si="178"/>
        <v>12</v>
      </c>
      <c r="BH152" s="10">
        <v>0</v>
      </c>
      <c r="BI152" s="10">
        <v>0</v>
      </c>
      <c r="BJ152" s="33">
        <f t="shared" si="200"/>
        <v>0</v>
      </c>
      <c r="BK152" s="33">
        <f t="shared" si="201"/>
        <v>0</v>
      </c>
      <c r="BL152" s="48">
        <v>12</v>
      </c>
      <c r="BM152" s="12">
        <f t="shared" si="179"/>
        <v>12</v>
      </c>
      <c r="BN152" s="10">
        <v>0</v>
      </c>
      <c r="BO152" s="10">
        <v>0</v>
      </c>
      <c r="BP152" s="33">
        <f t="shared" si="202"/>
        <v>0</v>
      </c>
      <c r="BQ152" s="33">
        <f t="shared" si="203"/>
        <v>0</v>
      </c>
      <c r="BR152" s="48">
        <v>12</v>
      </c>
      <c r="BS152" s="12">
        <f t="shared" si="180"/>
        <v>12</v>
      </c>
      <c r="BT152" s="10">
        <v>0</v>
      </c>
      <c r="BU152" s="10">
        <v>0</v>
      </c>
      <c r="BV152" s="33">
        <f t="shared" si="204"/>
        <v>0</v>
      </c>
      <c r="BW152" s="33">
        <f t="shared" si="205"/>
        <v>0</v>
      </c>
      <c r="BX152" s="48">
        <v>12</v>
      </c>
      <c r="BY152" s="12">
        <f t="shared" si="181"/>
        <v>12</v>
      </c>
      <c r="BZ152" s="10">
        <v>0</v>
      </c>
      <c r="CA152" s="10">
        <v>0</v>
      </c>
      <c r="CB152" s="33">
        <f t="shared" si="206"/>
        <v>0</v>
      </c>
      <c r="CC152" s="33">
        <f t="shared" si="207"/>
        <v>0</v>
      </c>
      <c r="CD152" s="48">
        <v>12</v>
      </c>
      <c r="CE152" s="12">
        <f t="shared" si="182"/>
        <v>12</v>
      </c>
    </row>
    <row r="153" spans="1:83" ht="80.25" customHeight="1">
      <c r="A153" s="148" t="s">
        <v>501</v>
      </c>
      <c r="B153" s="155" t="s">
        <v>502</v>
      </c>
      <c r="C153" s="173" t="s">
        <v>503</v>
      </c>
      <c r="D153" s="156">
        <v>2006</v>
      </c>
      <c r="E153" s="154"/>
      <c r="F153" s="154"/>
      <c r="G153" s="154"/>
      <c r="H153" s="165">
        <v>11</v>
      </c>
      <c r="I153" s="159">
        <v>1</v>
      </c>
      <c r="J153" s="56">
        <v>0</v>
      </c>
      <c r="K153" s="33">
        <f t="shared" si="169"/>
        <v>0</v>
      </c>
      <c r="L153" s="10">
        <v>0</v>
      </c>
      <c r="M153" s="10">
        <v>0</v>
      </c>
      <c r="N153" s="33">
        <f t="shared" si="170"/>
        <v>0</v>
      </c>
      <c r="O153" s="33">
        <f t="shared" si="171"/>
        <v>0</v>
      </c>
      <c r="P153" s="56">
        <v>0</v>
      </c>
      <c r="Q153" s="33">
        <f t="shared" si="172"/>
        <v>0</v>
      </c>
      <c r="R153" s="56">
        <v>0</v>
      </c>
      <c r="S153" s="56">
        <v>0</v>
      </c>
      <c r="T153" s="33">
        <f t="shared" si="173"/>
        <v>0</v>
      </c>
      <c r="U153" s="33">
        <f t="shared" si="174"/>
        <v>0</v>
      </c>
      <c r="V153" s="56">
        <v>0</v>
      </c>
      <c r="W153" s="33">
        <f t="shared" si="175"/>
        <v>0</v>
      </c>
      <c r="X153" s="56">
        <v>0</v>
      </c>
      <c r="Y153" s="56">
        <v>0</v>
      </c>
      <c r="Z153" s="33">
        <f t="shared" si="176"/>
        <v>0</v>
      </c>
      <c r="AA153" s="33">
        <f t="shared" si="177"/>
        <v>0</v>
      </c>
      <c r="AB153" s="146">
        <v>11</v>
      </c>
      <c r="AC153" s="117">
        <f t="shared" si="183"/>
        <v>11</v>
      </c>
      <c r="AD153" s="10">
        <v>0</v>
      </c>
      <c r="AE153" s="10">
        <v>0</v>
      </c>
      <c r="AF153" s="117">
        <f t="shared" si="184"/>
        <v>0</v>
      </c>
      <c r="AG153" s="118">
        <f t="shared" si="185"/>
        <v>0</v>
      </c>
      <c r="AH153" s="80">
        <f t="shared" si="186"/>
        <v>11</v>
      </c>
      <c r="AI153" s="127">
        <f t="shared" si="199"/>
        <v>11</v>
      </c>
      <c r="AJ153" s="111">
        <v>0</v>
      </c>
      <c r="AK153" s="111">
        <v>0</v>
      </c>
      <c r="AL153" s="112">
        <f t="shared" ca="1" si="153"/>
        <v>0</v>
      </c>
      <c r="AM153" s="112">
        <f t="shared" si="154"/>
        <v>0</v>
      </c>
      <c r="AN153" s="80">
        <f t="shared" si="187"/>
        <v>11</v>
      </c>
      <c r="AO153" s="12">
        <f t="shared" si="188"/>
        <v>11</v>
      </c>
      <c r="AP153" s="10">
        <v>0</v>
      </c>
      <c r="AQ153" s="10">
        <v>0</v>
      </c>
      <c r="AR153" s="12">
        <f t="shared" si="189"/>
        <v>0</v>
      </c>
      <c r="AS153" s="12">
        <f t="shared" si="190"/>
        <v>0</v>
      </c>
      <c r="AT153" s="13">
        <f t="shared" si="191"/>
        <v>11</v>
      </c>
      <c r="AU153" s="12">
        <f t="shared" si="192"/>
        <v>11</v>
      </c>
      <c r="AV153" s="10">
        <v>0</v>
      </c>
      <c r="AW153" s="10">
        <v>0</v>
      </c>
      <c r="AX153" s="12">
        <f t="shared" si="193"/>
        <v>0</v>
      </c>
      <c r="AY153" s="12">
        <f t="shared" si="194"/>
        <v>0</v>
      </c>
      <c r="AZ153" s="32">
        <f t="shared" si="195"/>
        <v>11</v>
      </c>
      <c r="BA153" s="12">
        <f t="shared" si="196"/>
        <v>11</v>
      </c>
      <c r="BB153" s="10">
        <v>0</v>
      </c>
      <c r="BC153" s="10">
        <v>0</v>
      </c>
      <c r="BD153" s="12">
        <f t="shared" si="197"/>
        <v>0</v>
      </c>
      <c r="BE153" s="12">
        <f t="shared" si="198"/>
        <v>0</v>
      </c>
      <c r="BF153" s="48">
        <v>11</v>
      </c>
      <c r="BG153" s="12">
        <f t="shared" si="178"/>
        <v>11</v>
      </c>
      <c r="BH153" s="10">
        <v>0</v>
      </c>
      <c r="BI153" s="10">
        <v>0</v>
      </c>
      <c r="BJ153" s="33">
        <f t="shared" si="200"/>
        <v>0</v>
      </c>
      <c r="BK153" s="33">
        <f t="shared" si="201"/>
        <v>0</v>
      </c>
      <c r="BL153" s="48">
        <v>11</v>
      </c>
      <c r="BM153" s="12">
        <f t="shared" si="179"/>
        <v>11</v>
      </c>
      <c r="BN153" s="10">
        <v>0</v>
      </c>
      <c r="BO153" s="10">
        <v>0</v>
      </c>
      <c r="BP153" s="33">
        <f t="shared" si="202"/>
        <v>0</v>
      </c>
      <c r="BQ153" s="33">
        <f t="shared" si="203"/>
        <v>0</v>
      </c>
      <c r="BR153" s="48">
        <v>11</v>
      </c>
      <c r="BS153" s="12">
        <f t="shared" si="180"/>
        <v>11</v>
      </c>
      <c r="BT153" s="10">
        <v>0</v>
      </c>
      <c r="BU153" s="10">
        <v>0</v>
      </c>
      <c r="BV153" s="33">
        <f t="shared" si="204"/>
        <v>0</v>
      </c>
      <c r="BW153" s="33">
        <f t="shared" si="205"/>
        <v>0</v>
      </c>
      <c r="BX153" s="48">
        <v>11</v>
      </c>
      <c r="BY153" s="12">
        <f t="shared" si="181"/>
        <v>11</v>
      </c>
      <c r="BZ153" s="10">
        <v>0</v>
      </c>
      <c r="CA153" s="10">
        <v>0</v>
      </c>
      <c r="CB153" s="33">
        <f t="shared" si="206"/>
        <v>0</v>
      </c>
      <c r="CC153" s="33">
        <f t="shared" si="207"/>
        <v>0</v>
      </c>
      <c r="CD153" s="48">
        <v>11</v>
      </c>
      <c r="CE153" s="12">
        <f t="shared" si="182"/>
        <v>11</v>
      </c>
    </row>
    <row r="154" spans="1:83" ht="80.25" customHeight="1">
      <c r="A154" s="148" t="s">
        <v>504</v>
      </c>
      <c r="B154" s="155" t="s">
        <v>505</v>
      </c>
      <c r="C154" s="174" t="s">
        <v>506</v>
      </c>
      <c r="D154" s="157">
        <v>2000</v>
      </c>
      <c r="E154" s="154"/>
      <c r="F154" s="154"/>
      <c r="G154" s="154"/>
      <c r="H154" s="165">
        <v>46</v>
      </c>
      <c r="I154" s="159">
        <v>1</v>
      </c>
      <c r="J154" s="56">
        <v>0</v>
      </c>
      <c r="K154" s="33">
        <f t="shared" si="169"/>
        <v>0</v>
      </c>
      <c r="L154" s="10">
        <v>0</v>
      </c>
      <c r="M154" s="10">
        <v>0</v>
      </c>
      <c r="N154" s="33">
        <f t="shared" si="170"/>
        <v>0</v>
      </c>
      <c r="O154" s="33">
        <f t="shared" si="171"/>
        <v>0</v>
      </c>
      <c r="P154" s="56">
        <v>0</v>
      </c>
      <c r="Q154" s="33">
        <f t="shared" si="172"/>
        <v>0</v>
      </c>
      <c r="R154" s="56">
        <v>0</v>
      </c>
      <c r="S154" s="56">
        <v>0</v>
      </c>
      <c r="T154" s="33">
        <f t="shared" si="173"/>
        <v>0</v>
      </c>
      <c r="U154" s="33">
        <f t="shared" si="174"/>
        <v>0</v>
      </c>
      <c r="V154" s="56">
        <v>0</v>
      </c>
      <c r="W154" s="33">
        <f t="shared" si="175"/>
        <v>0</v>
      </c>
      <c r="X154" s="56">
        <v>0</v>
      </c>
      <c r="Y154" s="56">
        <v>0</v>
      </c>
      <c r="Z154" s="33">
        <f t="shared" si="176"/>
        <v>0</v>
      </c>
      <c r="AA154" s="33">
        <f t="shared" si="177"/>
        <v>0</v>
      </c>
      <c r="AB154" s="146">
        <v>46</v>
      </c>
      <c r="AC154" s="117">
        <f t="shared" si="183"/>
        <v>46</v>
      </c>
      <c r="AD154" s="10">
        <v>0</v>
      </c>
      <c r="AE154" s="10">
        <v>0</v>
      </c>
      <c r="AF154" s="117">
        <f t="shared" si="184"/>
        <v>0</v>
      </c>
      <c r="AG154" s="118">
        <f t="shared" si="185"/>
        <v>0</v>
      </c>
      <c r="AH154" s="80">
        <f t="shared" si="186"/>
        <v>46</v>
      </c>
      <c r="AI154" s="127">
        <f t="shared" si="199"/>
        <v>46</v>
      </c>
      <c r="AJ154" s="111">
        <v>0</v>
      </c>
      <c r="AK154" s="111">
        <v>0</v>
      </c>
      <c r="AL154" s="112">
        <f t="shared" ca="1" si="153"/>
        <v>0</v>
      </c>
      <c r="AM154" s="112">
        <f t="shared" si="154"/>
        <v>0</v>
      </c>
      <c r="AN154" s="80">
        <f t="shared" si="187"/>
        <v>46</v>
      </c>
      <c r="AO154" s="12">
        <f t="shared" si="188"/>
        <v>46</v>
      </c>
      <c r="AP154" s="10">
        <v>0</v>
      </c>
      <c r="AQ154" s="10">
        <v>0</v>
      </c>
      <c r="AR154" s="12">
        <f t="shared" si="189"/>
        <v>0</v>
      </c>
      <c r="AS154" s="12">
        <f t="shared" si="190"/>
        <v>0</v>
      </c>
      <c r="AT154" s="13">
        <f t="shared" si="191"/>
        <v>46</v>
      </c>
      <c r="AU154" s="12">
        <f t="shared" si="192"/>
        <v>46</v>
      </c>
      <c r="AV154" s="10">
        <v>0</v>
      </c>
      <c r="AW154" s="10">
        <v>0</v>
      </c>
      <c r="AX154" s="12">
        <f t="shared" si="193"/>
        <v>0</v>
      </c>
      <c r="AY154" s="12">
        <f t="shared" si="194"/>
        <v>0</v>
      </c>
      <c r="AZ154" s="32">
        <f t="shared" si="195"/>
        <v>46</v>
      </c>
      <c r="BA154" s="12">
        <f t="shared" si="196"/>
        <v>46</v>
      </c>
      <c r="BB154" s="10">
        <v>0</v>
      </c>
      <c r="BC154" s="10">
        <v>0</v>
      </c>
      <c r="BD154" s="12">
        <f t="shared" si="197"/>
        <v>0</v>
      </c>
      <c r="BE154" s="12">
        <f t="shared" si="198"/>
        <v>0</v>
      </c>
      <c r="BF154" s="48">
        <v>46</v>
      </c>
      <c r="BG154" s="12">
        <f t="shared" si="178"/>
        <v>46</v>
      </c>
      <c r="BH154" s="10">
        <v>0</v>
      </c>
      <c r="BI154" s="10">
        <v>0</v>
      </c>
      <c r="BJ154" s="33">
        <f t="shared" si="200"/>
        <v>0</v>
      </c>
      <c r="BK154" s="33">
        <f t="shared" si="201"/>
        <v>0</v>
      </c>
      <c r="BL154" s="48">
        <v>46</v>
      </c>
      <c r="BM154" s="12">
        <f t="shared" si="179"/>
        <v>46</v>
      </c>
      <c r="BN154" s="10">
        <v>0</v>
      </c>
      <c r="BO154" s="10">
        <v>0</v>
      </c>
      <c r="BP154" s="33">
        <f t="shared" si="202"/>
        <v>0</v>
      </c>
      <c r="BQ154" s="33">
        <f t="shared" si="203"/>
        <v>0</v>
      </c>
      <c r="BR154" s="48">
        <v>46</v>
      </c>
      <c r="BS154" s="12">
        <f t="shared" si="180"/>
        <v>46</v>
      </c>
      <c r="BT154" s="10">
        <v>0</v>
      </c>
      <c r="BU154" s="10">
        <v>0</v>
      </c>
      <c r="BV154" s="33">
        <f t="shared" si="204"/>
        <v>0</v>
      </c>
      <c r="BW154" s="33">
        <f t="shared" si="205"/>
        <v>0</v>
      </c>
      <c r="BX154" s="48">
        <v>46</v>
      </c>
      <c r="BY154" s="12">
        <f t="shared" si="181"/>
        <v>46</v>
      </c>
      <c r="BZ154" s="10">
        <v>0</v>
      </c>
      <c r="CA154" s="10">
        <v>0</v>
      </c>
      <c r="CB154" s="33">
        <f t="shared" si="206"/>
        <v>0</v>
      </c>
      <c r="CC154" s="33">
        <f t="shared" si="207"/>
        <v>0</v>
      </c>
      <c r="CD154" s="48">
        <v>46</v>
      </c>
      <c r="CE154" s="12">
        <f t="shared" si="182"/>
        <v>46</v>
      </c>
    </row>
    <row r="155" spans="1:83" ht="80.25" customHeight="1">
      <c r="A155" s="148" t="s">
        <v>204</v>
      </c>
      <c r="B155" s="155" t="s">
        <v>507</v>
      </c>
      <c r="C155" s="174" t="s">
        <v>508</v>
      </c>
      <c r="D155" s="157">
        <v>2013</v>
      </c>
      <c r="E155" s="154"/>
      <c r="F155" s="154"/>
      <c r="G155" s="154"/>
      <c r="H155" s="165">
        <v>11</v>
      </c>
      <c r="I155" s="159">
        <v>1</v>
      </c>
      <c r="J155" s="56">
        <v>0</v>
      </c>
      <c r="K155" s="33">
        <f t="shared" si="169"/>
        <v>0</v>
      </c>
      <c r="L155" s="10">
        <v>0</v>
      </c>
      <c r="M155" s="10">
        <v>0</v>
      </c>
      <c r="N155" s="33">
        <f t="shared" si="170"/>
        <v>0</v>
      </c>
      <c r="O155" s="33">
        <f t="shared" si="171"/>
        <v>0</v>
      </c>
      <c r="P155" s="56">
        <v>0</v>
      </c>
      <c r="Q155" s="33">
        <f t="shared" si="172"/>
        <v>0</v>
      </c>
      <c r="R155" s="56">
        <v>0</v>
      </c>
      <c r="S155" s="56">
        <v>0</v>
      </c>
      <c r="T155" s="33">
        <f t="shared" si="173"/>
        <v>0</v>
      </c>
      <c r="U155" s="33">
        <f t="shared" si="174"/>
        <v>0</v>
      </c>
      <c r="V155" s="56">
        <v>0</v>
      </c>
      <c r="W155" s="33">
        <f t="shared" si="175"/>
        <v>0</v>
      </c>
      <c r="X155" s="56">
        <v>0</v>
      </c>
      <c r="Y155" s="56">
        <v>0</v>
      </c>
      <c r="Z155" s="33">
        <f t="shared" si="176"/>
        <v>0</v>
      </c>
      <c r="AA155" s="33">
        <f t="shared" si="177"/>
        <v>0</v>
      </c>
      <c r="AB155" s="146">
        <v>11</v>
      </c>
      <c r="AC155" s="117">
        <f t="shared" si="183"/>
        <v>11</v>
      </c>
      <c r="AD155" s="10">
        <v>0</v>
      </c>
      <c r="AE155" s="10">
        <v>0</v>
      </c>
      <c r="AF155" s="117">
        <f t="shared" si="184"/>
        <v>0</v>
      </c>
      <c r="AG155" s="118">
        <f t="shared" si="185"/>
        <v>0</v>
      </c>
      <c r="AH155" s="80">
        <f t="shared" si="186"/>
        <v>11</v>
      </c>
      <c r="AI155" s="127">
        <f t="shared" si="199"/>
        <v>11</v>
      </c>
      <c r="AJ155" s="111">
        <v>0</v>
      </c>
      <c r="AK155" s="111">
        <v>0</v>
      </c>
      <c r="AL155" s="112">
        <f t="shared" ca="1" si="153"/>
        <v>0</v>
      </c>
      <c r="AM155" s="112">
        <f t="shared" si="154"/>
        <v>0</v>
      </c>
      <c r="AN155" s="80">
        <f t="shared" si="187"/>
        <v>11</v>
      </c>
      <c r="AO155" s="12">
        <f t="shared" si="188"/>
        <v>11</v>
      </c>
      <c r="AP155" s="10">
        <v>0</v>
      </c>
      <c r="AQ155" s="10">
        <v>0</v>
      </c>
      <c r="AR155" s="12">
        <f t="shared" si="189"/>
        <v>0</v>
      </c>
      <c r="AS155" s="12">
        <f t="shared" si="190"/>
        <v>0</v>
      </c>
      <c r="AT155" s="13">
        <f t="shared" si="191"/>
        <v>11</v>
      </c>
      <c r="AU155" s="12">
        <f t="shared" si="192"/>
        <v>11</v>
      </c>
      <c r="AV155" s="10">
        <v>0</v>
      </c>
      <c r="AW155" s="10">
        <v>0</v>
      </c>
      <c r="AX155" s="12">
        <f t="shared" si="193"/>
        <v>0</v>
      </c>
      <c r="AY155" s="12">
        <f t="shared" si="194"/>
        <v>0</v>
      </c>
      <c r="AZ155" s="32">
        <f t="shared" si="195"/>
        <v>11</v>
      </c>
      <c r="BA155" s="12">
        <f t="shared" si="196"/>
        <v>11</v>
      </c>
      <c r="BB155" s="10">
        <v>0</v>
      </c>
      <c r="BC155" s="10">
        <v>0</v>
      </c>
      <c r="BD155" s="12">
        <f t="shared" si="197"/>
        <v>0</v>
      </c>
      <c r="BE155" s="12">
        <f t="shared" si="198"/>
        <v>0</v>
      </c>
      <c r="BF155" s="48">
        <v>11</v>
      </c>
      <c r="BG155" s="12">
        <f t="shared" si="178"/>
        <v>11</v>
      </c>
      <c r="BH155" s="10">
        <v>0</v>
      </c>
      <c r="BI155" s="10">
        <v>0</v>
      </c>
      <c r="BJ155" s="33">
        <f t="shared" si="200"/>
        <v>0</v>
      </c>
      <c r="BK155" s="33">
        <f t="shared" si="201"/>
        <v>0</v>
      </c>
      <c r="BL155" s="48">
        <v>11</v>
      </c>
      <c r="BM155" s="12">
        <f t="shared" si="179"/>
        <v>11</v>
      </c>
      <c r="BN155" s="10">
        <v>0</v>
      </c>
      <c r="BO155" s="10">
        <v>0</v>
      </c>
      <c r="BP155" s="33">
        <f t="shared" si="202"/>
        <v>0</v>
      </c>
      <c r="BQ155" s="33">
        <f t="shared" si="203"/>
        <v>0</v>
      </c>
      <c r="BR155" s="48">
        <v>11</v>
      </c>
      <c r="BS155" s="12">
        <f t="shared" si="180"/>
        <v>11</v>
      </c>
      <c r="BT155" s="10">
        <v>0</v>
      </c>
      <c r="BU155" s="10">
        <v>0</v>
      </c>
      <c r="BV155" s="33">
        <f t="shared" si="204"/>
        <v>0</v>
      </c>
      <c r="BW155" s="33">
        <f t="shared" si="205"/>
        <v>0</v>
      </c>
      <c r="BX155" s="48">
        <v>11</v>
      </c>
      <c r="BY155" s="12">
        <f t="shared" si="181"/>
        <v>11</v>
      </c>
      <c r="BZ155" s="10">
        <v>0</v>
      </c>
      <c r="CA155" s="10">
        <v>0</v>
      </c>
      <c r="CB155" s="33">
        <f t="shared" si="206"/>
        <v>0</v>
      </c>
      <c r="CC155" s="33">
        <f t="shared" si="207"/>
        <v>0</v>
      </c>
      <c r="CD155" s="48">
        <v>11</v>
      </c>
      <c r="CE155" s="12">
        <f t="shared" si="182"/>
        <v>11</v>
      </c>
    </row>
    <row r="156" spans="1:83" ht="80.25" customHeight="1">
      <c r="A156" s="148" t="s">
        <v>509</v>
      </c>
      <c r="B156" s="155" t="s">
        <v>510</v>
      </c>
      <c r="C156" s="173" t="s">
        <v>511</v>
      </c>
      <c r="D156" s="156">
        <v>2011</v>
      </c>
      <c r="E156" s="154"/>
      <c r="F156" s="154"/>
      <c r="G156" s="154"/>
      <c r="H156" s="165">
        <v>101</v>
      </c>
      <c r="I156" s="159">
        <v>1</v>
      </c>
      <c r="J156" s="56">
        <v>0</v>
      </c>
      <c r="K156" s="33">
        <f t="shared" si="169"/>
        <v>0</v>
      </c>
      <c r="L156" s="10">
        <v>0</v>
      </c>
      <c r="M156" s="10">
        <v>0</v>
      </c>
      <c r="N156" s="33">
        <f t="shared" si="170"/>
        <v>0</v>
      </c>
      <c r="O156" s="33">
        <f t="shared" si="171"/>
        <v>0</v>
      </c>
      <c r="P156" s="56">
        <v>0</v>
      </c>
      <c r="Q156" s="33">
        <f t="shared" si="172"/>
        <v>0</v>
      </c>
      <c r="R156" s="56">
        <v>0</v>
      </c>
      <c r="S156" s="56">
        <v>0</v>
      </c>
      <c r="T156" s="33">
        <f t="shared" si="173"/>
        <v>0</v>
      </c>
      <c r="U156" s="33">
        <f t="shared" si="174"/>
        <v>0</v>
      </c>
      <c r="V156" s="56">
        <v>0</v>
      </c>
      <c r="W156" s="33">
        <f t="shared" si="175"/>
        <v>0</v>
      </c>
      <c r="X156" s="56">
        <v>0</v>
      </c>
      <c r="Y156" s="56">
        <v>0</v>
      </c>
      <c r="Z156" s="33">
        <f t="shared" si="176"/>
        <v>0</v>
      </c>
      <c r="AA156" s="33">
        <f t="shared" si="177"/>
        <v>0</v>
      </c>
      <c r="AB156" s="146">
        <v>101</v>
      </c>
      <c r="AC156" s="117">
        <f t="shared" si="183"/>
        <v>101</v>
      </c>
      <c r="AD156" s="10">
        <v>0</v>
      </c>
      <c r="AE156" s="10">
        <v>0</v>
      </c>
      <c r="AF156" s="117">
        <f t="shared" si="184"/>
        <v>0</v>
      </c>
      <c r="AG156" s="118">
        <f t="shared" si="185"/>
        <v>0</v>
      </c>
      <c r="AH156" s="80">
        <f t="shared" si="186"/>
        <v>101</v>
      </c>
      <c r="AI156" s="127">
        <f t="shared" si="199"/>
        <v>101</v>
      </c>
      <c r="AJ156" s="111">
        <v>0</v>
      </c>
      <c r="AK156" s="111">
        <v>0</v>
      </c>
      <c r="AL156" s="112">
        <f t="shared" ca="1" si="153"/>
        <v>0</v>
      </c>
      <c r="AM156" s="112">
        <f t="shared" si="154"/>
        <v>0</v>
      </c>
      <c r="AN156" s="80">
        <f t="shared" si="187"/>
        <v>101</v>
      </c>
      <c r="AO156" s="12">
        <f t="shared" si="188"/>
        <v>101</v>
      </c>
      <c r="AP156" s="10">
        <v>0</v>
      </c>
      <c r="AQ156" s="10">
        <v>0</v>
      </c>
      <c r="AR156" s="12">
        <f t="shared" si="189"/>
        <v>0</v>
      </c>
      <c r="AS156" s="12">
        <f t="shared" si="190"/>
        <v>0</v>
      </c>
      <c r="AT156" s="13">
        <f t="shared" si="191"/>
        <v>101</v>
      </c>
      <c r="AU156" s="12">
        <f t="shared" si="192"/>
        <v>101</v>
      </c>
      <c r="AV156" s="10">
        <v>0</v>
      </c>
      <c r="AW156" s="10">
        <v>0</v>
      </c>
      <c r="AX156" s="12">
        <f t="shared" si="193"/>
        <v>0</v>
      </c>
      <c r="AY156" s="12">
        <f t="shared" si="194"/>
        <v>0</v>
      </c>
      <c r="AZ156" s="32">
        <f t="shared" si="195"/>
        <v>101</v>
      </c>
      <c r="BA156" s="12">
        <f t="shared" si="196"/>
        <v>101</v>
      </c>
      <c r="BB156" s="10">
        <v>0</v>
      </c>
      <c r="BC156" s="10">
        <v>0</v>
      </c>
      <c r="BD156" s="12">
        <f t="shared" si="197"/>
        <v>0</v>
      </c>
      <c r="BE156" s="12">
        <f t="shared" si="198"/>
        <v>0</v>
      </c>
      <c r="BF156" s="48">
        <v>101</v>
      </c>
      <c r="BG156" s="12">
        <f t="shared" si="178"/>
        <v>101</v>
      </c>
      <c r="BH156" s="10">
        <v>0</v>
      </c>
      <c r="BI156" s="10">
        <v>0</v>
      </c>
      <c r="BJ156" s="33">
        <f t="shared" si="200"/>
        <v>0</v>
      </c>
      <c r="BK156" s="33">
        <f t="shared" si="201"/>
        <v>0</v>
      </c>
      <c r="BL156" s="48">
        <v>101</v>
      </c>
      <c r="BM156" s="12">
        <f t="shared" si="179"/>
        <v>101</v>
      </c>
      <c r="BN156" s="10">
        <v>0</v>
      </c>
      <c r="BO156" s="10">
        <v>0</v>
      </c>
      <c r="BP156" s="33">
        <f t="shared" si="202"/>
        <v>0</v>
      </c>
      <c r="BQ156" s="33">
        <f t="shared" si="203"/>
        <v>0</v>
      </c>
      <c r="BR156" s="48">
        <v>101</v>
      </c>
      <c r="BS156" s="12">
        <f t="shared" si="180"/>
        <v>101</v>
      </c>
      <c r="BT156" s="10">
        <v>0</v>
      </c>
      <c r="BU156" s="10">
        <v>0</v>
      </c>
      <c r="BV156" s="33">
        <f t="shared" si="204"/>
        <v>0</v>
      </c>
      <c r="BW156" s="33">
        <f t="shared" si="205"/>
        <v>0</v>
      </c>
      <c r="BX156" s="48">
        <v>101</v>
      </c>
      <c r="BY156" s="12">
        <f t="shared" si="181"/>
        <v>101</v>
      </c>
      <c r="BZ156" s="10">
        <v>0</v>
      </c>
      <c r="CA156" s="10">
        <v>0</v>
      </c>
      <c r="CB156" s="33">
        <f t="shared" si="206"/>
        <v>0</v>
      </c>
      <c r="CC156" s="33">
        <f t="shared" si="207"/>
        <v>0</v>
      </c>
      <c r="CD156" s="48">
        <v>101</v>
      </c>
      <c r="CE156" s="12">
        <f t="shared" si="182"/>
        <v>101</v>
      </c>
    </row>
    <row r="157" spans="1:83" ht="80.25" customHeight="1">
      <c r="A157" s="148" t="s">
        <v>512</v>
      </c>
      <c r="B157" s="155" t="s">
        <v>513</v>
      </c>
      <c r="C157" s="174" t="s">
        <v>514</v>
      </c>
      <c r="D157" s="157">
        <v>2007</v>
      </c>
      <c r="E157" s="154"/>
      <c r="F157" s="154"/>
      <c r="G157" s="154"/>
      <c r="H157" s="165">
        <v>10</v>
      </c>
      <c r="I157" s="159">
        <v>1</v>
      </c>
      <c r="J157" s="56">
        <v>0</v>
      </c>
      <c r="K157" s="33">
        <f t="shared" si="169"/>
        <v>0</v>
      </c>
      <c r="L157" s="10">
        <v>0</v>
      </c>
      <c r="M157" s="10">
        <v>0</v>
      </c>
      <c r="N157" s="33">
        <f t="shared" si="170"/>
        <v>0</v>
      </c>
      <c r="O157" s="33">
        <f t="shared" si="171"/>
        <v>0</v>
      </c>
      <c r="P157" s="56">
        <v>0</v>
      </c>
      <c r="Q157" s="33">
        <f t="shared" si="172"/>
        <v>0</v>
      </c>
      <c r="R157" s="56">
        <v>0</v>
      </c>
      <c r="S157" s="56">
        <v>0</v>
      </c>
      <c r="T157" s="33">
        <f t="shared" si="173"/>
        <v>0</v>
      </c>
      <c r="U157" s="33">
        <f t="shared" si="174"/>
        <v>0</v>
      </c>
      <c r="V157" s="56">
        <v>0</v>
      </c>
      <c r="W157" s="33">
        <f t="shared" si="175"/>
        <v>0</v>
      </c>
      <c r="X157" s="56">
        <v>0</v>
      </c>
      <c r="Y157" s="56">
        <v>0</v>
      </c>
      <c r="Z157" s="33">
        <f t="shared" si="176"/>
        <v>0</v>
      </c>
      <c r="AA157" s="33">
        <f t="shared" si="177"/>
        <v>0</v>
      </c>
      <c r="AB157" s="146">
        <v>10</v>
      </c>
      <c r="AC157" s="117">
        <f t="shared" si="183"/>
        <v>10</v>
      </c>
      <c r="AD157" s="10">
        <v>0</v>
      </c>
      <c r="AE157" s="10">
        <v>0</v>
      </c>
      <c r="AF157" s="117">
        <f t="shared" si="184"/>
        <v>0</v>
      </c>
      <c r="AG157" s="118">
        <f t="shared" si="185"/>
        <v>0</v>
      </c>
      <c r="AH157" s="80">
        <f t="shared" si="186"/>
        <v>10</v>
      </c>
      <c r="AI157" s="127">
        <f t="shared" si="199"/>
        <v>10</v>
      </c>
      <c r="AJ157" s="111">
        <v>0</v>
      </c>
      <c r="AK157" s="111">
        <v>0</v>
      </c>
      <c r="AL157" s="112">
        <f t="shared" ca="1" si="153"/>
        <v>0</v>
      </c>
      <c r="AM157" s="112">
        <f t="shared" si="154"/>
        <v>0</v>
      </c>
      <c r="AN157" s="80">
        <f t="shared" si="187"/>
        <v>10</v>
      </c>
      <c r="AO157" s="12">
        <f t="shared" si="188"/>
        <v>10</v>
      </c>
      <c r="AP157" s="10">
        <v>0</v>
      </c>
      <c r="AQ157" s="10">
        <v>0</v>
      </c>
      <c r="AR157" s="12">
        <f t="shared" si="189"/>
        <v>0</v>
      </c>
      <c r="AS157" s="12">
        <f t="shared" si="190"/>
        <v>0</v>
      </c>
      <c r="AT157" s="13">
        <f t="shared" si="191"/>
        <v>10</v>
      </c>
      <c r="AU157" s="12">
        <f t="shared" si="192"/>
        <v>10</v>
      </c>
      <c r="AV157" s="10">
        <v>0</v>
      </c>
      <c r="AW157" s="10">
        <v>0</v>
      </c>
      <c r="AX157" s="12">
        <f t="shared" si="193"/>
        <v>0</v>
      </c>
      <c r="AY157" s="12">
        <f t="shared" si="194"/>
        <v>0</v>
      </c>
      <c r="AZ157" s="32">
        <f t="shared" si="195"/>
        <v>10</v>
      </c>
      <c r="BA157" s="12">
        <f t="shared" si="196"/>
        <v>10</v>
      </c>
      <c r="BB157" s="10">
        <v>0</v>
      </c>
      <c r="BC157" s="10">
        <v>0</v>
      </c>
      <c r="BD157" s="12">
        <f t="shared" si="197"/>
        <v>0</v>
      </c>
      <c r="BE157" s="12">
        <f t="shared" si="198"/>
        <v>0</v>
      </c>
      <c r="BF157" s="48">
        <v>10</v>
      </c>
      <c r="BG157" s="12">
        <f t="shared" si="178"/>
        <v>10</v>
      </c>
      <c r="BH157" s="10">
        <v>0</v>
      </c>
      <c r="BI157" s="10">
        <v>0</v>
      </c>
      <c r="BJ157" s="33">
        <f t="shared" si="200"/>
        <v>0</v>
      </c>
      <c r="BK157" s="33">
        <f t="shared" si="201"/>
        <v>0</v>
      </c>
      <c r="BL157" s="48">
        <v>10</v>
      </c>
      <c r="BM157" s="12">
        <f t="shared" si="179"/>
        <v>10</v>
      </c>
      <c r="BN157" s="10">
        <v>0</v>
      </c>
      <c r="BO157" s="10">
        <v>0</v>
      </c>
      <c r="BP157" s="33">
        <f t="shared" si="202"/>
        <v>0</v>
      </c>
      <c r="BQ157" s="33">
        <f t="shared" si="203"/>
        <v>0</v>
      </c>
      <c r="BR157" s="48">
        <v>10</v>
      </c>
      <c r="BS157" s="12">
        <f t="shared" si="180"/>
        <v>10</v>
      </c>
      <c r="BT157" s="10">
        <v>0</v>
      </c>
      <c r="BU157" s="10">
        <v>0</v>
      </c>
      <c r="BV157" s="33">
        <f t="shared" si="204"/>
        <v>0</v>
      </c>
      <c r="BW157" s="33">
        <f t="shared" si="205"/>
        <v>0</v>
      </c>
      <c r="BX157" s="48">
        <v>10</v>
      </c>
      <c r="BY157" s="12">
        <f t="shared" si="181"/>
        <v>10</v>
      </c>
      <c r="BZ157" s="10">
        <v>0</v>
      </c>
      <c r="CA157" s="10">
        <v>0</v>
      </c>
      <c r="CB157" s="33">
        <f t="shared" si="206"/>
        <v>0</v>
      </c>
      <c r="CC157" s="33">
        <f t="shared" si="207"/>
        <v>0</v>
      </c>
      <c r="CD157" s="48">
        <v>10</v>
      </c>
      <c r="CE157" s="12">
        <f t="shared" si="182"/>
        <v>10</v>
      </c>
    </row>
    <row r="158" spans="1:83" ht="80.25" customHeight="1">
      <c r="A158" s="148" t="s">
        <v>515</v>
      </c>
      <c r="B158" s="155" t="s">
        <v>516</v>
      </c>
      <c r="C158" s="174" t="s">
        <v>517</v>
      </c>
      <c r="D158" s="157">
        <v>2016</v>
      </c>
      <c r="E158" s="154"/>
      <c r="F158" s="154"/>
      <c r="G158" s="154"/>
      <c r="H158" s="165">
        <v>34</v>
      </c>
      <c r="I158" s="159">
        <v>1</v>
      </c>
      <c r="J158" s="56">
        <v>0</v>
      </c>
      <c r="K158" s="33">
        <f t="shared" si="169"/>
        <v>0</v>
      </c>
      <c r="L158" s="10">
        <v>0</v>
      </c>
      <c r="M158" s="10">
        <v>0</v>
      </c>
      <c r="N158" s="33">
        <f t="shared" si="170"/>
        <v>0</v>
      </c>
      <c r="O158" s="33">
        <f t="shared" si="171"/>
        <v>0</v>
      </c>
      <c r="P158" s="56">
        <v>0</v>
      </c>
      <c r="Q158" s="33">
        <f t="shared" si="172"/>
        <v>0</v>
      </c>
      <c r="R158" s="56">
        <v>0</v>
      </c>
      <c r="S158" s="56">
        <v>0</v>
      </c>
      <c r="T158" s="33">
        <f t="shared" si="173"/>
        <v>0</v>
      </c>
      <c r="U158" s="33">
        <f t="shared" si="174"/>
        <v>0</v>
      </c>
      <c r="V158" s="56">
        <v>0</v>
      </c>
      <c r="W158" s="33">
        <f t="shared" si="175"/>
        <v>0</v>
      </c>
      <c r="X158" s="56">
        <v>0</v>
      </c>
      <c r="Y158" s="56">
        <v>0</v>
      </c>
      <c r="Z158" s="33">
        <f t="shared" si="176"/>
        <v>0</v>
      </c>
      <c r="AA158" s="33">
        <f t="shared" si="177"/>
        <v>0</v>
      </c>
      <c r="AB158" s="146">
        <v>34</v>
      </c>
      <c r="AC158" s="117">
        <f t="shared" si="183"/>
        <v>34</v>
      </c>
      <c r="AD158" s="10">
        <v>0</v>
      </c>
      <c r="AE158" s="10">
        <v>0</v>
      </c>
      <c r="AF158" s="117">
        <f t="shared" si="184"/>
        <v>0</v>
      </c>
      <c r="AG158" s="118">
        <f t="shared" si="185"/>
        <v>0</v>
      </c>
      <c r="AH158" s="80">
        <f t="shared" si="186"/>
        <v>34</v>
      </c>
      <c r="AI158" s="127">
        <f t="shared" si="199"/>
        <v>34</v>
      </c>
      <c r="AJ158" s="111">
        <v>0</v>
      </c>
      <c r="AK158" s="111">
        <v>0</v>
      </c>
      <c r="AL158" s="112">
        <f t="shared" ca="1" si="153"/>
        <v>0</v>
      </c>
      <c r="AM158" s="112">
        <f t="shared" si="154"/>
        <v>0</v>
      </c>
      <c r="AN158" s="80">
        <f t="shared" si="187"/>
        <v>34</v>
      </c>
      <c r="AO158" s="12">
        <f t="shared" si="188"/>
        <v>34</v>
      </c>
      <c r="AP158" s="10">
        <v>0</v>
      </c>
      <c r="AQ158" s="10">
        <v>0</v>
      </c>
      <c r="AR158" s="12">
        <f t="shared" si="189"/>
        <v>0</v>
      </c>
      <c r="AS158" s="12">
        <f t="shared" si="190"/>
        <v>0</v>
      </c>
      <c r="AT158" s="13">
        <f t="shared" si="191"/>
        <v>34</v>
      </c>
      <c r="AU158" s="12">
        <f t="shared" si="192"/>
        <v>34</v>
      </c>
      <c r="AV158" s="10">
        <v>0</v>
      </c>
      <c r="AW158" s="10">
        <v>0</v>
      </c>
      <c r="AX158" s="12">
        <f t="shared" si="193"/>
        <v>0</v>
      </c>
      <c r="AY158" s="12">
        <f t="shared" si="194"/>
        <v>0</v>
      </c>
      <c r="AZ158" s="32">
        <f t="shared" si="195"/>
        <v>34</v>
      </c>
      <c r="BA158" s="12">
        <f t="shared" si="196"/>
        <v>34</v>
      </c>
      <c r="BB158" s="10">
        <v>0</v>
      </c>
      <c r="BC158" s="10">
        <v>0</v>
      </c>
      <c r="BD158" s="12">
        <f t="shared" si="197"/>
        <v>0</v>
      </c>
      <c r="BE158" s="12">
        <f t="shared" si="198"/>
        <v>0</v>
      </c>
      <c r="BF158" s="48">
        <v>34</v>
      </c>
      <c r="BG158" s="12">
        <f t="shared" si="178"/>
        <v>34</v>
      </c>
      <c r="BH158" s="10">
        <v>0</v>
      </c>
      <c r="BI158" s="10">
        <v>0</v>
      </c>
      <c r="BJ158" s="33">
        <f t="shared" si="200"/>
        <v>0</v>
      </c>
      <c r="BK158" s="33">
        <f t="shared" si="201"/>
        <v>0</v>
      </c>
      <c r="BL158" s="48">
        <v>34</v>
      </c>
      <c r="BM158" s="12">
        <f t="shared" si="179"/>
        <v>34</v>
      </c>
      <c r="BN158" s="10">
        <v>0</v>
      </c>
      <c r="BO158" s="10">
        <v>0</v>
      </c>
      <c r="BP158" s="33">
        <f t="shared" si="202"/>
        <v>0</v>
      </c>
      <c r="BQ158" s="33">
        <f t="shared" si="203"/>
        <v>0</v>
      </c>
      <c r="BR158" s="48">
        <v>34</v>
      </c>
      <c r="BS158" s="12">
        <f t="shared" si="180"/>
        <v>34</v>
      </c>
      <c r="BT158" s="10">
        <v>0</v>
      </c>
      <c r="BU158" s="10">
        <v>0</v>
      </c>
      <c r="BV158" s="33">
        <f t="shared" si="204"/>
        <v>0</v>
      </c>
      <c r="BW158" s="33">
        <f t="shared" si="205"/>
        <v>0</v>
      </c>
      <c r="BX158" s="48">
        <v>34</v>
      </c>
      <c r="BY158" s="12">
        <f t="shared" si="181"/>
        <v>34</v>
      </c>
      <c r="BZ158" s="10">
        <v>0</v>
      </c>
      <c r="CA158" s="10">
        <v>0</v>
      </c>
      <c r="CB158" s="33">
        <f t="shared" si="206"/>
        <v>0</v>
      </c>
      <c r="CC158" s="33">
        <f t="shared" si="207"/>
        <v>0</v>
      </c>
      <c r="CD158" s="48">
        <v>34</v>
      </c>
      <c r="CE158" s="12">
        <f t="shared" si="182"/>
        <v>34</v>
      </c>
    </row>
    <row r="159" spans="1:83" ht="80.25" customHeight="1">
      <c r="A159" s="148" t="s">
        <v>518</v>
      </c>
      <c r="B159" s="155" t="s">
        <v>519</v>
      </c>
      <c r="C159" s="173" t="s">
        <v>520</v>
      </c>
      <c r="D159" s="156">
        <v>2002</v>
      </c>
      <c r="E159" s="154"/>
      <c r="F159" s="154"/>
      <c r="G159" s="154"/>
      <c r="H159" s="165">
        <v>7</v>
      </c>
      <c r="I159" s="159">
        <v>1</v>
      </c>
      <c r="J159" s="56">
        <v>0</v>
      </c>
      <c r="K159" s="33">
        <f t="shared" si="169"/>
        <v>0</v>
      </c>
      <c r="L159" s="10">
        <v>0</v>
      </c>
      <c r="M159" s="10">
        <v>0</v>
      </c>
      <c r="N159" s="33">
        <f t="shared" si="170"/>
        <v>0</v>
      </c>
      <c r="O159" s="33">
        <f t="shared" si="171"/>
        <v>0</v>
      </c>
      <c r="P159" s="56">
        <v>0</v>
      </c>
      <c r="Q159" s="33">
        <f t="shared" si="172"/>
        <v>0</v>
      </c>
      <c r="R159" s="56">
        <v>0</v>
      </c>
      <c r="S159" s="56">
        <v>0</v>
      </c>
      <c r="T159" s="33">
        <f t="shared" si="173"/>
        <v>0</v>
      </c>
      <c r="U159" s="33">
        <f t="shared" si="174"/>
        <v>0</v>
      </c>
      <c r="V159" s="56">
        <v>0</v>
      </c>
      <c r="W159" s="33">
        <f t="shared" si="175"/>
        <v>0</v>
      </c>
      <c r="X159" s="56">
        <v>0</v>
      </c>
      <c r="Y159" s="56">
        <v>0</v>
      </c>
      <c r="Z159" s="33">
        <f t="shared" si="176"/>
        <v>0</v>
      </c>
      <c r="AA159" s="33">
        <f t="shared" si="177"/>
        <v>0</v>
      </c>
      <c r="AB159" s="146">
        <v>7</v>
      </c>
      <c r="AC159" s="117">
        <f t="shared" si="183"/>
        <v>7</v>
      </c>
      <c r="AD159" s="10">
        <v>0</v>
      </c>
      <c r="AE159" s="10">
        <v>0</v>
      </c>
      <c r="AF159" s="117">
        <f t="shared" si="184"/>
        <v>0</v>
      </c>
      <c r="AG159" s="118">
        <f t="shared" si="185"/>
        <v>0</v>
      </c>
      <c r="AH159" s="80">
        <f t="shared" si="186"/>
        <v>7</v>
      </c>
      <c r="AI159" s="127">
        <f t="shared" si="199"/>
        <v>7</v>
      </c>
      <c r="AJ159" s="111">
        <v>0</v>
      </c>
      <c r="AK159" s="111">
        <v>0</v>
      </c>
      <c r="AL159" s="112">
        <f t="shared" ca="1" si="153"/>
        <v>0</v>
      </c>
      <c r="AM159" s="112">
        <f t="shared" si="154"/>
        <v>0</v>
      </c>
      <c r="AN159" s="80">
        <f t="shared" si="187"/>
        <v>7</v>
      </c>
      <c r="AO159" s="12">
        <f t="shared" si="188"/>
        <v>7</v>
      </c>
      <c r="AP159" s="10">
        <v>0</v>
      </c>
      <c r="AQ159" s="10">
        <v>0</v>
      </c>
      <c r="AR159" s="12">
        <f t="shared" si="189"/>
        <v>0</v>
      </c>
      <c r="AS159" s="12">
        <f t="shared" si="190"/>
        <v>0</v>
      </c>
      <c r="AT159" s="13">
        <f t="shared" si="191"/>
        <v>7</v>
      </c>
      <c r="AU159" s="12">
        <f t="shared" si="192"/>
        <v>7</v>
      </c>
      <c r="AV159" s="10">
        <v>0</v>
      </c>
      <c r="AW159" s="10">
        <v>0</v>
      </c>
      <c r="AX159" s="12">
        <f t="shared" si="193"/>
        <v>0</v>
      </c>
      <c r="AY159" s="12">
        <f t="shared" si="194"/>
        <v>0</v>
      </c>
      <c r="AZ159" s="32">
        <f t="shared" si="195"/>
        <v>7</v>
      </c>
      <c r="BA159" s="12">
        <f t="shared" si="196"/>
        <v>7</v>
      </c>
      <c r="BB159" s="10">
        <v>0</v>
      </c>
      <c r="BC159" s="10">
        <v>0</v>
      </c>
      <c r="BD159" s="12">
        <f t="shared" si="197"/>
        <v>0</v>
      </c>
      <c r="BE159" s="12">
        <f t="shared" si="198"/>
        <v>0</v>
      </c>
      <c r="BF159" s="48">
        <v>7</v>
      </c>
      <c r="BG159" s="12">
        <f t="shared" si="178"/>
        <v>7</v>
      </c>
      <c r="BH159" s="10">
        <v>0</v>
      </c>
      <c r="BI159" s="10">
        <v>0</v>
      </c>
      <c r="BJ159" s="33">
        <f t="shared" si="200"/>
        <v>0</v>
      </c>
      <c r="BK159" s="33">
        <f t="shared" si="201"/>
        <v>0</v>
      </c>
      <c r="BL159" s="48">
        <v>7</v>
      </c>
      <c r="BM159" s="12">
        <f t="shared" si="179"/>
        <v>7</v>
      </c>
      <c r="BN159" s="10">
        <v>0</v>
      </c>
      <c r="BO159" s="10">
        <v>0</v>
      </c>
      <c r="BP159" s="33">
        <f t="shared" si="202"/>
        <v>0</v>
      </c>
      <c r="BQ159" s="33">
        <f t="shared" si="203"/>
        <v>0</v>
      </c>
      <c r="BR159" s="48">
        <v>7</v>
      </c>
      <c r="BS159" s="12">
        <f t="shared" si="180"/>
        <v>7</v>
      </c>
      <c r="BT159" s="10">
        <v>0</v>
      </c>
      <c r="BU159" s="10">
        <v>0</v>
      </c>
      <c r="BV159" s="33">
        <f t="shared" si="204"/>
        <v>0</v>
      </c>
      <c r="BW159" s="33">
        <f t="shared" si="205"/>
        <v>0</v>
      </c>
      <c r="BX159" s="48">
        <v>7</v>
      </c>
      <c r="BY159" s="12">
        <f t="shared" si="181"/>
        <v>7</v>
      </c>
      <c r="BZ159" s="10">
        <v>0</v>
      </c>
      <c r="CA159" s="10">
        <v>0</v>
      </c>
      <c r="CB159" s="33">
        <f t="shared" si="206"/>
        <v>0</v>
      </c>
      <c r="CC159" s="33">
        <f t="shared" si="207"/>
        <v>0</v>
      </c>
      <c r="CD159" s="48">
        <v>7</v>
      </c>
      <c r="CE159" s="12">
        <f t="shared" si="182"/>
        <v>7</v>
      </c>
    </row>
    <row r="160" spans="1:83" ht="80.25" customHeight="1">
      <c r="A160" s="148" t="s">
        <v>521</v>
      </c>
      <c r="B160" s="155" t="s">
        <v>522</v>
      </c>
      <c r="C160" s="173" t="s">
        <v>523</v>
      </c>
      <c r="D160" s="156">
        <v>2010</v>
      </c>
      <c r="E160" s="154"/>
      <c r="F160" s="154"/>
      <c r="G160" s="154"/>
      <c r="H160" s="165">
        <v>1</v>
      </c>
      <c r="I160" s="159">
        <v>1</v>
      </c>
      <c r="J160" s="56">
        <v>0</v>
      </c>
      <c r="K160" s="33">
        <f t="shared" si="169"/>
        <v>0</v>
      </c>
      <c r="L160" s="10">
        <v>0</v>
      </c>
      <c r="M160" s="10">
        <v>0</v>
      </c>
      <c r="N160" s="33">
        <f t="shared" si="170"/>
        <v>0</v>
      </c>
      <c r="O160" s="33">
        <f t="shared" si="171"/>
        <v>0</v>
      </c>
      <c r="P160" s="56">
        <v>0</v>
      </c>
      <c r="Q160" s="33">
        <f t="shared" si="172"/>
        <v>0</v>
      </c>
      <c r="R160" s="56">
        <v>0</v>
      </c>
      <c r="S160" s="56">
        <v>0</v>
      </c>
      <c r="T160" s="33">
        <f t="shared" si="173"/>
        <v>0</v>
      </c>
      <c r="U160" s="33">
        <f t="shared" si="174"/>
        <v>0</v>
      </c>
      <c r="V160" s="56">
        <v>0</v>
      </c>
      <c r="W160" s="33">
        <f t="shared" si="175"/>
        <v>0</v>
      </c>
      <c r="X160" s="56">
        <v>0</v>
      </c>
      <c r="Y160" s="56">
        <v>0</v>
      </c>
      <c r="Z160" s="33">
        <f t="shared" si="176"/>
        <v>0</v>
      </c>
      <c r="AA160" s="33">
        <f t="shared" si="177"/>
        <v>0</v>
      </c>
      <c r="AB160" s="146">
        <v>1</v>
      </c>
      <c r="AC160" s="117">
        <f t="shared" si="183"/>
        <v>1</v>
      </c>
      <c r="AD160" s="10">
        <v>0</v>
      </c>
      <c r="AE160" s="10">
        <v>0</v>
      </c>
      <c r="AF160" s="117">
        <f t="shared" si="184"/>
        <v>0</v>
      </c>
      <c r="AG160" s="118">
        <f t="shared" si="185"/>
        <v>0</v>
      </c>
      <c r="AH160" s="80">
        <f t="shared" si="186"/>
        <v>1</v>
      </c>
      <c r="AI160" s="127">
        <f t="shared" si="199"/>
        <v>1</v>
      </c>
      <c r="AJ160" s="111">
        <v>0</v>
      </c>
      <c r="AK160" s="111">
        <v>0</v>
      </c>
      <c r="AL160" s="112">
        <f t="shared" ca="1" si="153"/>
        <v>0</v>
      </c>
      <c r="AM160" s="112">
        <f t="shared" si="154"/>
        <v>0</v>
      </c>
      <c r="AN160" s="80">
        <f t="shared" si="187"/>
        <v>1</v>
      </c>
      <c r="AO160" s="12">
        <f t="shared" si="188"/>
        <v>1</v>
      </c>
      <c r="AP160" s="10">
        <v>0</v>
      </c>
      <c r="AQ160" s="10">
        <v>0</v>
      </c>
      <c r="AR160" s="12">
        <f t="shared" si="189"/>
        <v>0</v>
      </c>
      <c r="AS160" s="12">
        <f t="shared" si="190"/>
        <v>0</v>
      </c>
      <c r="AT160" s="13">
        <f t="shared" si="191"/>
        <v>1</v>
      </c>
      <c r="AU160" s="12">
        <f t="shared" si="192"/>
        <v>1</v>
      </c>
      <c r="AV160" s="10">
        <v>0</v>
      </c>
      <c r="AW160" s="10">
        <v>0</v>
      </c>
      <c r="AX160" s="12">
        <f t="shared" si="193"/>
        <v>0</v>
      </c>
      <c r="AY160" s="12">
        <f t="shared" si="194"/>
        <v>0</v>
      </c>
      <c r="AZ160" s="32">
        <f t="shared" si="195"/>
        <v>1</v>
      </c>
      <c r="BA160" s="12">
        <f t="shared" si="196"/>
        <v>1</v>
      </c>
      <c r="BB160" s="10">
        <v>0</v>
      </c>
      <c r="BC160" s="10">
        <v>0</v>
      </c>
      <c r="BD160" s="12">
        <f t="shared" si="197"/>
        <v>0</v>
      </c>
      <c r="BE160" s="12">
        <f t="shared" si="198"/>
        <v>0</v>
      </c>
      <c r="BF160" s="48">
        <v>1</v>
      </c>
      <c r="BG160" s="12">
        <f t="shared" si="178"/>
        <v>1</v>
      </c>
      <c r="BH160" s="10">
        <v>0</v>
      </c>
      <c r="BI160" s="10">
        <v>0</v>
      </c>
      <c r="BJ160" s="33">
        <f t="shared" si="200"/>
        <v>0</v>
      </c>
      <c r="BK160" s="33">
        <f t="shared" si="201"/>
        <v>0</v>
      </c>
      <c r="BL160" s="48">
        <v>1</v>
      </c>
      <c r="BM160" s="12">
        <f t="shared" si="179"/>
        <v>1</v>
      </c>
      <c r="BN160" s="10">
        <v>0</v>
      </c>
      <c r="BO160" s="10">
        <v>0</v>
      </c>
      <c r="BP160" s="33">
        <f t="shared" si="202"/>
        <v>0</v>
      </c>
      <c r="BQ160" s="33">
        <f t="shared" si="203"/>
        <v>0</v>
      </c>
      <c r="BR160" s="48">
        <v>1</v>
      </c>
      <c r="BS160" s="12">
        <f t="shared" si="180"/>
        <v>1</v>
      </c>
      <c r="BT160" s="10">
        <v>0</v>
      </c>
      <c r="BU160" s="10">
        <v>0</v>
      </c>
      <c r="BV160" s="33">
        <f t="shared" si="204"/>
        <v>0</v>
      </c>
      <c r="BW160" s="33">
        <f t="shared" si="205"/>
        <v>0</v>
      </c>
      <c r="BX160" s="48">
        <v>1</v>
      </c>
      <c r="BY160" s="12">
        <f t="shared" si="181"/>
        <v>1</v>
      </c>
      <c r="BZ160" s="10">
        <v>0</v>
      </c>
      <c r="CA160" s="10">
        <v>0</v>
      </c>
      <c r="CB160" s="33">
        <f t="shared" si="206"/>
        <v>0</v>
      </c>
      <c r="CC160" s="33">
        <f t="shared" si="207"/>
        <v>0</v>
      </c>
      <c r="CD160" s="48">
        <v>1</v>
      </c>
      <c r="CE160" s="12">
        <f t="shared" si="182"/>
        <v>1</v>
      </c>
    </row>
    <row r="161" spans="1:83" ht="80.25" customHeight="1">
      <c r="A161" s="148" t="s">
        <v>524</v>
      </c>
      <c r="B161" s="155" t="s">
        <v>525</v>
      </c>
      <c r="C161" s="173" t="s">
        <v>526</v>
      </c>
      <c r="D161" s="156">
        <v>2013</v>
      </c>
      <c r="E161" s="154"/>
      <c r="F161" s="154"/>
      <c r="G161" s="154"/>
      <c r="H161" s="165">
        <v>1</v>
      </c>
      <c r="I161" s="159">
        <v>1</v>
      </c>
      <c r="J161" s="56">
        <v>0</v>
      </c>
      <c r="K161" s="33">
        <f t="shared" si="169"/>
        <v>0</v>
      </c>
      <c r="L161" s="10">
        <v>0</v>
      </c>
      <c r="M161" s="10">
        <v>0</v>
      </c>
      <c r="N161" s="33">
        <f t="shared" si="170"/>
        <v>0</v>
      </c>
      <c r="O161" s="33">
        <f t="shared" si="171"/>
        <v>0</v>
      </c>
      <c r="P161" s="56">
        <v>0</v>
      </c>
      <c r="Q161" s="33">
        <f t="shared" si="172"/>
        <v>0</v>
      </c>
      <c r="R161" s="56">
        <v>0</v>
      </c>
      <c r="S161" s="56">
        <v>0</v>
      </c>
      <c r="T161" s="33">
        <f t="shared" si="173"/>
        <v>0</v>
      </c>
      <c r="U161" s="33">
        <f t="shared" si="174"/>
        <v>0</v>
      </c>
      <c r="V161" s="56">
        <v>0</v>
      </c>
      <c r="W161" s="33">
        <f t="shared" si="175"/>
        <v>0</v>
      </c>
      <c r="X161" s="56">
        <v>0</v>
      </c>
      <c r="Y161" s="56">
        <v>0</v>
      </c>
      <c r="Z161" s="33">
        <f t="shared" si="176"/>
        <v>0</v>
      </c>
      <c r="AA161" s="33">
        <f t="shared" si="177"/>
        <v>0</v>
      </c>
      <c r="AB161" s="146">
        <v>1</v>
      </c>
      <c r="AC161" s="117">
        <f t="shared" si="183"/>
        <v>1</v>
      </c>
      <c r="AD161" s="10">
        <v>0</v>
      </c>
      <c r="AE161" s="10">
        <v>0</v>
      </c>
      <c r="AF161" s="117">
        <f t="shared" si="184"/>
        <v>0</v>
      </c>
      <c r="AG161" s="118">
        <f t="shared" si="185"/>
        <v>0</v>
      </c>
      <c r="AH161" s="80">
        <f t="shared" si="186"/>
        <v>1</v>
      </c>
      <c r="AI161" s="127">
        <f t="shared" si="199"/>
        <v>1</v>
      </c>
      <c r="AJ161" s="111">
        <v>0</v>
      </c>
      <c r="AK161" s="111">
        <v>0</v>
      </c>
      <c r="AL161" s="112">
        <f t="shared" ca="1" si="153"/>
        <v>0</v>
      </c>
      <c r="AM161" s="112">
        <f t="shared" si="154"/>
        <v>0</v>
      </c>
      <c r="AN161" s="80">
        <f t="shared" si="187"/>
        <v>1</v>
      </c>
      <c r="AO161" s="12">
        <f t="shared" si="188"/>
        <v>1</v>
      </c>
      <c r="AP161" s="10">
        <v>0</v>
      </c>
      <c r="AQ161" s="10">
        <v>0</v>
      </c>
      <c r="AR161" s="12">
        <f t="shared" si="189"/>
        <v>0</v>
      </c>
      <c r="AS161" s="12">
        <f t="shared" si="190"/>
        <v>0</v>
      </c>
      <c r="AT161" s="13">
        <f t="shared" si="191"/>
        <v>1</v>
      </c>
      <c r="AU161" s="12">
        <f t="shared" si="192"/>
        <v>1</v>
      </c>
      <c r="AV161" s="10">
        <v>0</v>
      </c>
      <c r="AW161" s="10">
        <v>0</v>
      </c>
      <c r="AX161" s="12">
        <f t="shared" si="193"/>
        <v>0</v>
      </c>
      <c r="AY161" s="12">
        <f t="shared" si="194"/>
        <v>0</v>
      </c>
      <c r="AZ161" s="32">
        <f t="shared" si="195"/>
        <v>1</v>
      </c>
      <c r="BA161" s="12">
        <f t="shared" si="196"/>
        <v>1</v>
      </c>
      <c r="BB161" s="10">
        <v>0</v>
      </c>
      <c r="BC161" s="10">
        <v>0</v>
      </c>
      <c r="BD161" s="12">
        <f t="shared" si="197"/>
        <v>0</v>
      </c>
      <c r="BE161" s="12">
        <f t="shared" si="198"/>
        <v>0</v>
      </c>
      <c r="BF161" s="48">
        <v>1</v>
      </c>
      <c r="BG161" s="12">
        <f t="shared" si="178"/>
        <v>1</v>
      </c>
      <c r="BH161" s="10">
        <v>0</v>
      </c>
      <c r="BI161" s="10">
        <v>0</v>
      </c>
      <c r="BJ161" s="33">
        <f t="shared" si="200"/>
        <v>0</v>
      </c>
      <c r="BK161" s="33">
        <f t="shared" si="201"/>
        <v>0</v>
      </c>
      <c r="BL161" s="48">
        <v>1</v>
      </c>
      <c r="BM161" s="12">
        <f t="shared" si="179"/>
        <v>1</v>
      </c>
      <c r="BN161" s="10">
        <v>0</v>
      </c>
      <c r="BO161" s="10">
        <v>0</v>
      </c>
      <c r="BP161" s="33">
        <f t="shared" si="202"/>
        <v>0</v>
      </c>
      <c r="BQ161" s="33">
        <f t="shared" si="203"/>
        <v>0</v>
      </c>
      <c r="BR161" s="48">
        <v>1</v>
      </c>
      <c r="BS161" s="12">
        <f t="shared" si="180"/>
        <v>1</v>
      </c>
      <c r="BT161" s="10">
        <v>0</v>
      </c>
      <c r="BU161" s="10">
        <v>0</v>
      </c>
      <c r="BV161" s="33">
        <f t="shared" si="204"/>
        <v>0</v>
      </c>
      <c r="BW161" s="33">
        <f t="shared" si="205"/>
        <v>0</v>
      </c>
      <c r="BX161" s="48">
        <v>1</v>
      </c>
      <c r="BY161" s="12">
        <f t="shared" si="181"/>
        <v>1</v>
      </c>
      <c r="BZ161" s="10">
        <v>0</v>
      </c>
      <c r="CA161" s="10">
        <v>0</v>
      </c>
      <c r="CB161" s="33">
        <f t="shared" si="206"/>
        <v>0</v>
      </c>
      <c r="CC161" s="33">
        <f t="shared" si="207"/>
        <v>0</v>
      </c>
      <c r="CD161" s="48">
        <v>1</v>
      </c>
      <c r="CE161" s="12">
        <f t="shared" si="182"/>
        <v>1</v>
      </c>
    </row>
    <row r="162" spans="1:83" ht="80.25" customHeight="1">
      <c r="A162" s="148" t="s">
        <v>527</v>
      </c>
      <c r="B162" s="155" t="s">
        <v>528</v>
      </c>
      <c r="C162" s="173" t="s">
        <v>529</v>
      </c>
      <c r="D162" s="156">
        <v>1997</v>
      </c>
      <c r="E162" s="154"/>
      <c r="F162" s="154"/>
      <c r="G162" s="154"/>
      <c r="H162" s="165">
        <v>1</v>
      </c>
      <c r="I162" s="159">
        <v>1</v>
      </c>
      <c r="J162" s="56">
        <v>0</v>
      </c>
      <c r="K162" s="33">
        <f t="shared" si="169"/>
        <v>0</v>
      </c>
      <c r="L162" s="10">
        <v>0</v>
      </c>
      <c r="M162" s="10">
        <v>0</v>
      </c>
      <c r="N162" s="33">
        <f t="shared" si="170"/>
        <v>0</v>
      </c>
      <c r="O162" s="33">
        <f t="shared" si="171"/>
        <v>0</v>
      </c>
      <c r="P162" s="56">
        <v>0</v>
      </c>
      <c r="Q162" s="33">
        <f t="shared" si="172"/>
        <v>0</v>
      </c>
      <c r="R162" s="56">
        <v>0</v>
      </c>
      <c r="S162" s="56">
        <v>0</v>
      </c>
      <c r="T162" s="33">
        <f t="shared" si="173"/>
        <v>0</v>
      </c>
      <c r="U162" s="33">
        <f t="shared" si="174"/>
        <v>0</v>
      </c>
      <c r="V162" s="56">
        <v>0</v>
      </c>
      <c r="W162" s="33">
        <f t="shared" si="175"/>
        <v>0</v>
      </c>
      <c r="X162" s="56">
        <v>0</v>
      </c>
      <c r="Y162" s="56">
        <v>0</v>
      </c>
      <c r="Z162" s="33">
        <f t="shared" si="176"/>
        <v>0</v>
      </c>
      <c r="AA162" s="33">
        <f t="shared" si="177"/>
        <v>0</v>
      </c>
      <c r="AB162" s="146">
        <v>1</v>
      </c>
      <c r="AC162" s="117">
        <f t="shared" si="183"/>
        <v>1</v>
      </c>
      <c r="AD162" s="10">
        <v>0</v>
      </c>
      <c r="AE162" s="10">
        <v>0</v>
      </c>
      <c r="AF162" s="117">
        <f t="shared" si="184"/>
        <v>0</v>
      </c>
      <c r="AG162" s="118">
        <f t="shared" si="185"/>
        <v>0</v>
      </c>
      <c r="AH162" s="80">
        <f t="shared" si="186"/>
        <v>1</v>
      </c>
      <c r="AI162" s="127">
        <f t="shared" si="199"/>
        <v>1</v>
      </c>
      <c r="AJ162" s="111">
        <v>0</v>
      </c>
      <c r="AK162" s="111">
        <v>0</v>
      </c>
      <c r="AL162" s="112">
        <f t="shared" ca="1" si="153"/>
        <v>0</v>
      </c>
      <c r="AM162" s="112">
        <f t="shared" si="154"/>
        <v>0</v>
      </c>
      <c r="AN162" s="80">
        <f t="shared" si="187"/>
        <v>1</v>
      </c>
      <c r="AO162" s="12">
        <f t="shared" si="188"/>
        <v>1</v>
      </c>
      <c r="AP162" s="10">
        <v>0</v>
      </c>
      <c r="AQ162" s="10">
        <v>0</v>
      </c>
      <c r="AR162" s="12">
        <f t="shared" si="189"/>
        <v>0</v>
      </c>
      <c r="AS162" s="12">
        <f t="shared" si="190"/>
        <v>0</v>
      </c>
      <c r="AT162" s="13">
        <f t="shared" si="191"/>
        <v>1</v>
      </c>
      <c r="AU162" s="12">
        <f t="shared" si="192"/>
        <v>1</v>
      </c>
      <c r="AV162" s="10">
        <v>0</v>
      </c>
      <c r="AW162" s="10">
        <v>0</v>
      </c>
      <c r="AX162" s="12">
        <f t="shared" si="193"/>
        <v>0</v>
      </c>
      <c r="AY162" s="12">
        <f t="shared" si="194"/>
        <v>0</v>
      </c>
      <c r="AZ162" s="32">
        <f t="shared" si="195"/>
        <v>1</v>
      </c>
      <c r="BA162" s="12">
        <f t="shared" si="196"/>
        <v>1</v>
      </c>
      <c r="BB162" s="10">
        <v>0</v>
      </c>
      <c r="BC162" s="10">
        <v>0</v>
      </c>
      <c r="BD162" s="12">
        <f t="shared" si="197"/>
        <v>0</v>
      </c>
      <c r="BE162" s="12">
        <f t="shared" si="198"/>
        <v>0</v>
      </c>
      <c r="BF162" s="48">
        <v>1</v>
      </c>
      <c r="BG162" s="12">
        <f t="shared" si="178"/>
        <v>1</v>
      </c>
      <c r="BH162" s="10">
        <v>0</v>
      </c>
      <c r="BI162" s="10">
        <v>0</v>
      </c>
      <c r="BJ162" s="33">
        <f t="shared" si="200"/>
        <v>0</v>
      </c>
      <c r="BK162" s="33">
        <f t="shared" si="201"/>
        <v>0</v>
      </c>
      <c r="BL162" s="48">
        <v>1</v>
      </c>
      <c r="BM162" s="12">
        <f t="shared" si="179"/>
        <v>1</v>
      </c>
      <c r="BN162" s="10">
        <v>0</v>
      </c>
      <c r="BO162" s="10">
        <v>0</v>
      </c>
      <c r="BP162" s="33">
        <f t="shared" si="202"/>
        <v>0</v>
      </c>
      <c r="BQ162" s="33">
        <f t="shared" si="203"/>
        <v>0</v>
      </c>
      <c r="BR162" s="48">
        <v>1</v>
      </c>
      <c r="BS162" s="12">
        <f t="shared" si="180"/>
        <v>1</v>
      </c>
      <c r="BT162" s="10">
        <v>0</v>
      </c>
      <c r="BU162" s="10">
        <v>0</v>
      </c>
      <c r="BV162" s="33">
        <f t="shared" si="204"/>
        <v>0</v>
      </c>
      <c r="BW162" s="33">
        <f t="shared" si="205"/>
        <v>0</v>
      </c>
      <c r="BX162" s="48">
        <v>1</v>
      </c>
      <c r="BY162" s="12">
        <f t="shared" si="181"/>
        <v>1</v>
      </c>
      <c r="BZ162" s="10">
        <v>0</v>
      </c>
      <c r="CA162" s="10">
        <v>0</v>
      </c>
      <c r="CB162" s="33">
        <f t="shared" si="206"/>
        <v>0</v>
      </c>
      <c r="CC162" s="33">
        <f t="shared" si="207"/>
        <v>0</v>
      </c>
      <c r="CD162" s="48">
        <v>1</v>
      </c>
      <c r="CE162" s="12">
        <f t="shared" si="182"/>
        <v>1</v>
      </c>
    </row>
    <row r="163" spans="1:83" ht="80.25" customHeight="1">
      <c r="A163" s="148" t="s">
        <v>530</v>
      </c>
      <c r="B163" s="155" t="s">
        <v>531</v>
      </c>
      <c r="C163" s="173" t="s">
        <v>532</v>
      </c>
      <c r="D163" s="156">
        <v>2011</v>
      </c>
      <c r="E163" s="154"/>
      <c r="F163" s="154"/>
      <c r="G163" s="154"/>
      <c r="H163" s="165">
        <v>74</v>
      </c>
      <c r="I163" s="159">
        <v>1</v>
      </c>
      <c r="J163" s="56">
        <v>0</v>
      </c>
      <c r="K163" s="33">
        <f t="shared" si="169"/>
        <v>0</v>
      </c>
      <c r="L163" s="10">
        <v>0</v>
      </c>
      <c r="M163" s="10">
        <v>0</v>
      </c>
      <c r="N163" s="33">
        <f t="shared" si="170"/>
        <v>0</v>
      </c>
      <c r="O163" s="33">
        <f t="shared" si="171"/>
        <v>0</v>
      </c>
      <c r="P163" s="56">
        <v>0</v>
      </c>
      <c r="Q163" s="33">
        <f t="shared" si="172"/>
        <v>0</v>
      </c>
      <c r="R163" s="56">
        <v>0</v>
      </c>
      <c r="S163" s="56">
        <v>0</v>
      </c>
      <c r="T163" s="33">
        <f t="shared" si="173"/>
        <v>0</v>
      </c>
      <c r="U163" s="33">
        <f t="shared" si="174"/>
        <v>0</v>
      </c>
      <c r="V163" s="56">
        <v>0</v>
      </c>
      <c r="W163" s="33">
        <f t="shared" si="175"/>
        <v>0</v>
      </c>
      <c r="X163" s="56">
        <v>0</v>
      </c>
      <c r="Y163" s="56">
        <v>0</v>
      </c>
      <c r="Z163" s="33">
        <f t="shared" si="176"/>
        <v>0</v>
      </c>
      <c r="AA163" s="33">
        <f t="shared" si="177"/>
        <v>0</v>
      </c>
      <c r="AB163" s="146">
        <v>74</v>
      </c>
      <c r="AC163" s="117">
        <f t="shared" si="183"/>
        <v>74</v>
      </c>
      <c r="AD163" s="10">
        <v>0</v>
      </c>
      <c r="AE163" s="10">
        <v>0</v>
      </c>
      <c r="AF163" s="117">
        <f t="shared" si="184"/>
        <v>0</v>
      </c>
      <c r="AG163" s="118">
        <f t="shared" si="185"/>
        <v>0</v>
      </c>
      <c r="AH163" s="80">
        <f t="shared" si="186"/>
        <v>74</v>
      </c>
      <c r="AI163" s="127">
        <f t="shared" si="199"/>
        <v>74</v>
      </c>
      <c r="AJ163" s="111">
        <v>0</v>
      </c>
      <c r="AK163" s="111">
        <v>0</v>
      </c>
      <c r="AL163" s="112">
        <f t="shared" ca="1" si="153"/>
        <v>0</v>
      </c>
      <c r="AM163" s="112">
        <f t="shared" si="154"/>
        <v>0</v>
      </c>
      <c r="AN163" s="80">
        <f t="shared" si="187"/>
        <v>74</v>
      </c>
      <c r="AO163" s="12">
        <f t="shared" si="188"/>
        <v>74</v>
      </c>
      <c r="AP163" s="10">
        <v>0</v>
      </c>
      <c r="AQ163" s="10">
        <v>0</v>
      </c>
      <c r="AR163" s="12">
        <f t="shared" si="189"/>
        <v>0</v>
      </c>
      <c r="AS163" s="12">
        <f t="shared" si="190"/>
        <v>0</v>
      </c>
      <c r="AT163" s="13">
        <f t="shared" si="191"/>
        <v>74</v>
      </c>
      <c r="AU163" s="12">
        <f t="shared" si="192"/>
        <v>74</v>
      </c>
      <c r="AV163" s="10">
        <v>0</v>
      </c>
      <c r="AW163" s="10">
        <v>0</v>
      </c>
      <c r="AX163" s="12">
        <f t="shared" si="193"/>
        <v>0</v>
      </c>
      <c r="AY163" s="12">
        <f t="shared" si="194"/>
        <v>0</v>
      </c>
      <c r="AZ163" s="32">
        <f t="shared" si="195"/>
        <v>74</v>
      </c>
      <c r="BA163" s="12">
        <f t="shared" si="196"/>
        <v>74</v>
      </c>
      <c r="BB163" s="10">
        <v>0</v>
      </c>
      <c r="BC163" s="10">
        <v>0</v>
      </c>
      <c r="BD163" s="12">
        <f t="shared" si="197"/>
        <v>0</v>
      </c>
      <c r="BE163" s="12">
        <f t="shared" si="198"/>
        <v>0</v>
      </c>
      <c r="BF163" s="48">
        <v>74</v>
      </c>
      <c r="BG163" s="12">
        <f t="shared" si="178"/>
        <v>74</v>
      </c>
      <c r="BH163" s="10">
        <v>0</v>
      </c>
      <c r="BI163" s="10">
        <v>0</v>
      </c>
      <c r="BJ163" s="33">
        <f t="shared" si="200"/>
        <v>0</v>
      </c>
      <c r="BK163" s="33">
        <f t="shared" si="201"/>
        <v>0</v>
      </c>
      <c r="BL163" s="48">
        <v>74</v>
      </c>
      <c r="BM163" s="12">
        <f t="shared" si="179"/>
        <v>74</v>
      </c>
      <c r="BN163" s="10">
        <v>0</v>
      </c>
      <c r="BO163" s="10">
        <v>0</v>
      </c>
      <c r="BP163" s="33">
        <f t="shared" si="202"/>
        <v>0</v>
      </c>
      <c r="BQ163" s="33">
        <f t="shared" si="203"/>
        <v>0</v>
      </c>
      <c r="BR163" s="48">
        <v>74</v>
      </c>
      <c r="BS163" s="12">
        <f t="shared" si="180"/>
        <v>74</v>
      </c>
      <c r="BT163" s="10">
        <v>0</v>
      </c>
      <c r="BU163" s="10">
        <v>0</v>
      </c>
      <c r="BV163" s="33">
        <f t="shared" si="204"/>
        <v>0</v>
      </c>
      <c r="BW163" s="33">
        <f t="shared" si="205"/>
        <v>0</v>
      </c>
      <c r="BX163" s="48">
        <v>74</v>
      </c>
      <c r="BY163" s="12">
        <f t="shared" si="181"/>
        <v>74</v>
      </c>
      <c r="BZ163" s="10">
        <v>0</v>
      </c>
      <c r="CA163" s="10">
        <v>0</v>
      </c>
      <c r="CB163" s="33">
        <f t="shared" si="206"/>
        <v>0</v>
      </c>
      <c r="CC163" s="33">
        <f t="shared" si="207"/>
        <v>0</v>
      </c>
      <c r="CD163" s="48">
        <v>74</v>
      </c>
      <c r="CE163" s="12">
        <f t="shared" si="182"/>
        <v>74</v>
      </c>
    </row>
    <row r="164" spans="1:83" ht="80.25" customHeight="1">
      <c r="A164" s="148" t="s">
        <v>533</v>
      </c>
      <c r="B164" s="155" t="s">
        <v>534</v>
      </c>
      <c r="C164" s="173" t="s">
        <v>535</v>
      </c>
      <c r="D164" s="156">
        <v>2011</v>
      </c>
      <c r="E164" s="154"/>
      <c r="F164" s="154"/>
      <c r="G164" s="154"/>
      <c r="H164" s="165">
        <v>6</v>
      </c>
      <c r="I164" s="159">
        <v>1</v>
      </c>
      <c r="J164" s="56">
        <v>0</v>
      </c>
      <c r="K164" s="33">
        <f t="shared" si="169"/>
        <v>0</v>
      </c>
      <c r="L164" s="10">
        <v>0</v>
      </c>
      <c r="M164" s="10">
        <v>0</v>
      </c>
      <c r="N164" s="33">
        <f t="shared" si="170"/>
        <v>0</v>
      </c>
      <c r="O164" s="33">
        <f t="shared" si="171"/>
        <v>0</v>
      </c>
      <c r="P164" s="56">
        <v>0</v>
      </c>
      <c r="Q164" s="33">
        <f t="shared" si="172"/>
        <v>0</v>
      </c>
      <c r="R164" s="56">
        <v>0</v>
      </c>
      <c r="S164" s="56">
        <v>0</v>
      </c>
      <c r="T164" s="33">
        <f t="shared" si="173"/>
        <v>0</v>
      </c>
      <c r="U164" s="33">
        <f t="shared" si="174"/>
        <v>0</v>
      </c>
      <c r="V164" s="56">
        <v>0</v>
      </c>
      <c r="W164" s="33">
        <f t="shared" si="175"/>
        <v>0</v>
      </c>
      <c r="X164" s="56">
        <v>0</v>
      </c>
      <c r="Y164" s="56">
        <v>0</v>
      </c>
      <c r="Z164" s="33">
        <f t="shared" si="176"/>
        <v>0</v>
      </c>
      <c r="AA164" s="33">
        <f t="shared" si="177"/>
        <v>0</v>
      </c>
      <c r="AB164" s="146">
        <v>6</v>
      </c>
      <c r="AC164" s="117">
        <f t="shared" si="183"/>
        <v>6</v>
      </c>
      <c r="AD164" s="10">
        <v>0</v>
      </c>
      <c r="AE164" s="10">
        <v>0</v>
      </c>
      <c r="AF164" s="117">
        <f t="shared" si="184"/>
        <v>0</v>
      </c>
      <c r="AG164" s="118">
        <f t="shared" si="185"/>
        <v>0</v>
      </c>
      <c r="AH164" s="80">
        <f t="shared" si="186"/>
        <v>6</v>
      </c>
      <c r="AI164" s="127">
        <f t="shared" si="199"/>
        <v>6</v>
      </c>
      <c r="AJ164" s="111">
        <v>0</v>
      </c>
      <c r="AK164" s="111">
        <v>0</v>
      </c>
      <c r="AL164" s="112">
        <f t="shared" ca="1" si="153"/>
        <v>0</v>
      </c>
      <c r="AM164" s="112">
        <f t="shared" si="154"/>
        <v>0</v>
      </c>
      <c r="AN164" s="80">
        <f t="shared" si="187"/>
        <v>6</v>
      </c>
      <c r="AO164" s="12">
        <f t="shared" si="188"/>
        <v>6</v>
      </c>
      <c r="AP164" s="10">
        <v>0</v>
      </c>
      <c r="AQ164" s="10">
        <v>0</v>
      </c>
      <c r="AR164" s="12">
        <f t="shared" si="189"/>
        <v>0</v>
      </c>
      <c r="AS164" s="12">
        <f t="shared" si="190"/>
        <v>0</v>
      </c>
      <c r="AT164" s="13">
        <f t="shared" si="191"/>
        <v>6</v>
      </c>
      <c r="AU164" s="12">
        <f t="shared" si="192"/>
        <v>6</v>
      </c>
      <c r="AV164" s="10">
        <v>0</v>
      </c>
      <c r="AW164" s="10">
        <v>0</v>
      </c>
      <c r="AX164" s="12">
        <f t="shared" si="193"/>
        <v>0</v>
      </c>
      <c r="AY164" s="12">
        <f t="shared" si="194"/>
        <v>0</v>
      </c>
      <c r="AZ164" s="32">
        <f t="shared" si="195"/>
        <v>6</v>
      </c>
      <c r="BA164" s="12">
        <f t="shared" si="196"/>
        <v>6</v>
      </c>
      <c r="BB164" s="10">
        <v>0</v>
      </c>
      <c r="BC164" s="10">
        <v>0</v>
      </c>
      <c r="BD164" s="12">
        <f t="shared" si="197"/>
        <v>0</v>
      </c>
      <c r="BE164" s="12">
        <f t="shared" si="198"/>
        <v>0</v>
      </c>
      <c r="BF164" s="48">
        <v>6</v>
      </c>
      <c r="BG164" s="12">
        <f t="shared" si="178"/>
        <v>6</v>
      </c>
      <c r="BH164" s="10">
        <v>0</v>
      </c>
      <c r="BI164" s="10">
        <v>0</v>
      </c>
      <c r="BJ164" s="33">
        <f t="shared" si="200"/>
        <v>0</v>
      </c>
      <c r="BK164" s="33">
        <f t="shared" si="201"/>
        <v>0</v>
      </c>
      <c r="BL164" s="48">
        <v>6</v>
      </c>
      <c r="BM164" s="12">
        <f t="shared" si="179"/>
        <v>6</v>
      </c>
      <c r="BN164" s="10">
        <v>0</v>
      </c>
      <c r="BO164" s="10">
        <v>0</v>
      </c>
      <c r="BP164" s="33">
        <f t="shared" si="202"/>
        <v>0</v>
      </c>
      <c r="BQ164" s="33">
        <f t="shared" si="203"/>
        <v>0</v>
      </c>
      <c r="BR164" s="48">
        <v>6</v>
      </c>
      <c r="BS164" s="12">
        <f t="shared" si="180"/>
        <v>6</v>
      </c>
      <c r="BT164" s="10">
        <v>0</v>
      </c>
      <c r="BU164" s="10">
        <v>0</v>
      </c>
      <c r="BV164" s="33">
        <f t="shared" si="204"/>
        <v>0</v>
      </c>
      <c r="BW164" s="33">
        <f t="shared" si="205"/>
        <v>0</v>
      </c>
      <c r="BX164" s="48">
        <v>6</v>
      </c>
      <c r="BY164" s="12">
        <f t="shared" si="181"/>
        <v>6</v>
      </c>
      <c r="BZ164" s="10">
        <v>0</v>
      </c>
      <c r="CA164" s="10">
        <v>0</v>
      </c>
      <c r="CB164" s="33">
        <f t="shared" si="206"/>
        <v>0</v>
      </c>
      <c r="CC164" s="33">
        <f t="shared" si="207"/>
        <v>0</v>
      </c>
      <c r="CD164" s="48">
        <v>6</v>
      </c>
      <c r="CE164" s="12">
        <f t="shared" si="182"/>
        <v>6</v>
      </c>
    </row>
    <row r="165" spans="1:83" ht="80.25" customHeight="1">
      <c r="A165" s="148" t="s">
        <v>536</v>
      </c>
      <c r="B165" s="155" t="s">
        <v>537</v>
      </c>
      <c r="C165" s="174" t="s">
        <v>538</v>
      </c>
      <c r="D165" s="157">
        <v>2014</v>
      </c>
      <c r="E165" s="154"/>
      <c r="F165" s="154"/>
      <c r="G165" s="154"/>
      <c r="H165" s="165">
        <v>3</v>
      </c>
      <c r="I165" s="159">
        <v>1</v>
      </c>
      <c r="J165" s="56">
        <v>0</v>
      </c>
      <c r="K165" s="33">
        <f t="shared" si="169"/>
        <v>0</v>
      </c>
      <c r="L165" s="10">
        <v>0</v>
      </c>
      <c r="M165" s="10">
        <v>0</v>
      </c>
      <c r="N165" s="33">
        <f t="shared" si="170"/>
        <v>0</v>
      </c>
      <c r="O165" s="33">
        <f t="shared" si="171"/>
        <v>0</v>
      </c>
      <c r="P165" s="56">
        <v>0</v>
      </c>
      <c r="Q165" s="33">
        <f t="shared" si="172"/>
        <v>0</v>
      </c>
      <c r="R165" s="56">
        <v>0</v>
      </c>
      <c r="S165" s="56">
        <v>0</v>
      </c>
      <c r="T165" s="33">
        <f t="shared" si="173"/>
        <v>0</v>
      </c>
      <c r="U165" s="33">
        <f t="shared" si="174"/>
        <v>0</v>
      </c>
      <c r="V165" s="56">
        <v>0</v>
      </c>
      <c r="W165" s="33">
        <f t="shared" si="175"/>
        <v>0</v>
      </c>
      <c r="X165" s="56">
        <v>0</v>
      </c>
      <c r="Y165" s="56">
        <v>0</v>
      </c>
      <c r="Z165" s="33">
        <f t="shared" si="176"/>
        <v>0</v>
      </c>
      <c r="AA165" s="33">
        <f t="shared" si="177"/>
        <v>0</v>
      </c>
      <c r="AB165" s="146">
        <v>3</v>
      </c>
      <c r="AC165" s="117">
        <f t="shared" si="183"/>
        <v>3</v>
      </c>
      <c r="AD165" s="10">
        <v>0</v>
      </c>
      <c r="AE165" s="10">
        <v>0</v>
      </c>
      <c r="AF165" s="117">
        <f t="shared" si="184"/>
        <v>0</v>
      </c>
      <c r="AG165" s="118">
        <f t="shared" si="185"/>
        <v>0</v>
      </c>
      <c r="AH165" s="80">
        <f t="shared" si="186"/>
        <v>3</v>
      </c>
      <c r="AI165" s="127">
        <f t="shared" si="199"/>
        <v>3</v>
      </c>
      <c r="AJ165" s="111">
        <v>0</v>
      </c>
      <c r="AK165" s="111">
        <v>0</v>
      </c>
      <c r="AL165" s="112">
        <f t="shared" ca="1" si="153"/>
        <v>0</v>
      </c>
      <c r="AM165" s="112">
        <f t="shared" si="154"/>
        <v>0</v>
      </c>
      <c r="AN165" s="80">
        <f t="shared" si="187"/>
        <v>3</v>
      </c>
      <c r="AO165" s="12">
        <f t="shared" si="188"/>
        <v>3</v>
      </c>
      <c r="AP165" s="10">
        <v>0</v>
      </c>
      <c r="AQ165" s="10">
        <v>0</v>
      </c>
      <c r="AR165" s="12">
        <f t="shared" si="189"/>
        <v>0</v>
      </c>
      <c r="AS165" s="12">
        <f t="shared" si="190"/>
        <v>0</v>
      </c>
      <c r="AT165" s="13">
        <f t="shared" si="191"/>
        <v>3</v>
      </c>
      <c r="AU165" s="12">
        <f t="shared" si="192"/>
        <v>3</v>
      </c>
      <c r="AV165" s="10">
        <v>0</v>
      </c>
      <c r="AW165" s="10">
        <v>0</v>
      </c>
      <c r="AX165" s="12">
        <f t="shared" si="193"/>
        <v>0</v>
      </c>
      <c r="AY165" s="12">
        <f t="shared" si="194"/>
        <v>0</v>
      </c>
      <c r="AZ165" s="32">
        <f t="shared" si="195"/>
        <v>3</v>
      </c>
      <c r="BA165" s="12">
        <f t="shared" si="196"/>
        <v>3</v>
      </c>
      <c r="BB165" s="10">
        <v>0</v>
      </c>
      <c r="BC165" s="10">
        <v>0</v>
      </c>
      <c r="BD165" s="12">
        <f t="shared" si="197"/>
        <v>0</v>
      </c>
      <c r="BE165" s="12">
        <f t="shared" si="198"/>
        <v>0</v>
      </c>
      <c r="BF165" s="48">
        <v>3</v>
      </c>
      <c r="BG165" s="12">
        <f t="shared" si="178"/>
        <v>3</v>
      </c>
      <c r="BH165" s="10">
        <v>0</v>
      </c>
      <c r="BI165" s="10">
        <v>0</v>
      </c>
      <c r="BJ165" s="33">
        <f t="shared" si="200"/>
        <v>0</v>
      </c>
      <c r="BK165" s="33">
        <f t="shared" si="201"/>
        <v>0</v>
      </c>
      <c r="BL165" s="48">
        <v>3</v>
      </c>
      <c r="BM165" s="12">
        <f t="shared" si="179"/>
        <v>3</v>
      </c>
      <c r="BN165" s="10">
        <v>0</v>
      </c>
      <c r="BO165" s="10">
        <v>0</v>
      </c>
      <c r="BP165" s="33">
        <f t="shared" si="202"/>
        <v>0</v>
      </c>
      <c r="BQ165" s="33">
        <f t="shared" si="203"/>
        <v>0</v>
      </c>
      <c r="BR165" s="48">
        <v>3</v>
      </c>
      <c r="BS165" s="12">
        <f t="shared" si="180"/>
        <v>3</v>
      </c>
      <c r="BT165" s="10">
        <v>0</v>
      </c>
      <c r="BU165" s="10">
        <v>0</v>
      </c>
      <c r="BV165" s="33">
        <f t="shared" si="204"/>
        <v>0</v>
      </c>
      <c r="BW165" s="33">
        <f t="shared" si="205"/>
        <v>0</v>
      </c>
      <c r="BX165" s="48">
        <v>3</v>
      </c>
      <c r="BY165" s="12">
        <f t="shared" si="181"/>
        <v>3</v>
      </c>
      <c r="BZ165" s="10">
        <v>0</v>
      </c>
      <c r="CA165" s="10">
        <v>0</v>
      </c>
      <c r="CB165" s="33">
        <f t="shared" si="206"/>
        <v>0</v>
      </c>
      <c r="CC165" s="33">
        <f t="shared" si="207"/>
        <v>0</v>
      </c>
      <c r="CD165" s="48">
        <v>3</v>
      </c>
      <c r="CE165" s="12">
        <f t="shared" si="182"/>
        <v>3</v>
      </c>
    </row>
    <row r="166" spans="1:83" ht="80.25" customHeight="1">
      <c r="A166" s="148" t="s">
        <v>539</v>
      </c>
      <c r="B166" s="155" t="s">
        <v>540</v>
      </c>
      <c r="C166" s="173" t="s">
        <v>541</v>
      </c>
      <c r="D166" s="156">
        <v>2002</v>
      </c>
      <c r="E166" s="154"/>
      <c r="F166" s="154"/>
      <c r="G166" s="154"/>
      <c r="H166" s="165">
        <v>13</v>
      </c>
      <c r="I166" s="159">
        <v>1</v>
      </c>
      <c r="J166" s="56">
        <v>0</v>
      </c>
      <c r="K166" s="33">
        <f t="shared" si="169"/>
        <v>0</v>
      </c>
      <c r="L166" s="10">
        <v>0</v>
      </c>
      <c r="M166" s="10">
        <v>0</v>
      </c>
      <c r="N166" s="33">
        <f t="shared" si="170"/>
        <v>0</v>
      </c>
      <c r="O166" s="33">
        <f t="shared" si="171"/>
        <v>0</v>
      </c>
      <c r="P166" s="56">
        <v>0</v>
      </c>
      <c r="Q166" s="33">
        <f t="shared" si="172"/>
        <v>0</v>
      </c>
      <c r="R166" s="56">
        <v>0</v>
      </c>
      <c r="S166" s="56">
        <v>0</v>
      </c>
      <c r="T166" s="33">
        <f t="shared" si="173"/>
        <v>0</v>
      </c>
      <c r="U166" s="33">
        <f t="shared" si="174"/>
        <v>0</v>
      </c>
      <c r="V166" s="56">
        <v>0</v>
      </c>
      <c r="W166" s="33">
        <f t="shared" si="175"/>
        <v>0</v>
      </c>
      <c r="X166" s="56">
        <v>0</v>
      </c>
      <c r="Y166" s="56">
        <v>0</v>
      </c>
      <c r="Z166" s="33">
        <f t="shared" si="176"/>
        <v>0</v>
      </c>
      <c r="AA166" s="33">
        <f t="shared" si="177"/>
        <v>0</v>
      </c>
      <c r="AB166" s="146">
        <v>13</v>
      </c>
      <c r="AC166" s="117">
        <f t="shared" si="183"/>
        <v>13</v>
      </c>
      <c r="AD166" s="10">
        <v>0</v>
      </c>
      <c r="AE166" s="10">
        <v>0</v>
      </c>
      <c r="AF166" s="117">
        <f t="shared" si="184"/>
        <v>0</v>
      </c>
      <c r="AG166" s="118">
        <f t="shared" si="185"/>
        <v>0</v>
      </c>
      <c r="AH166" s="80">
        <f t="shared" si="186"/>
        <v>13</v>
      </c>
      <c r="AI166" s="127">
        <f t="shared" si="199"/>
        <v>13</v>
      </c>
      <c r="AJ166" s="111">
        <v>0</v>
      </c>
      <c r="AK166" s="111">
        <v>0</v>
      </c>
      <c r="AL166" s="112">
        <f t="shared" ca="1" si="153"/>
        <v>0</v>
      </c>
      <c r="AM166" s="112">
        <f t="shared" si="154"/>
        <v>0</v>
      </c>
      <c r="AN166" s="80">
        <f t="shared" si="187"/>
        <v>13</v>
      </c>
      <c r="AO166" s="12">
        <f t="shared" si="188"/>
        <v>13</v>
      </c>
      <c r="AP166" s="10">
        <v>0</v>
      </c>
      <c r="AQ166" s="10">
        <v>0</v>
      </c>
      <c r="AR166" s="12">
        <f t="shared" si="189"/>
        <v>0</v>
      </c>
      <c r="AS166" s="12">
        <f t="shared" si="190"/>
        <v>0</v>
      </c>
      <c r="AT166" s="13">
        <f t="shared" si="191"/>
        <v>13</v>
      </c>
      <c r="AU166" s="12">
        <f t="shared" si="192"/>
        <v>13</v>
      </c>
      <c r="AV166" s="10">
        <v>0</v>
      </c>
      <c r="AW166" s="10">
        <v>0</v>
      </c>
      <c r="AX166" s="12">
        <f t="shared" si="193"/>
        <v>0</v>
      </c>
      <c r="AY166" s="12">
        <f t="shared" si="194"/>
        <v>0</v>
      </c>
      <c r="AZ166" s="32">
        <f t="shared" si="195"/>
        <v>13</v>
      </c>
      <c r="BA166" s="12">
        <f t="shared" si="196"/>
        <v>13</v>
      </c>
      <c r="BB166" s="10">
        <v>0</v>
      </c>
      <c r="BC166" s="10">
        <v>0</v>
      </c>
      <c r="BD166" s="12">
        <f t="shared" si="197"/>
        <v>0</v>
      </c>
      <c r="BE166" s="12">
        <f t="shared" si="198"/>
        <v>0</v>
      </c>
      <c r="BF166" s="48">
        <v>13</v>
      </c>
      <c r="BG166" s="12">
        <f t="shared" si="178"/>
        <v>13</v>
      </c>
      <c r="BH166" s="10">
        <v>0</v>
      </c>
      <c r="BI166" s="10">
        <v>0</v>
      </c>
      <c r="BJ166" s="33">
        <f t="shared" si="200"/>
        <v>0</v>
      </c>
      <c r="BK166" s="33">
        <f t="shared" si="201"/>
        <v>0</v>
      </c>
      <c r="BL166" s="48">
        <v>13</v>
      </c>
      <c r="BM166" s="12">
        <f t="shared" si="179"/>
        <v>13</v>
      </c>
      <c r="BN166" s="10">
        <v>0</v>
      </c>
      <c r="BO166" s="10">
        <v>0</v>
      </c>
      <c r="BP166" s="33">
        <f t="shared" si="202"/>
        <v>0</v>
      </c>
      <c r="BQ166" s="33">
        <f t="shared" si="203"/>
        <v>0</v>
      </c>
      <c r="BR166" s="48">
        <v>13</v>
      </c>
      <c r="BS166" s="12">
        <f t="shared" si="180"/>
        <v>13</v>
      </c>
      <c r="BT166" s="10">
        <v>0</v>
      </c>
      <c r="BU166" s="10">
        <v>0</v>
      </c>
      <c r="BV166" s="33">
        <f t="shared" si="204"/>
        <v>0</v>
      </c>
      <c r="BW166" s="33">
        <f t="shared" si="205"/>
        <v>0</v>
      </c>
      <c r="BX166" s="48">
        <v>13</v>
      </c>
      <c r="BY166" s="12">
        <f t="shared" si="181"/>
        <v>13</v>
      </c>
      <c r="BZ166" s="10">
        <v>0</v>
      </c>
      <c r="CA166" s="10">
        <v>0</v>
      </c>
      <c r="CB166" s="33">
        <f t="shared" si="206"/>
        <v>0</v>
      </c>
      <c r="CC166" s="33">
        <f t="shared" si="207"/>
        <v>0</v>
      </c>
      <c r="CD166" s="48">
        <v>13</v>
      </c>
      <c r="CE166" s="12">
        <f t="shared" si="182"/>
        <v>13</v>
      </c>
    </row>
    <row r="167" spans="1:83" ht="80.25" customHeight="1">
      <c r="A167" s="148" t="s">
        <v>542</v>
      </c>
      <c r="B167" s="155" t="s">
        <v>543</v>
      </c>
      <c r="C167" s="173" t="s">
        <v>544</v>
      </c>
      <c r="D167" s="156">
        <v>2004</v>
      </c>
      <c r="E167" s="154"/>
      <c r="F167" s="154"/>
      <c r="G167" s="154"/>
      <c r="H167" s="165">
        <v>3</v>
      </c>
      <c r="I167" s="159">
        <v>1</v>
      </c>
      <c r="J167" s="56">
        <v>0</v>
      </c>
      <c r="K167" s="33">
        <f t="shared" si="169"/>
        <v>0</v>
      </c>
      <c r="L167" s="10">
        <v>0</v>
      </c>
      <c r="M167" s="10">
        <v>0</v>
      </c>
      <c r="N167" s="33">
        <f t="shared" si="170"/>
        <v>0</v>
      </c>
      <c r="O167" s="33">
        <f t="shared" si="171"/>
        <v>0</v>
      </c>
      <c r="P167" s="56">
        <v>0</v>
      </c>
      <c r="Q167" s="33">
        <f t="shared" si="172"/>
        <v>0</v>
      </c>
      <c r="R167" s="56">
        <v>0</v>
      </c>
      <c r="S167" s="56">
        <v>0</v>
      </c>
      <c r="T167" s="33">
        <f t="shared" si="173"/>
        <v>0</v>
      </c>
      <c r="U167" s="33">
        <f t="shared" si="174"/>
        <v>0</v>
      </c>
      <c r="V167" s="56">
        <v>0</v>
      </c>
      <c r="W167" s="33">
        <f t="shared" si="175"/>
        <v>0</v>
      </c>
      <c r="X167" s="56">
        <v>0</v>
      </c>
      <c r="Y167" s="56">
        <v>0</v>
      </c>
      <c r="Z167" s="33">
        <f t="shared" si="176"/>
        <v>0</v>
      </c>
      <c r="AA167" s="33">
        <f t="shared" si="177"/>
        <v>0</v>
      </c>
      <c r="AB167" s="146">
        <v>3</v>
      </c>
      <c r="AC167" s="117">
        <f t="shared" si="183"/>
        <v>3</v>
      </c>
      <c r="AD167" s="10">
        <v>0</v>
      </c>
      <c r="AE167" s="10">
        <v>0</v>
      </c>
      <c r="AF167" s="117">
        <f t="shared" si="184"/>
        <v>0</v>
      </c>
      <c r="AG167" s="118">
        <f t="shared" si="185"/>
        <v>0</v>
      </c>
      <c r="AH167" s="80">
        <f t="shared" si="186"/>
        <v>3</v>
      </c>
      <c r="AI167" s="127">
        <f t="shared" si="199"/>
        <v>3</v>
      </c>
      <c r="AJ167" s="111">
        <v>0</v>
      </c>
      <c r="AK167" s="111">
        <v>0</v>
      </c>
      <c r="AL167" s="112">
        <f t="shared" ca="1" si="153"/>
        <v>0</v>
      </c>
      <c r="AM167" s="112">
        <f t="shared" si="154"/>
        <v>0</v>
      </c>
      <c r="AN167" s="80">
        <f t="shared" si="187"/>
        <v>3</v>
      </c>
      <c r="AO167" s="12">
        <f t="shared" si="188"/>
        <v>3</v>
      </c>
      <c r="AP167" s="10">
        <v>0</v>
      </c>
      <c r="AQ167" s="10">
        <v>0</v>
      </c>
      <c r="AR167" s="12">
        <f t="shared" si="189"/>
        <v>0</v>
      </c>
      <c r="AS167" s="12">
        <f t="shared" si="190"/>
        <v>0</v>
      </c>
      <c r="AT167" s="13">
        <f t="shared" si="191"/>
        <v>3</v>
      </c>
      <c r="AU167" s="12">
        <f t="shared" si="192"/>
        <v>3</v>
      </c>
      <c r="AV167" s="10">
        <v>0</v>
      </c>
      <c r="AW167" s="10">
        <v>0</v>
      </c>
      <c r="AX167" s="12">
        <f t="shared" si="193"/>
        <v>0</v>
      </c>
      <c r="AY167" s="12">
        <f t="shared" si="194"/>
        <v>0</v>
      </c>
      <c r="AZ167" s="32">
        <f t="shared" si="195"/>
        <v>3</v>
      </c>
      <c r="BA167" s="12">
        <f t="shared" si="196"/>
        <v>3</v>
      </c>
      <c r="BB167" s="10">
        <v>0</v>
      </c>
      <c r="BC167" s="10">
        <v>0</v>
      </c>
      <c r="BD167" s="12">
        <f t="shared" si="197"/>
        <v>0</v>
      </c>
      <c r="BE167" s="12">
        <f t="shared" si="198"/>
        <v>0</v>
      </c>
      <c r="BF167" s="48">
        <v>3</v>
      </c>
      <c r="BG167" s="12">
        <f t="shared" si="178"/>
        <v>3</v>
      </c>
      <c r="BH167" s="10">
        <v>0</v>
      </c>
      <c r="BI167" s="10">
        <v>0</v>
      </c>
      <c r="BJ167" s="33">
        <f t="shared" si="200"/>
        <v>0</v>
      </c>
      <c r="BK167" s="33">
        <f t="shared" si="201"/>
        <v>0</v>
      </c>
      <c r="BL167" s="48">
        <v>3</v>
      </c>
      <c r="BM167" s="12">
        <f t="shared" si="179"/>
        <v>3</v>
      </c>
      <c r="BN167" s="10">
        <v>0</v>
      </c>
      <c r="BO167" s="10">
        <v>0</v>
      </c>
      <c r="BP167" s="33">
        <f t="shared" si="202"/>
        <v>0</v>
      </c>
      <c r="BQ167" s="33">
        <f t="shared" si="203"/>
        <v>0</v>
      </c>
      <c r="BR167" s="48">
        <v>3</v>
      </c>
      <c r="BS167" s="12">
        <f t="shared" si="180"/>
        <v>3</v>
      </c>
      <c r="BT167" s="10">
        <v>0</v>
      </c>
      <c r="BU167" s="10">
        <v>0</v>
      </c>
      <c r="BV167" s="33">
        <f t="shared" si="204"/>
        <v>0</v>
      </c>
      <c r="BW167" s="33">
        <f t="shared" si="205"/>
        <v>0</v>
      </c>
      <c r="BX167" s="48">
        <v>3</v>
      </c>
      <c r="BY167" s="12">
        <f t="shared" si="181"/>
        <v>3</v>
      </c>
      <c r="BZ167" s="10">
        <v>0</v>
      </c>
      <c r="CA167" s="10">
        <v>0</v>
      </c>
      <c r="CB167" s="33">
        <f t="shared" si="206"/>
        <v>0</v>
      </c>
      <c r="CC167" s="33">
        <f t="shared" si="207"/>
        <v>0</v>
      </c>
      <c r="CD167" s="48">
        <v>3</v>
      </c>
      <c r="CE167" s="12">
        <f t="shared" si="182"/>
        <v>3</v>
      </c>
    </row>
    <row r="168" spans="1:83" ht="80.25" customHeight="1">
      <c r="A168" s="148" t="s">
        <v>545</v>
      </c>
      <c r="B168" s="155" t="s">
        <v>546</v>
      </c>
      <c r="C168" s="173" t="s">
        <v>547</v>
      </c>
      <c r="D168" s="156">
        <v>2010</v>
      </c>
      <c r="E168" s="154"/>
      <c r="F168" s="154"/>
      <c r="G168" s="154"/>
      <c r="H168" s="165">
        <v>11</v>
      </c>
      <c r="I168" s="159">
        <v>1</v>
      </c>
      <c r="J168" s="56">
        <v>0</v>
      </c>
      <c r="K168" s="33">
        <f t="shared" si="169"/>
        <v>0</v>
      </c>
      <c r="L168" s="10">
        <v>0</v>
      </c>
      <c r="M168" s="10">
        <v>0</v>
      </c>
      <c r="N168" s="33">
        <f t="shared" si="170"/>
        <v>0</v>
      </c>
      <c r="O168" s="33">
        <f t="shared" si="171"/>
        <v>0</v>
      </c>
      <c r="P168" s="56">
        <v>0</v>
      </c>
      <c r="Q168" s="33">
        <f t="shared" si="172"/>
        <v>0</v>
      </c>
      <c r="R168" s="56">
        <v>0</v>
      </c>
      <c r="S168" s="56">
        <v>0</v>
      </c>
      <c r="T168" s="33">
        <f t="shared" si="173"/>
        <v>0</v>
      </c>
      <c r="U168" s="33">
        <f t="shared" si="174"/>
        <v>0</v>
      </c>
      <c r="V168" s="56">
        <v>0</v>
      </c>
      <c r="W168" s="33">
        <f t="shared" si="175"/>
        <v>0</v>
      </c>
      <c r="X168" s="56">
        <v>0</v>
      </c>
      <c r="Y168" s="56">
        <v>0</v>
      </c>
      <c r="Z168" s="33">
        <f t="shared" si="176"/>
        <v>0</v>
      </c>
      <c r="AA168" s="33">
        <f t="shared" si="177"/>
        <v>0</v>
      </c>
      <c r="AB168" s="146">
        <v>11</v>
      </c>
      <c r="AC168" s="117">
        <f t="shared" si="183"/>
        <v>11</v>
      </c>
      <c r="AD168" s="10">
        <v>0</v>
      </c>
      <c r="AE168" s="10">
        <v>0</v>
      </c>
      <c r="AF168" s="117">
        <f t="shared" si="184"/>
        <v>0</v>
      </c>
      <c r="AG168" s="118">
        <f t="shared" si="185"/>
        <v>0</v>
      </c>
      <c r="AH168" s="80">
        <f t="shared" si="186"/>
        <v>11</v>
      </c>
      <c r="AI168" s="127">
        <f t="shared" si="199"/>
        <v>11</v>
      </c>
      <c r="AJ168" s="111">
        <v>0</v>
      </c>
      <c r="AK168" s="111">
        <v>0</v>
      </c>
      <c r="AL168" s="112">
        <f t="shared" ca="1" si="153"/>
        <v>0</v>
      </c>
      <c r="AM168" s="112">
        <f t="shared" si="154"/>
        <v>0</v>
      </c>
      <c r="AN168" s="80">
        <f t="shared" si="187"/>
        <v>11</v>
      </c>
      <c r="AO168" s="12">
        <f t="shared" si="188"/>
        <v>11</v>
      </c>
      <c r="AP168" s="10">
        <v>0</v>
      </c>
      <c r="AQ168" s="10">
        <v>0</v>
      </c>
      <c r="AR168" s="12">
        <f t="shared" si="189"/>
        <v>0</v>
      </c>
      <c r="AS168" s="12">
        <f t="shared" si="190"/>
        <v>0</v>
      </c>
      <c r="AT168" s="13">
        <f t="shared" si="191"/>
        <v>11</v>
      </c>
      <c r="AU168" s="12">
        <f t="shared" si="192"/>
        <v>11</v>
      </c>
      <c r="AV168" s="10">
        <v>0</v>
      </c>
      <c r="AW168" s="10">
        <v>0</v>
      </c>
      <c r="AX168" s="12">
        <f t="shared" si="193"/>
        <v>0</v>
      </c>
      <c r="AY168" s="12">
        <f t="shared" si="194"/>
        <v>0</v>
      </c>
      <c r="AZ168" s="32">
        <f t="shared" si="195"/>
        <v>11</v>
      </c>
      <c r="BA168" s="12">
        <f t="shared" si="196"/>
        <v>11</v>
      </c>
      <c r="BB168" s="10">
        <v>0</v>
      </c>
      <c r="BC168" s="10">
        <v>0</v>
      </c>
      <c r="BD168" s="12">
        <f t="shared" si="197"/>
        <v>0</v>
      </c>
      <c r="BE168" s="12">
        <f t="shared" si="198"/>
        <v>0</v>
      </c>
      <c r="BF168" s="48">
        <v>11</v>
      </c>
      <c r="BG168" s="12">
        <f t="shared" si="178"/>
        <v>11</v>
      </c>
      <c r="BH168" s="10">
        <v>0</v>
      </c>
      <c r="BI168" s="10">
        <v>0</v>
      </c>
      <c r="BJ168" s="33">
        <f t="shared" si="200"/>
        <v>0</v>
      </c>
      <c r="BK168" s="33">
        <f t="shared" si="201"/>
        <v>0</v>
      </c>
      <c r="BL168" s="48">
        <v>11</v>
      </c>
      <c r="BM168" s="12">
        <f t="shared" si="179"/>
        <v>11</v>
      </c>
      <c r="BN168" s="10">
        <v>0</v>
      </c>
      <c r="BO168" s="10">
        <v>0</v>
      </c>
      <c r="BP168" s="33">
        <f t="shared" si="202"/>
        <v>0</v>
      </c>
      <c r="BQ168" s="33">
        <f t="shared" si="203"/>
        <v>0</v>
      </c>
      <c r="BR168" s="48">
        <v>11</v>
      </c>
      <c r="BS168" s="12">
        <f t="shared" si="180"/>
        <v>11</v>
      </c>
      <c r="BT168" s="10">
        <v>0</v>
      </c>
      <c r="BU168" s="10">
        <v>0</v>
      </c>
      <c r="BV168" s="33">
        <f t="shared" si="204"/>
        <v>0</v>
      </c>
      <c r="BW168" s="33">
        <f t="shared" si="205"/>
        <v>0</v>
      </c>
      <c r="BX168" s="48">
        <v>11</v>
      </c>
      <c r="BY168" s="12">
        <f t="shared" si="181"/>
        <v>11</v>
      </c>
      <c r="BZ168" s="10">
        <v>0</v>
      </c>
      <c r="CA168" s="10">
        <v>0</v>
      </c>
      <c r="CB168" s="33">
        <f t="shared" si="206"/>
        <v>0</v>
      </c>
      <c r="CC168" s="33">
        <f t="shared" si="207"/>
        <v>0</v>
      </c>
      <c r="CD168" s="48">
        <v>11</v>
      </c>
      <c r="CE168" s="12">
        <f t="shared" si="182"/>
        <v>11</v>
      </c>
    </row>
    <row r="169" spans="1:83" ht="80.25" customHeight="1">
      <c r="A169" s="148" t="s">
        <v>548</v>
      </c>
      <c r="B169" s="155" t="s">
        <v>549</v>
      </c>
      <c r="C169" s="173" t="s">
        <v>550</v>
      </c>
      <c r="D169" s="156">
        <v>2013</v>
      </c>
      <c r="E169" s="154"/>
      <c r="F169" s="154"/>
      <c r="G169" s="154"/>
      <c r="H169" s="165">
        <v>103</v>
      </c>
      <c r="I169" s="159">
        <v>1</v>
      </c>
      <c r="J169" s="56">
        <v>0</v>
      </c>
      <c r="K169" s="33">
        <f t="shared" si="169"/>
        <v>0</v>
      </c>
      <c r="L169" s="10">
        <v>0</v>
      </c>
      <c r="M169" s="10">
        <v>0</v>
      </c>
      <c r="N169" s="33">
        <f t="shared" si="170"/>
        <v>0</v>
      </c>
      <c r="O169" s="33">
        <f t="shared" si="171"/>
        <v>0</v>
      </c>
      <c r="P169" s="56">
        <v>0</v>
      </c>
      <c r="Q169" s="33">
        <f t="shared" si="172"/>
        <v>0</v>
      </c>
      <c r="R169" s="56">
        <v>0</v>
      </c>
      <c r="S169" s="56">
        <v>0</v>
      </c>
      <c r="T169" s="33">
        <f t="shared" si="173"/>
        <v>0</v>
      </c>
      <c r="U169" s="33">
        <f t="shared" si="174"/>
        <v>0</v>
      </c>
      <c r="V169" s="56">
        <v>0</v>
      </c>
      <c r="W169" s="33">
        <f t="shared" si="175"/>
        <v>0</v>
      </c>
      <c r="X169" s="56">
        <v>0</v>
      </c>
      <c r="Y169" s="56">
        <v>0</v>
      </c>
      <c r="Z169" s="33">
        <f t="shared" si="176"/>
        <v>0</v>
      </c>
      <c r="AA169" s="33">
        <f t="shared" si="177"/>
        <v>0</v>
      </c>
      <c r="AB169" s="146">
        <v>103</v>
      </c>
      <c r="AC169" s="117">
        <f t="shared" si="183"/>
        <v>103</v>
      </c>
      <c r="AD169" s="10">
        <v>0</v>
      </c>
      <c r="AE169" s="10">
        <v>0</v>
      </c>
      <c r="AF169" s="117">
        <f t="shared" si="184"/>
        <v>0</v>
      </c>
      <c r="AG169" s="118">
        <f t="shared" si="185"/>
        <v>0</v>
      </c>
      <c r="AH169" s="80">
        <f t="shared" si="186"/>
        <v>103</v>
      </c>
      <c r="AI169" s="127">
        <f t="shared" si="199"/>
        <v>103</v>
      </c>
      <c r="AJ169" s="111">
        <v>0</v>
      </c>
      <c r="AK169" s="111">
        <v>0</v>
      </c>
      <c r="AL169" s="112">
        <f t="shared" ref="AL169:AL220" ca="1" si="208">AL169*I169</f>
        <v>0</v>
      </c>
      <c r="AM169" s="112">
        <f t="shared" ref="AM169:AM220" si="209">-AJ169*I169</f>
        <v>0</v>
      </c>
      <c r="AN169" s="80">
        <f t="shared" si="187"/>
        <v>103</v>
      </c>
      <c r="AO169" s="12">
        <f t="shared" si="188"/>
        <v>103</v>
      </c>
      <c r="AP169" s="10">
        <v>0</v>
      </c>
      <c r="AQ169" s="10">
        <v>0</v>
      </c>
      <c r="AR169" s="12">
        <f t="shared" si="189"/>
        <v>0</v>
      </c>
      <c r="AS169" s="12">
        <f t="shared" si="190"/>
        <v>0</v>
      </c>
      <c r="AT169" s="13">
        <f t="shared" si="191"/>
        <v>103</v>
      </c>
      <c r="AU169" s="12">
        <f t="shared" si="192"/>
        <v>103</v>
      </c>
      <c r="AV169" s="10">
        <v>0</v>
      </c>
      <c r="AW169" s="10">
        <v>0</v>
      </c>
      <c r="AX169" s="12">
        <f t="shared" si="193"/>
        <v>0</v>
      </c>
      <c r="AY169" s="12">
        <f t="shared" si="194"/>
        <v>0</v>
      </c>
      <c r="AZ169" s="32">
        <f t="shared" si="195"/>
        <v>103</v>
      </c>
      <c r="BA169" s="12">
        <f t="shared" si="196"/>
        <v>103</v>
      </c>
      <c r="BB169" s="10">
        <v>0</v>
      </c>
      <c r="BC169" s="10">
        <v>0</v>
      </c>
      <c r="BD169" s="12">
        <f t="shared" si="197"/>
        <v>0</v>
      </c>
      <c r="BE169" s="12">
        <f t="shared" si="198"/>
        <v>0</v>
      </c>
      <c r="BF169" s="48">
        <v>103</v>
      </c>
      <c r="BG169" s="12">
        <f t="shared" si="178"/>
        <v>103</v>
      </c>
      <c r="BH169" s="10">
        <v>0</v>
      </c>
      <c r="BI169" s="10">
        <v>0</v>
      </c>
      <c r="BJ169" s="33">
        <f t="shared" si="200"/>
        <v>0</v>
      </c>
      <c r="BK169" s="33">
        <f t="shared" si="201"/>
        <v>0</v>
      </c>
      <c r="BL169" s="48">
        <v>103</v>
      </c>
      <c r="BM169" s="12">
        <f t="shared" si="179"/>
        <v>103</v>
      </c>
      <c r="BN169" s="10">
        <v>0</v>
      </c>
      <c r="BO169" s="10">
        <v>0</v>
      </c>
      <c r="BP169" s="33">
        <f t="shared" si="202"/>
        <v>0</v>
      </c>
      <c r="BQ169" s="33">
        <f t="shared" si="203"/>
        <v>0</v>
      </c>
      <c r="BR169" s="48">
        <v>103</v>
      </c>
      <c r="BS169" s="12">
        <f t="shared" si="180"/>
        <v>103</v>
      </c>
      <c r="BT169" s="10">
        <v>0</v>
      </c>
      <c r="BU169" s="10">
        <v>0</v>
      </c>
      <c r="BV169" s="33">
        <f t="shared" si="204"/>
        <v>0</v>
      </c>
      <c r="BW169" s="33">
        <f t="shared" si="205"/>
        <v>0</v>
      </c>
      <c r="BX169" s="48">
        <v>103</v>
      </c>
      <c r="BY169" s="12">
        <f t="shared" si="181"/>
        <v>103</v>
      </c>
      <c r="BZ169" s="10">
        <v>0</v>
      </c>
      <c r="CA169" s="10">
        <v>0</v>
      </c>
      <c r="CB169" s="33">
        <f t="shared" si="206"/>
        <v>0</v>
      </c>
      <c r="CC169" s="33">
        <f t="shared" si="207"/>
        <v>0</v>
      </c>
      <c r="CD169" s="48">
        <v>103</v>
      </c>
      <c r="CE169" s="12">
        <f t="shared" si="182"/>
        <v>103</v>
      </c>
    </row>
    <row r="170" spans="1:83" ht="80.25" customHeight="1">
      <c r="A170" s="148" t="s">
        <v>551</v>
      </c>
      <c r="B170" s="155" t="s">
        <v>552</v>
      </c>
      <c r="C170" s="173" t="s">
        <v>553</v>
      </c>
      <c r="D170" s="156">
        <v>2010</v>
      </c>
      <c r="E170" s="154"/>
      <c r="F170" s="154"/>
      <c r="G170" s="154"/>
      <c r="H170" s="165">
        <v>11</v>
      </c>
      <c r="I170" s="159">
        <v>1</v>
      </c>
      <c r="J170" s="56">
        <v>0</v>
      </c>
      <c r="K170" s="33">
        <f t="shared" si="169"/>
        <v>0</v>
      </c>
      <c r="L170" s="10">
        <v>0</v>
      </c>
      <c r="M170" s="10">
        <v>0</v>
      </c>
      <c r="N170" s="33">
        <f t="shared" si="170"/>
        <v>0</v>
      </c>
      <c r="O170" s="33">
        <f t="shared" si="171"/>
        <v>0</v>
      </c>
      <c r="P170" s="56">
        <v>0</v>
      </c>
      <c r="Q170" s="33">
        <f t="shared" si="172"/>
        <v>0</v>
      </c>
      <c r="R170" s="56">
        <v>0</v>
      </c>
      <c r="S170" s="56">
        <v>0</v>
      </c>
      <c r="T170" s="33">
        <f t="shared" si="173"/>
        <v>0</v>
      </c>
      <c r="U170" s="33">
        <f t="shared" si="174"/>
        <v>0</v>
      </c>
      <c r="V170" s="56">
        <v>0</v>
      </c>
      <c r="W170" s="33">
        <f t="shared" si="175"/>
        <v>0</v>
      </c>
      <c r="X170" s="56">
        <v>0</v>
      </c>
      <c r="Y170" s="56">
        <v>0</v>
      </c>
      <c r="Z170" s="33">
        <f t="shared" si="176"/>
        <v>0</v>
      </c>
      <c r="AA170" s="33">
        <f t="shared" si="177"/>
        <v>0</v>
      </c>
      <c r="AB170" s="146">
        <v>11</v>
      </c>
      <c r="AC170" s="117">
        <f t="shared" si="183"/>
        <v>11</v>
      </c>
      <c r="AD170" s="10">
        <v>0</v>
      </c>
      <c r="AE170" s="10">
        <v>0</v>
      </c>
      <c r="AF170" s="117">
        <f t="shared" si="184"/>
        <v>0</v>
      </c>
      <c r="AG170" s="118">
        <f t="shared" si="185"/>
        <v>0</v>
      </c>
      <c r="AH170" s="80">
        <f t="shared" si="186"/>
        <v>11</v>
      </c>
      <c r="AI170" s="127">
        <f t="shared" ref="AI170:AI201" si="210">AH170*I170</f>
        <v>11</v>
      </c>
      <c r="AJ170" s="111">
        <v>0</v>
      </c>
      <c r="AK170" s="111">
        <v>0</v>
      </c>
      <c r="AL170" s="112">
        <f t="shared" ca="1" si="208"/>
        <v>0</v>
      </c>
      <c r="AM170" s="112">
        <f t="shared" si="209"/>
        <v>0</v>
      </c>
      <c r="AN170" s="80">
        <f t="shared" si="187"/>
        <v>11</v>
      </c>
      <c r="AO170" s="12">
        <f t="shared" si="188"/>
        <v>11</v>
      </c>
      <c r="AP170" s="10">
        <v>0</v>
      </c>
      <c r="AQ170" s="10">
        <v>0</v>
      </c>
      <c r="AR170" s="12">
        <f t="shared" si="189"/>
        <v>0</v>
      </c>
      <c r="AS170" s="12">
        <f t="shared" si="190"/>
        <v>0</v>
      </c>
      <c r="AT170" s="13">
        <f t="shared" si="191"/>
        <v>11</v>
      </c>
      <c r="AU170" s="12">
        <f t="shared" si="192"/>
        <v>11</v>
      </c>
      <c r="AV170" s="10">
        <v>0</v>
      </c>
      <c r="AW170" s="10">
        <v>0</v>
      </c>
      <c r="AX170" s="12">
        <f t="shared" si="193"/>
        <v>0</v>
      </c>
      <c r="AY170" s="12">
        <f t="shared" si="194"/>
        <v>0</v>
      </c>
      <c r="AZ170" s="32">
        <f t="shared" si="195"/>
        <v>11</v>
      </c>
      <c r="BA170" s="12">
        <f t="shared" si="196"/>
        <v>11</v>
      </c>
      <c r="BB170" s="10">
        <v>0</v>
      </c>
      <c r="BC170" s="10">
        <v>0</v>
      </c>
      <c r="BD170" s="12">
        <f t="shared" si="197"/>
        <v>0</v>
      </c>
      <c r="BE170" s="12">
        <f t="shared" si="198"/>
        <v>0</v>
      </c>
      <c r="BF170" s="48">
        <v>11</v>
      </c>
      <c r="BG170" s="12">
        <f t="shared" si="178"/>
        <v>11</v>
      </c>
      <c r="BH170" s="10">
        <v>0</v>
      </c>
      <c r="BI170" s="10">
        <v>0</v>
      </c>
      <c r="BJ170" s="33">
        <f t="shared" ref="BJ170:BJ201" si="211">BI170*AM170</f>
        <v>0</v>
      </c>
      <c r="BK170" s="33">
        <f t="shared" ref="BK170:BK201" si="212">BJ170*AN170</f>
        <v>0</v>
      </c>
      <c r="BL170" s="48">
        <v>11</v>
      </c>
      <c r="BM170" s="12">
        <f t="shared" si="179"/>
        <v>11</v>
      </c>
      <c r="BN170" s="10">
        <v>0</v>
      </c>
      <c r="BO170" s="10">
        <v>0</v>
      </c>
      <c r="BP170" s="33">
        <f t="shared" ref="BP170:BP201" si="213">BO170*AS170</f>
        <v>0</v>
      </c>
      <c r="BQ170" s="33">
        <f t="shared" ref="BQ170:BQ201" si="214">BP170*AT170</f>
        <v>0</v>
      </c>
      <c r="BR170" s="48">
        <v>11</v>
      </c>
      <c r="BS170" s="12">
        <f t="shared" si="180"/>
        <v>11</v>
      </c>
      <c r="BT170" s="10">
        <v>0</v>
      </c>
      <c r="BU170" s="10">
        <v>0</v>
      </c>
      <c r="BV170" s="33">
        <f t="shared" ref="BV170:BV201" si="215">BU170*AY170</f>
        <v>0</v>
      </c>
      <c r="BW170" s="33">
        <f t="shared" ref="BW170:BW201" si="216">BV170*AZ170</f>
        <v>0</v>
      </c>
      <c r="BX170" s="48">
        <v>11</v>
      </c>
      <c r="BY170" s="12">
        <f t="shared" si="181"/>
        <v>11</v>
      </c>
      <c r="BZ170" s="10">
        <v>0</v>
      </c>
      <c r="CA170" s="10">
        <v>0</v>
      </c>
      <c r="CB170" s="33">
        <f t="shared" ref="CB170:CB201" si="217">CA170*BE170</f>
        <v>0</v>
      </c>
      <c r="CC170" s="33">
        <f t="shared" ref="CC170:CC201" si="218">CB170*BF170</f>
        <v>0</v>
      </c>
      <c r="CD170" s="48">
        <v>11</v>
      </c>
      <c r="CE170" s="12">
        <f t="shared" si="182"/>
        <v>11</v>
      </c>
    </row>
    <row r="171" spans="1:83" ht="80.25" customHeight="1">
      <c r="A171" s="148" t="s">
        <v>554</v>
      </c>
      <c r="B171" s="155" t="s">
        <v>555</v>
      </c>
      <c r="C171" s="173" t="s">
        <v>556</v>
      </c>
      <c r="D171" s="156">
        <v>2014</v>
      </c>
      <c r="E171" s="154"/>
      <c r="F171" s="154"/>
      <c r="G171" s="154"/>
      <c r="H171" s="165">
        <v>10</v>
      </c>
      <c r="I171" s="159">
        <v>1</v>
      </c>
      <c r="J171" s="56">
        <v>0</v>
      </c>
      <c r="K171" s="33">
        <f t="shared" si="169"/>
        <v>0</v>
      </c>
      <c r="L171" s="10">
        <v>0</v>
      </c>
      <c r="M171" s="10">
        <v>0</v>
      </c>
      <c r="N171" s="33">
        <f t="shared" si="170"/>
        <v>0</v>
      </c>
      <c r="O171" s="33">
        <f t="shared" si="171"/>
        <v>0</v>
      </c>
      <c r="P171" s="56">
        <v>0</v>
      </c>
      <c r="Q171" s="33">
        <f t="shared" si="172"/>
        <v>0</v>
      </c>
      <c r="R171" s="56">
        <v>0</v>
      </c>
      <c r="S171" s="56">
        <v>0</v>
      </c>
      <c r="T171" s="33">
        <f t="shared" si="173"/>
        <v>0</v>
      </c>
      <c r="U171" s="33">
        <f t="shared" si="174"/>
        <v>0</v>
      </c>
      <c r="V171" s="56">
        <v>0</v>
      </c>
      <c r="W171" s="33">
        <f t="shared" si="175"/>
        <v>0</v>
      </c>
      <c r="X171" s="56">
        <v>0</v>
      </c>
      <c r="Y171" s="56">
        <v>0</v>
      </c>
      <c r="Z171" s="33">
        <f t="shared" si="176"/>
        <v>0</v>
      </c>
      <c r="AA171" s="33">
        <f t="shared" si="177"/>
        <v>0</v>
      </c>
      <c r="AB171" s="146">
        <v>10</v>
      </c>
      <c r="AC171" s="117">
        <f t="shared" si="183"/>
        <v>10</v>
      </c>
      <c r="AD171" s="10">
        <v>0</v>
      </c>
      <c r="AE171" s="10">
        <v>0</v>
      </c>
      <c r="AF171" s="117">
        <f t="shared" si="184"/>
        <v>0</v>
      </c>
      <c r="AG171" s="118">
        <f t="shared" si="185"/>
        <v>0</v>
      </c>
      <c r="AH171" s="80">
        <f t="shared" si="186"/>
        <v>10</v>
      </c>
      <c r="AI171" s="127">
        <f t="shared" si="210"/>
        <v>10</v>
      </c>
      <c r="AJ171" s="111">
        <v>0</v>
      </c>
      <c r="AK171" s="111">
        <v>0</v>
      </c>
      <c r="AL171" s="112">
        <f t="shared" ca="1" si="208"/>
        <v>0</v>
      </c>
      <c r="AM171" s="112">
        <f t="shared" si="209"/>
        <v>0</v>
      </c>
      <c r="AN171" s="80">
        <f t="shared" si="187"/>
        <v>10</v>
      </c>
      <c r="AO171" s="12">
        <f t="shared" si="188"/>
        <v>10</v>
      </c>
      <c r="AP171" s="10">
        <v>0</v>
      </c>
      <c r="AQ171" s="10">
        <v>0</v>
      </c>
      <c r="AR171" s="12">
        <f t="shared" si="189"/>
        <v>0</v>
      </c>
      <c r="AS171" s="12">
        <f t="shared" si="190"/>
        <v>0</v>
      </c>
      <c r="AT171" s="13">
        <f t="shared" si="191"/>
        <v>10</v>
      </c>
      <c r="AU171" s="12">
        <f t="shared" si="192"/>
        <v>10</v>
      </c>
      <c r="AV171" s="10">
        <v>0</v>
      </c>
      <c r="AW171" s="10">
        <v>0</v>
      </c>
      <c r="AX171" s="12">
        <f t="shared" si="193"/>
        <v>0</v>
      </c>
      <c r="AY171" s="12">
        <f t="shared" si="194"/>
        <v>0</v>
      </c>
      <c r="AZ171" s="32">
        <f t="shared" si="195"/>
        <v>10</v>
      </c>
      <c r="BA171" s="12">
        <f t="shared" si="196"/>
        <v>10</v>
      </c>
      <c r="BB171" s="10">
        <v>0</v>
      </c>
      <c r="BC171" s="10">
        <v>0</v>
      </c>
      <c r="BD171" s="12">
        <f t="shared" si="197"/>
        <v>0</v>
      </c>
      <c r="BE171" s="12">
        <f t="shared" si="198"/>
        <v>0</v>
      </c>
      <c r="BF171" s="48">
        <v>10</v>
      </c>
      <c r="BG171" s="12">
        <f t="shared" si="178"/>
        <v>10</v>
      </c>
      <c r="BH171" s="10">
        <v>0</v>
      </c>
      <c r="BI171" s="10">
        <v>0</v>
      </c>
      <c r="BJ171" s="33">
        <f t="shared" si="211"/>
        <v>0</v>
      </c>
      <c r="BK171" s="33">
        <f t="shared" si="212"/>
        <v>0</v>
      </c>
      <c r="BL171" s="48">
        <v>10</v>
      </c>
      <c r="BM171" s="12">
        <f t="shared" si="179"/>
        <v>10</v>
      </c>
      <c r="BN171" s="10">
        <v>0</v>
      </c>
      <c r="BO171" s="10">
        <v>0</v>
      </c>
      <c r="BP171" s="33">
        <f t="shared" si="213"/>
        <v>0</v>
      </c>
      <c r="BQ171" s="33">
        <f t="shared" si="214"/>
        <v>0</v>
      </c>
      <c r="BR171" s="48">
        <v>10</v>
      </c>
      <c r="BS171" s="12">
        <f t="shared" si="180"/>
        <v>10</v>
      </c>
      <c r="BT171" s="10">
        <v>0</v>
      </c>
      <c r="BU171" s="10">
        <v>0</v>
      </c>
      <c r="BV171" s="33">
        <f t="shared" si="215"/>
        <v>0</v>
      </c>
      <c r="BW171" s="33">
        <f t="shared" si="216"/>
        <v>0</v>
      </c>
      <c r="BX171" s="48">
        <v>10</v>
      </c>
      <c r="BY171" s="12">
        <f t="shared" si="181"/>
        <v>10</v>
      </c>
      <c r="BZ171" s="10">
        <v>0</v>
      </c>
      <c r="CA171" s="10">
        <v>0</v>
      </c>
      <c r="CB171" s="33">
        <f t="shared" si="217"/>
        <v>0</v>
      </c>
      <c r="CC171" s="33">
        <f t="shared" si="218"/>
        <v>0</v>
      </c>
      <c r="CD171" s="48">
        <v>10</v>
      </c>
      <c r="CE171" s="12">
        <f t="shared" si="182"/>
        <v>10</v>
      </c>
    </row>
    <row r="172" spans="1:83" ht="80.25" customHeight="1">
      <c r="A172" s="148" t="s">
        <v>557</v>
      </c>
      <c r="B172" s="155" t="s">
        <v>558</v>
      </c>
      <c r="C172" s="174" t="s">
        <v>559</v>
      </c>
      <c r="D172" s="157">
        <v>2013</v>
      </c>
      <c r="E172" s="154"/>
      <c r="F172" s="154"/>
      <c r="G172" s="154"/>
      <c r="H172" s="165">
        <v>5</v>
      </c>
      <c r="I172" s="159">
        <v>1</v>
      </c>
      <c r="J172" s="56">
        <v>0</v>
      </c>
      <c r="K172" s="33">
        <f t="shared" si="169"/>
        <v>0</v>
      </c>
      <c r="L172" s="10">
        <v>0</v>
      </c>
      <c r="M172" s="10">
        <v>0</v>
      </c>
      <c r="N172" s="33">
        <f t="shared" si="170"/>
        <v>0</v>
      </c>
      <c r="O172" s="33">
        <f t="shared" si="171"/>
        <v>0</v>
      </c>
      <c r="P172" s="56">
        <v>0</v>
      </c>
      <c r="Q172" s="33">
        <f t="shared" si="172"/>
        <v>0</v>
      </c>
      <c r="R172" s="56">
        <v>0</v>
      </c>
      <c r="S172" s="56">
        <v>0</v>
      </c>
      <c r="T172" s="33">
        <f t="shared" si="173"/>
        <v>0</v>
      </c>
      <c r="U172" s="33">
        <f t="shared" si="174"/>
        <v>0</v>
      </c>
      <c r="V172" s="56">
        <v>0</v>
      </c>
      <c r="W172" s="33">
        <f t="shared" si="175"/>
        <v>0</v>
      </c>
      <c r="X172" s="56">
        <v>0</v>
      </c>
      <c r="Y172" s="56">
        <v>0</v>
      </c>
      <c r="Z172" s="33">
        <f t="shared" si="176"/>
        <v>0</v>
      </c>
      <c r="AA172" s="33">
        <f t="shared" si="177"/>
        <v>0</v>
      </c>
      <c r="AB172" s="146">
        <v>5</v>
      </c>
      <c r="AC172" s="117">
        <f t="shared" si="183"/>
        <v>5</v>
      </c>
      <c r="AD172" s="10">
        <v>0</v>
      </c>
      <c r="AE172" s="10">
        <v>0</v>
      </c>
      <c r="AF172" s="117">
        <f t="shared" si="184"/>
        <v>0</v>
      </c>
      <c r="AG172" s="118">
        <f t="shared" si="185"/>
        <v>0</v>
      </c>
      <c r="AH172" s="80">
        <f t="shared" si="186"/>
        <v>5</v>
      </c>
      <c r="AI172" s="127">
        <f t="shared" si="210"/>
        <v>5</v>
      </c>
      <c r="AJ172" s="111">
        <v>0</v>
      </c>
      <c r="AK172" s="111">
        <v>0</v>
      </c>
      <c r="AL172" s="112">
        <f t="shared" ca="1" si="208"/>
        <v>0</v>
      </c>
      <c r="AM172" s="112">
        <f t="shared" si="209"/>
        <v>0</v>
      </c>
      <c r="AN172" s="80">
        <f t="shared" si="187"/>
        <v>5</v>
      </c>
      <c r="AO172" s="12">
        <f t="shared" si="188"/>
        <v>5</v>
      </c>
      <c r="AP172" s="10">
        <v>0</v>
      </c>
      <c r="AQ172" s="10">
        <v>0</v>
      </c>
      <c r="AR172" s="12">
        <f t="shared" si="189"/>
        <v>0</v>
      </c>
      <c r="AS172" s="12">
        <f t="shared" si="190"/>
        <v>0</v>
      </c>
      <c r="AT172" s="13">
        <f t="shared" si="191"/>
        <v>5</v>
      </c>
      <c r="AU172" s="12">
        <f t="shared" si="192"/>
        <v>5</v>
      </c>
      <c r="AV172" s="10">
        <v>0</v>
      </c>
      <c r="AW172" s="10">
        <v>0</v>
      </c>
      <c r="AX172" s="12">
        <f t="shared" si="193"/>
        <v>0</v>
      </c>
      <c r="AY172" s="12">
        <f t="shared" si="194"/>
        <v>0</v>
      </c>
      <c r="AZ172" s="32">
        <f t="shared" si="195"/>
        <v>5</v>
      </c>
      <c r="BA172" s="12">
        <f t="shared" si="196"/>
        <v>5</v>
      </c>
      <c r="BB172" s="10">
        <v>0</v>
      </c>
      <c r="BC172" s="10">
        <v>0</v>
      </c>
      <c r="BD172" s="12">
        <f t="shared" si="197"/>
        <v>0</v>
      </c>
      <c r="BE172" s="12">
        <f t="shared" si="198"/>
        <v>0</v>
      </c>
      <c r="BF172" s="48">
        <v>5</v>
      </c>
      <c r="BG172" s="12">
        <f t="shared" si="178"/>
        <v>5</v>
      </c>
      <c r="BH172" s="10">
        <v>0</v>
      </c>
      <c r="BI172" s="10">
        <v>0</v>
      </c>
      <c r="BJ172" s="33">
        <f t="shared" si="211"/>
        <v>0</v>
      </c>
      <c r="BK172" s="33">
        <f t="shared" si="212"/>
        <v>0</v>
      </c>
      <c r="BL172" s="48">
        <v>5</v>
      </c>
      <c r="BM172" s="12">
        <f t="shared" si="179"/>
        <v>5</v>
      </c>
      <c r="BN172" s="10">
        <v>0</v>
      </c>
      <c r="BO172" s="10">
        <v>0</v>
      </c>
      <c r="BP172" s="33">
        <f t="shared" si="213"/>
        <v>0</v>
      </c>
      <c r="BQ172" s="33">
        <f t="shared" si="214"/>
        <v>0</v>
      </c>
      <c r="BR172" s="48">
        <v>5</v>
      </c>
      <c r="BS172" s="12">
        <f t="shared" si="180"/>
        <v>5</v>
      </c>
      <c r="BT172" s="10">
        <v>0</v>
      </c>
      <c r="BU172" s="10">
        <v>0</v>
      </c>
      <c r="BV172" s="33">
        <f t="shared" si="215"/>
        <v>0</v>
      </c>
      <c r="BW172" s="33">
        <f t="shared" si="216"/>
        <v>0</v>
      </c>
      <c r="BX172" s="48">
        <v>5</v>
      </c>
      <c r="BY172" s="12">
        <f t="shared" si="181"/>
        <v>5</v>
      </c>
      <c r="BZ172" s="10">
        <v>0</v>
      </c>
      <c r="CA172" s="10">
        <v>0</v>
      </c>
      <c r="CB172" s="33">
        <f t="shared" si="217"/>
        <v>0</v>
      </c>
      <c r="CC172" s="33">
        <f t="shared" si="218"/>
        <v>0</v>
      </c>
      <c r="CD172" s="48">
        <v>5</v>
      </c>
      <c r="CE172" s="12">
        <f t="shared" si="182"/>
        <v>5</v>
      </c>
    </row>
    <row r="173" spans="1:83" ht="80.25" customHeight="1">
      <c r="A173" s="148" t="s">
        <v>185</v>
      </c>
      <c r="B173" s="155" t="s">
        <v>560</v>
      </c>
      <c r="C173" s="173" t="s">
        <v>561</v>
      </c>
      <c r="D173" s="156">
        <v>2011</v>
      </c>
      <c r="E173" s="154"/>
      <c r="F173" s="154"/>
      <c r="G173" s="154"/>
      <c r="H173" s="165">
        <v>91</v>
      </c>
      <c r="I173" s="159">
        <v>1</v>
      </c>
      <c r="J173" s="56">
        <v>0</v>
      </c>
      <c r="K173" s="33">
        <f t="shared" si="169"/>
        <v>0</v>
      </c>
      <c r="L173" s="10">
        <v>0</v>
      </c>
      <c r="M173" s="10">
        <v>0</v>
      </c>
      <c r="N173" s="33">
        <f t="shared" si="170"/>
        <v>0</v>
      </c>
      <c r="O173" s="33">
        <f t="shared" si="171"/>
        <v>0</v>
      </c>
      <c r="P173" s="56">
        <v>0</v>
      </c>
      <c r="Q173" s="33">
        <f t="shared" si="172"/>
        <v>0</v>
      </c>
      <c r="R173" s="56">
        <v>0</v>
      </c>
      <c r="S173" s="56">
        <v>0</v>
      </c>
      <c r="T173" s="33">
        <f t="shared" si="173"/>
        <v>0</v>
      </c>
      <c r="U173" s="33">
        <f t="shared" si="174"/>
        <v>0</v>
      </c>
      <c r="V173" s="56">
        <v>0</v>
      </c>
      <c r="W173" s="33">
        <f t="shared" si="175"/>
        <v>0</v>
      </c>
      <c r="X173" s="56">
        <v>0</v>
      </c>
      <c r="Y173" s="56">
        <v>0</v>
      </c>
      <c r="Z173" s="33">
        <f t="shared" si="176"/>
        <v>0</v>
      </c>
      <c r="AA173" s="33">
        <f t="shared" si="177"/>
        <v>0</v>
      </c>
      <c r="AB173" s="146">
        <v>91</v>
      </c>
      <c r="AC173" s="117">
        <f t="shared" si="183"/>
        <v>91</v>
      </c>
      <c r="AD173" s="10">
        <v>0</v>
      </c>
      <c r="AE173" s="10">
        <v>0</v>
      </c>
      <c r="AF173" s="117">
        <f t="shared" si="184"/>
        <v>0</v>
      </c>
      <c r="AG173" s="118">
        <f t="shared" si="185"/>
        <v>0</v>
      </c>
      <c r="AH173" s="80">
        <f t="shared" si="186"/>
        <v>91</v>
      </c>
      <c r="AI173" s="127">
        <f t="shared" si="210"/>
        <v>91</v>
      </c>
      <c r="AJ173" s="111">
        <v>0</v>
      </c>
      <c r="AK173" s="111">
        <v>0</v>
      </c>
      <c r="AL173" s="112">
        <f t="shared" ca="1" si="208"/>
        <v>0</v>
      </c>
      <c r="AM173" s="112">
        <f t="shared" si="209"/>
        <v>0</v>
      </c>
      <c r="AN173" s="80">
        <f t="shared" si="187"/>
        <v>91</v>
      </c>
      <c r="AO173" s="12">
        <f t="shared" si="188"/>
        <v>91</v>
      </c>
      <c r="AP173" s="10">
        <v>0</v>
      </c>
      <c r="AQ173" s="10">
        <v>0</v>
      </c>
      <c r="AR173" s="12">
        <f t="shared" si="189"/>
        <v>0</v>
      </c>
      <c r="AS173" s="12">
        <f t="shared" si="190"/>
        <v>0</v>
      </c>
      <c r="AT173" s="13">
        <f t="shared" si="191"/>
        <v>91</v>
      </c>
      <c r="AU173" s="12">
        <f t="shared" si="192"/>
        <v>91</v>
      </c>
      <c r="AV173" s="10">
        <v>0</v>
      </c>
      <c r="AW173" s="10">
        <v>0</v>
      </c>
      <c r="AX173" s="12">
        <f t="shared" si="193"/>
        <v>0</v>
      </c>
      <c r="AY173" s="12">
        <f t="shared" si="194"/>
        <v>0</v>
      </c>
      <c r="AZ173" s="32">
        <f t="shared" si="195"/>
        <v>91</v>
      </c>
      <c r="BA173" s="12">
        <f t="shared" si="196"/>
        <v>91</v>
      </c>
      <c r="BB173" s="10">
        <v>0</v>
      </c>
      <c r="BC173" s="10">
        <v>0</v>
      </c>
      <c r="BD173" s="12">
        <f t="shared" si="197"/>
        <v>0</v>
      </c>
      <c r="BE173" s="12">
        <f t="shared" si="198"/>
        <v>0</v>
      </c>
      <c r="BF173" s="48">
        <v>91</v>
      </c>
      <c r="BG173" s="12">
        <f t="shared" si="178"/>
        <v>91</v>
      </c>
      <c r="BH173" s="10">
        <v>0</v>
      </c>
      <c r="BI173" s="10">
        <v>0</v>
      </c>
      <c r="BJ173" s="33">
        <f t="shared" si="211"/>
        <v>0</v>
      </c>
      <c r="BK173" s="33">
        <f t="shared" si="212"/>
        <v>0</v>
      </c>
      <c r="BL173" s="48">
        <v>91</v>
      </c>
      <c r="BM173" s="12">
        <f t="shared" si="179"/>
        <v>91</v>
      </c>
      <c r="BN173" s="10">
        <v>0</v>
      </c>
      <c r="BO173" s="10">
        <v>0</v>
      </c>
      <c r="BP173" s="33">
        <f t="shared" si="213"/>
        <v>0</v>
      </c>
      <c r="BQ173" s="33">
        <f t="shared" si="214"/>
        <v>0</v>
      </c>
      <c r="BR173" s="48">
        <v>91</v>
      </c>
      <c r="BS173" s="12">
        <f t="shared" si="180"/>
        <v>91</v>
      </c>
      <c r="BT173" s="10">
        <v>0</v>
      </c>
      <c r="BU173" s="10">
        <v>0</v>
      </c>
      <c r="BV173" s="33">
        <f t="shared" si="215"/>
        <v>0</v>
      </c>
      <c r="BW173" s="33">
        <f t="shared" si="216"/>
        <v>0</v>
      </c>
      <c r="BX173" s="48">
        <v>91</v>
      </c>
      <c r="BY173" s="12">
        <f t="shared" si="181"/>
        <v>91</v>
      </c>
      <c r="BZ173" s="10">
        <v>0</v>
      </c>
      <c r="CA173" s="10">
        <v>0</v>
      </c>
      <c r="CB173" s="33">
        <f t="shared" si="217"/>
        <v>0</v>
      </c>
      <c r="CC173" s="33">
        <f t="shared" si="218"/>
        <v>0</v>
      </c>
      <c r="CD173" s="48">
        <v>91</v>
      </c>
      <c r="CE173" s="12">
        <f t="shared" si="182"/>
        <v>91</v>
      </c>
    </row>
    <row r="174" spans="1:83" ht="80.25" customHeight="1">
      <c r="A174" s="148" t="s">
        <v>562</v>
      </c>
      <c r="B174" s="155" t="s">
        <v>563</v>
      </c>
      <c r="C174" s="173" t="s">
        <v>564</v>
      </c>
      <c r="D174" s="155" t="s">
        <v>565</v>
      </c>
      <c r="E174" s="154"/>
      <c r="F174" s="154"/>
      <c r="G174" s="154"/>
      <c r="H174" s="165">
        <v>228</v>
      </c>
      <c r="I174" s="159">
        <v>1</v>
      </c>
      <c r="J174" s="56">
        <v>0</v>
      </c>
      <c r="K174" s="33">
        <f t="shared" si="169"/>
        <v>0</v>
      </c>
      <c r="L174" s="10">
        <v>0</v>
      </c>
      <c r="M174" s="10">
        <v>0</v>
      </c>
      <c r="N174" s="33">
        <f t="shared" si="170"/>
        <v>0</v>
      </c>
      <c r="O174" s="33">
        <f t="shared" si="171"/>
        <v>0</v>
      </c>
      <c r="P174" s="56">
        <v>0</v>
      </c>
      <c r="Q174" s="33">
        <f t="shared" si="172"/>
        <v>0</v>
      </c>
      <c r="R174" s="56">
        <v>0</v>
      </c>
      <c r="S174" s="56">
        <v>0</v>
      </c>
      <c r="T174" s="33">
        <f t="shared" si="173"/>
        <v>0</v>
      </c>
      <c r="U174" s="33">
        <f t="shared" si="174"/>
        <v>0</v>
      </c>
      <c r="V174" s="56">
        <v>0</v>
      </c>
      <c r="W174" s="33">
        <f t="shared" si="175"/>
        <v>0</v>
      </c>
      <c r="X174" s="56">
        <v>0</v>
      </c>
      <c r="Y174" s="56">
        <v>0</v>
      </c>
      <c r="Z174" s="33">
        <f t="shared" si="176"/>
        <v>0</v>
      </c>
      <c r="AA174" s="33">
        <f t="shared" si="177"/>
        <v>0</v>
      </c>
      <c r="AB174" s="146">
        <v>228</v>
      </c>
      <c r="AC174" s="117">
        <f t="shared" si="183"/>
        <v>228</v>
      </c>
      <c r="AD174" s="10">
        <v>0</v>
      </c>
      <c r="AE174" s="10">
        <v>0</v>
      </c>
      <c r="AF174" s="117">
        <f t="shared" si="184"/>
        <v>0</v>
      </c>
      <c r="AG174" s="118">
        <f t="shared" si="185"/>
        <v>0</v>
      </c>
      <c r="AH174" s="80">
        <f t="shared" si="186"/>
        <v>228</v>
      </c>
      <c r="AI174" s="127">
        <f t="shared" si="210"/>
        <v>228</v>
      </c>
      <c r="AJ174" s="111">
        <v>0</v>
      </c>
      <c r="AK174" s="111">
        <v>0</v>
      </c>
      <c r="AL174" s="112">
        <f t="shared" ca="1" si="208"/>
        <v>0</v>
      </c>
      <c r="AM174" s="112">
        <f t="shared" si="209"/>
        <v>0</v>
      </c>
      <c r="AN174" s="80">
        <f t="shared" si="187"/>
        <v>228</v>
      </c>
      <c r="AO174" s="12">
        <f t="shared" si="188"/>
        <v>228</v>
      </c>
      <c r="AP174" s="10">
        <v>0</v>
      </c>
      <c r="AQ174" s="10">
        <v>0</v>
      </c>
      <c r="AR174" s="12">
        <f t="shared" si="189"/>
        <v>0</v>
      </c>
      <c r="AS174" s="12">
        <f t="shared" si="190"/>
        <v>0</v>
      </c>
      <c r="AT174" s="13">
        <f t="shared" si="191"/>
        <v>228</v>
      </c>
      <c r="AU174" s="12">
        <f t="shared" si="192"/>
        <v>228</v>
      </c>
      <c r="AV174" s="10">
        <v>0</v>
      </c>
      <c r="AW174" s="10">
        <v>0</v>
      </c>
      <c r="AX174" s="12">
        <f t="shared" si="193"/>
        <v>0</v>
      </c>
      <c r="AY174" s="12">
        <f t="shared" si="194"/>
        <v>0</v>
      </c>
      <c r="AZ174" s="32">
        <f t="shared" si="195"/>
        <v>228</v>
      </c>
      <c r="BA174" s="12">
        <f t="shared" si="196"/>
        <v>228</v>
      </c>
      <c r="BB174" s="10">
        <v>0</v>
      </c>
      <c r="BC174" s="10">
        <v>0</v>
      </c>
      <c r="BD174" s="12">
        <f t="shared" si="197"/>
        <v>0</v>
      </c>
      <c r="BE174" s="12">
        <f t="shared" si="198"/>
        <v>0</v>
      </c>
      <c r="BF174" s="48">
        <v>228</v>
      </c>
      <c r="BG174" s="12">
        <f t="shared" si="178"/>
        <v>228</v>
      </c>
      <c r="BH174" s="10">
        <v>0</v>
      </c>
      <c r="BI174" s="10">
        <v>0</v>
      </c>
      <c r="BJ174" s="33">
        <f t="shared" si="211"/>
        <v>0</v>
      </c>
      <c r="BK174" s="33">
        <f t="shared" si="212"/>
        <v>0</v>
      </c>
      <c r="BL174" s="48">
        <v>228</v>
      </c>
      <c r="BM174" s="12">
        <f t="shared" si="179"/>
        <v>228</v>
      </c>
      <c r="BN174" s="10">
        <v>0</v>
      </c>
      <c r="BO174" s="10">
        <v>0</v>
      </c>
      <c r="BP174" s="33">
        <f t="shared" si="213"/>
        <v>0</v>
      </c>
      <c r="BQ174" s="33">
        <f t="shared" si="214"/>
        <v>0</v>
      </c>
      <c r="BR174" s="48">
        <v>228</v>
      </c>
      <c r="BS174" s="12">
        <f t="shared" si="180"/>
        <v>228</v>
      </c>
      <c r="BT174" s="10">
        <v>0</v>
      </c>
      <c r="BU174" s="10">
        <v>0</v>
      </c>
      <c r="BV174" s="33">
        <f t="shared" si="215"/>
        <v>0</v>
      </c>
      <c r="BW174" s="33">
        <f t="shared" si="216"/>
        <v>0</v>
      </c>
      <c r="BX174" s="48">
        <v>228</v>
      </c>
      <c r="BY174" s="12">
        <f t="shared" si="181"/>
        <v>228</v>
      </c>
      <c r="BZ174" s="10">
        <v>0</v>
      </c>
      <c r="CA174" s="10">
        <v>0</v>
      </c>
      <c r="CB174" s="33">
        <f t="shared" si="217"/>
        <v>0</v>
      </c>
      <c r="CC174" s="33">
        <f t="shared" si="218"/>
        <v>0</v>
      </c>
      <c r="CD174" s="48">
        <v>228</v>
      </c>
      <c r="CE174" s="12">
        <f t="shared" si="182"/>
        <v>228</v>
      </c>
    </row>
    <row r="175" spans="1:83" ht="80.25" customHeight="1">
      <c r="A175" s="148" t="s">
        <v>566</v>
      </c>
      <c r="B175" s="155" t="s">
        <v>567</v>
      </c>
      <c r="C175" s="173" t="s">
        <v>568</v>
      </c>
      <c r="D175" s="156">
        <v>2010</v>
      </c>
      <c r="E175" s="154"/>
      <c r="F175" s="154"/>
      <c r="G175" s="154"/>
      <c r="H175" s="165">
        <v>10</v>
      </c>
      <c r="I175" s="159">
        <v>1</v>
      </c>
      <c r="J175" s="56">
        <v>0</v>
      </c>
      <c r="K175" s="33">
        <f t="shared" si="169"/>
        <v>0</v>
      </c>
      <c r="L175" s="10">
        <v>0</v>
      </c>
      <c r="M175" s="10">
        <v>0</v>
      </c>
      <c r="N175" s="33">
        <f t="shared" si="170"/>
        <v>0</v>
      </c>
      <c r="O175" s="33">
        <f t="shared" si="171"/>
        <v>0</v>
      </c>
      <c r="P175" s="56">
        <v>0</v>
      </c>
      <c r="Q175" s="33">
        <f t="shared" si="172"/>
        <v>0</v>
      </c>
      <c r="R175" s="56">
        <v>0</v>
      </c>
      <c r="S175" s="56">
        <v>0</v>
      </c>
      <c r="T175" s="33">
        <f t="shared" si="173"/>
        <v>0</v>
      </c>
      <c r="U175" s="33">
        <f t="shared" si="174"/>
        <v>0</v>
      </c>
      <c r="V175" s="56">
        <v>0</v>
      </c>
      <c r="W175" s="33">
        <f t="shared" si="175"/>
        <v>0</v>
      </c>
      <c r="X175" s="56">
        <v>0</v>
      </c>
      <c r="Y175" s="56">
        <v>0</v>
      </c>
      <c r="Z175" s="33">
        <f t="shared" si="176"/>
        <v>0</v>
      </c>
      <c r="AA175" s="33">
        <f t="shared" si="177"/>
        <v>0</v>
      </c>
      <c r="AB175" s="146">
        <v>10</v>
      </c>
      <c r="AC175" s="117">
        <f t="shared" si="183"/>
        <v>10</v>
      </c>
      <c r="AD175" s="10">
        <v>0</v>
      </c>
      <c r="AE175" s="10">
        <v>0</v>
      </c>
      <c r="AF175" s="117">
        <f t="shared" si="184"/>
        <v>0</v>
      </c>
      <c r="AG175" s="118">
        <f t="shared" si="185"/>
        <v>0</v>
      </c>
      <c r="AH175" s="80">
        <f t="shared" si="186"/>
        <v>10</v>
      </c>
      <c r="AI175" s="127">
        <f t="shared" si="210"/>
        <v>10</v>
      </c>
      <c r="AJ175" s="111">
        <v>0</v>
      </c>
      <c r="AK175" s="111">
        <v>0</v>
      </c>
      <c r="AL175" s="112">
        <f t="shared" ca="1" si="208"/>
        <v>0</v>
      </c>
      <c r="AM175" s="112">
        <f t="shared" si="209"/>
        <v>0</v>
      </c>
      <c r="AN175" s="80">
        <f t="shared" si="187"/>
        <v>10</v>
      </c>
      <c r="AO175" s="12">
        <f t="shared" si="188"/>
        <v>10</v>
      </c>
      <c r="AP175" s="10">
        <v>0</v>
      </c>
      <c r="AQ175" s="10">
        <v>0</v>
      </c>
      <c r="AR175" s="12">
        <f t="shared" si="189"/>
        <v>0</v>
      </c>
      <c r="AS175" s="12">
        <f t="shared" si="190"/>
        <v>0</v>
      </c>
      <c r="AT175" s="13">
        <f t="shared" si="191"/>
        <v>10</v>
      </c>
      <c r="AU175" s="12">
        <f t="shared" si="192"/>
        <v>10</v>
      </c>
      <c r="AV175" s="10">
        <v>0</v>
      </c>
      <c r="AW175" s="10">
        <v>0</v>
      </c>
      <c r="AX175" s="12">
        <f t="shared" si="193"/>
        <v>0</v>
      </c>
      <c r="AY175" s="12">
        <f t="shared" si="194"/>
        <v>0</v>
      </c>
      <c r="AZ175" s="32">
        <f t="shared" si="195"/>
        <v>10</v>
      </c>
      <c r="BA175" s="12">
        <f t="shared" si="196"/>
        <v>10</v>
      </c>
      <c r="BB175" s="10">
        <v>0</v>
      </c>
      <c r="BC175" s="10">
        <v>0</v>
      </c>
      <c r="BD175" s="12">
        <f t="shared" si="197"/>
        <v>0</v>
      </c>
      <c r="BE175" s="12">
        <f t="shared" si="198"/>
        <v>0</v>
      </c>
      <c r="BF175" s="48">
        <v>10</v>
      </c>
      <c r="BG175" s="12">
        <f t="shared" si="178"/>
        <v>10</v>
      </c>
      <c r="BH175" s="10">
        <v>0</v>
      </c>
      <c r="BI175" s="10">
        <v>0</v>
      </c>
      <c r="BJ175" s="33">
        <f t="shared" si="211"/>
        <v>0</v>
      </c>
      <c r="BK175" s="33">
        <f t="shared" si="212"/>
        <v>0</v>
      </c>
      <c r="BL175" s="48">
        <v>10</v>
      </c>
      <c r="BM175" s="12">
        <f t="shared" si="179"/>
        <v>10</v>
      </c>
      <c r="BN175" s="10">
        <v>0</v>
      </c>
      <c r="BO175" s="10">
        <v>0</v>
      </c>
      <c r="BP175" s="33">
        <f t="shared" si="213"/>
        <v>0</v>
      </c>
      <c r="BQ175" s="33">
        <f t="shared" si="214"/>
        <v>0</v>
      </c>
      <c r="BR175" s="48">
        <v>10</v>
      </c>
      <c r="BS175" s="12">
        <f t="shared" si="180"/>
        <v>10</v>
      </c>
      <c r="BT175" s="10">
        <v>0</v>
      </c>
      <c r="BU175" s="10">
        <v>0</v>
      </c>
      <c r="BV175" s="33">
        <f t="shared" si="215"/>
        <v>0</v>
      </c>
      <c r="BW175" s="33">
        <f t="shared" si="216"/>
        <v>0</v>
      </c>
      <c r="BX175" s="48">
        <v>10</v>
      </c>
      <c r="BY175" s="12">
        <f t="shared" si="181"/>
        <v>10</v>
      </c>
      <c r="BZ175" s="10">
        <v>0</v>
      </c>
      <c r="CA175" s="10">
        <v>0</v>
      </c>
      <c r="CB175" s="33">
        <f t="shared" si="217"/>
        <v>0</v>
      </c>
      <c r="CC175" s="33">
        <f t="shared" si="218"/>
        <v>0</v>
      </c>
      <c r="CD175" s="48">
        <v>10</v>
      </c>
      <c r="CE175" s="12">
        <f t="shared" si="182"/>
        <v>10</v>
      </c>
    </row>
    <row r="176" spans="1:83" ht="80.25" customHeight="1">
      <c r="A176" s="148" t="s">
        <v>569</v>
      </c>
      <c r="B176" s="155" t="s">
        <v>570</v>
      </c>
      <c r="C176" s="173" t="s">
        <v>571</v>
      </c>
      <c r="D176" s="156">
        <v>2013</v>
      </c>
      <c r="E176" s="154"/>
      <c r="F176" s="154"/>
      <c r="G176" s="154"/>
      <c r="H176" s="165">
        <v>1</v>
      </c>
      <c r="I176" s="159">
        <v>1</v>
      </c>
      <c r="J176" s="56">
        <v>0</v>
      </c>
      <c r="K176" s="33">
        <f t="shared" si="169"/>
        <v>0</v>
      </c>
      <c r="L176" s="10">
        <v>0</v>
      </c>
      <c r="M176" s="10">
        <v>0</v>
      </c>
      <c r="N176" s="33">
        <f t="shared" si="170"/>
        <v>0</v>
      </c>
      <c r="O176" s="33">
        <f t="shared" si="171"/>
        <v>0</v>
      </c>
      <c r="P176" s="56">
        <v>0</v>
      </c>
      <c r="Q176" s="33">
        <f t="shared" si="172"/>
        <v>0</v>
      </c>
      <c r="R176" s="56">
        <v>0</v>
      </c>
      <c r="S176" s="56">
        <v>0</v>
      </c>
      <c r="T176" s="33">
        <f t="shared" si="173"/>
        <v>0</v>
      </c>
      <c r="U176" s="33">
        <f t="shared" si="174"/>
        <v>0</v>
      </c>
      <c r="V176" s="56">
        <v>0</v>
      </c>
      <c r="W176" s="33">
        <f t="shared" si="175"/>
        <v>0</v>
      </c>
      <c r="X176" s="56">
        <v>0</v>
      </c>
      <c r="Y176" s="56">
        <v>0</v>
      </c>
      <c r="Z176" s="33">
        <f t="shared" si="176"/>
        <v>0</v>
      </c>
      <c r="AA176" s="33">
        <f t="shared" si="177"/>
        <v>0</v>
      </c>
      <c r="AB176" s="146">
        <v>1</v>
      </c>
      <c r="AC176" s="117">
        <f t="shared" si="183"/>
        <v>1</v>
      </c>
      <c r="AD176" s="10">
        <v>0</v>
      </c>
      <c r="AE176" s="10">
        <v>0</v>
      </c>
      <c r="AF176" s="117">
        <f t="shared" si="184"/>
        <v>0</v>
      </c>
      <c r="AG176" s="118">
        <f t="shared" si="185"/>
        <v>0</v>
      </c>
      <c r="AH176" s="80">
        <f t="shared" si="186"/>
        <v>1</v>
      </c>
      <c r="AI176" s="127">
        <f t="shared" si="210"/>
        <v>1</v>
      </c>
      <c r="AJ176" s="111">
        <v>0</v>
      </c>
      <c r="AK176" s="111">
        <v>0</v>
      </c>
      <c r="AL176" s="112">
        <f t="shared" ca="1" si="208"/>
        <v>0</v>
      </c>
      <c r="AM176" s="112">
        <f t="shared" si="209"/>
        <v>0</v>
      </c>
      <c r="AN176" s="80">
        <f t="shared" si="187"/>
        <v>1</v>
      </c>
      <c r="AO176" s="12">
        <f t="shared" si="188"/>
        <v>1</v>
      </c>
      <c r="AP176" s="10">
        <v>0</v>
      </c>
      <c r="AQ176" s="10">
        <v>0</v>
      </c>
      <c r="AR176" s="12">
        <f t="shared" si="189"/>
        <v>0</v>
      </c>
      <c r="AS176" s="12">
        <f t="shared" si="190"/>
        <v>0</v>
      </c>
      <c r="AT176" s="13">
        <f t="shared" si="191"/>
        <v>1</v>
      </c>
      <c r="AU176" s="12">
        <f t="shared" si="192"/>
        <v>1</v>
      </c>
      <c r="AV176" s="10">
        <v>0</v>
      </c>
      <c r="AW176" s="10">
        <v>0</v>
      </c>
      <c r="AX176" s="12">
        <f t="shared" si="193"/>
        <v>0</v>
      </c>
      <c r="AY176" s="12">
        <f t="shared" si="194"/>
        <v>0</v>
      </c>
      <c r="AZ176" s="32">
        <f t="shared" si="195"/>
        <v>1</v>
      </c>
      <c r="BA176" s="12">
        <f t="shared" si="196"/>
        <v>1</v>
      </c>
      <c r="BB176" s="10">
        <v>0</v>
      </c>
      <c r="BC176" s="10">
        <v>0</v>
      </c>
      <c r="BD176" s="12">
        <f t="shared" si="197"/>
        <v>0</v>
      </c>
      <c r="BE176" s="12">
        <f t="shared" si="198"/>
        <v>0</v>
      </c>
      <c r="BF176" s="48">
        <v>1</v>
      </c>
      <c r="BG176" s="12">
        <f t="shared" si="178"/>
        <v>1</v>
      </c>
      <c r="BH176" s="10">
        <v>0</v>
      </c>
      <c r="BI176" s="10">
        <v>0</v>
      </c>
      <c r="BJ176" s="33">
        <f t="shared" si="211"/>
        <v>0</v>
      </c>
      <c r="BK176" s="33">
        <f t="shared" si="212"/>
        <v>0</v>
      </c>
      <c r="BL176" s="48">
        <v>1</v>
      </c>
      <c r="BM176" s="12">
        <f t="shared" si="179"/>
        <v>1</v>
      </c>
      <c r="BN176" s="10">
        <v>0</v>
      </c>
      <c r="BO176" s="10">
        <v>0</v>
      </c>
      <c r="BP176" s="33">
        <f t="shared" si="213"/>
        <v>0</v>
      </c>
      <c r="BQ176" s="33">
        <f t="shared" si="214"/>
        <v>0</v>
      </c>
      <c r="BR176" s="48">
        <v>1</v>
      </c>
      <c r="BS176" s="12">
        <f t="shared" si="180"/>
        <v>1</v>
      </c>
      <c r="BT176" s="10">
        <v>0</v>
      </c>
      <c r="BU176" s="10">
        <v>0</v>
      </c>
      <c r="BV176" s="33">
        <f t="shared" si="215"/>
        <v>0</v>
      </c>
      <c r="BW176" s="33">
        <f t="shared" si="216"/>
        <v>0</v>
      </c>
      <c r="BX176" s="48">
        <v>1</v>
      </c>
      <c r="BY176" s="12">
        <f t="shared" si="181"/>
        <v>1</v>
      </c>
      <c r="BZ176" s="10">
        <v>0</v>
      </c>
      <c r="CA176" s="10">
        <v>0</v>
      </c>
      <c r="CB176" s="33">
        <f t="shared" si="217"/>
        <v>0</v>
      </c>
      <c r="CC176" s="33">
        <f t="shared" si="218"/>
        <v>0</v>
      </c>
      <c r="CD176" s="48">
        <v>1</v>
      </c>
      <c r="CE176" s="12">
        <f t="shared" si="182"/>
        <v>1</v>
      </c>
    </row>
    <row r="177" spans="1:83" ht="80.25" customHeight="1">
      <c r="A177" s="148" t="s">
        <v>572</v>
      </c>
      <c r="B177" s="155" t="s">
        <v>573</v>
      </c>
      <c r="C177" s="174" t="s">
        <v>574</v>
      </c>
      <c r="D177" s="157">
        <v>2010</v>
      </c>
      <c r="E177" s="154"/>
      <c r="F177" s="154"/>
      <c r="G177" s="154"/>
      <c r="H177" s="165">
        <v>90</v>
      </c>
      <c r="I177" s="159">
        <v>1</v>
      </c>
      <c r="J177" s="56">
        <v>0</v>
      </c>
      <c r="K177" s="33">
        <f t="shared" si="169"/>
        <v>0</v>
      </c>
      <c r="L177" s="10">
        <v>0</v>
      </c>
      <c r="M177" s="10">
        <v>0</v>
      </c>
      <c r="N177" s="33">
        <f t="shared" si="170"/>
        <v>0</v>
      </c>
      <c r="O177" s="33">
        <f t="shared" si="171"/>
        <v>0</v>
      </c>
      <c r="P177" s="56">
        <v>0</v>
      </c>
      <c r="Q177" s="33">
        <f t="shared" si="172"/>
        <v>0</v>
      </c>
      <c r="R177" s="56">
        <v>0</v>
      </c>
      <c r="S177" s="56">
        <v>0</v>
      </c>
      <c r="T177" s="33">
        <f t="shared" si="173"/>
        <v>0</v>
      </c>
      <c r="U177" s="33">
        <f t="shared" si="174"/>
        <v>0</v>
      </c>
      <c r="V177" s="56">
        <v>0</v>
      </c>
      <c r="W177" s="33">
        <f t="shared" si="175"/>
        <v>0</v>
      </c>
      <c r="X177" s="56">
        <v>0</v>
      </c>
      <c r="Y177" s="56">
        <v>0</v>
      </c>
      <c r="Z177" s="33">
        <f t="shared" si="176"/>
        <v>0</v>
      </c>
      <c r="AA177" s="33">
        <f t="shared" si="177"/>
        <v>0</v>
      </c>
      <c r="AB177" s="146">
        <v>90</v>
      </c>
      <c r="AC177" s="117">
        <f t="shared" si="183"/>
        <v>90</v>
      </c>
      <c r="AD177" s="10">
        <v>0</v>
      </c>
      <c r="AE177" s="10">
        <v>0</v>
      </c>
      <c r="AF177" s="117">
        <f t="shared" si="184"/>
        <v>0</v>
      </c>
      <c r="AG177" s="118">
        <f t="shared" si="185"/>
        <v>0</v>
      </c>
      <c r="AH177" s="80">
        <f t="shared" si="186"/>
        <v>90</v>
      </c>
      <c r="AI177" s="127">
        <f t="shared" si="210"/>
        <v>90</v>
      </c>
      <c r="AJ177" s="111">
        <v>0</v>
      </c>
      <c r="AK177" s="111">
        <v>0</v>
      </c>
      <c r="AL177" s="112">
        <f t="shared" ca="1" si="208"/>
        <v>0</v>
      </c>
      <c r="AM177" s="112">
        <f t="shared" si="209"/>
        <v>0</v>
      </c>
      <c r="AN177" s="80">
        <f t="shared" si="187"/>
        <v>90</v>
      </c>
      <c r="AO177" s="12">
        <f t="shared" si="188"/>
        <v>90</v>
      </c>
      <c r="AP177" s="10">
        <v>0</v>
      </c>
      <c r="AQ177" s="10">
        <v>0</v>
      </c>
      <c r="AR177" s="12">
        <f t="shared" si="189"/>
        <v>0</v>
      </c>
      <c r="AS177" s="12">
        <f t="shared" si="190"/>
        <v>0</v>
      </c>
      <c r="AT177" s="13">
        <f t="shared" si="191"/>
        <v>90</v>
      </c>
      <c r="AU177" s="12">
        <f t="shared" si="192"/>
        <v>90</v>
      </c>
      <c r="AV177" s="10">
        <v>0</v>
      </c>
      <c r="AW177" s="10">
        <v>0</v>
      </c>
      <c r="AX177" s="12">
        <f t="shared" si="193"/>
        <v>0</v>
      </c>
      <c r="AY177" s="12">
        <f t="shared" si="194"/>
        <v>0</v>
      </c>
      <c r="AZ177" s="32">
        <f t="shared" si="195"/>
        <v>90</v>
      </c>
      <c r="BA177" s="12">
        <f t="shared" si="196"/>
        <v>90</v>
      </c>
      <c r="BB177" s="10">
        <v>0</v>
      </c>
      <c r="BC177" s="10">
        <v>0</v>
      </c>
      <c r="BD177" s="12">
        <f t="shared" si="197"/>
        <v>0</v>
      </c>
      <c r="BE177" s="12">
        <f t="shared" si="198"/>
        <v>0</v>
      </c>
      <c r="BF177" s="48">
        <v>90</v>
      </c>
      <c r="BG177" s="12">
        <f t="shared" si="178"/>
        <v>90</v>
      </c>
      <c r="BH177" s="10">
        <v>0</v>
      </c>
      <c r="BI177" s="10">
        <v>0</v>
      </c>
      <c r="BJ177" s="33">
        <f t="shared" si="211"/>
        <v>0</v>
      </c>
      <c r="BK177" s="33">
        <f t="shared" si="212"/>
        <v>0</v>
      </c>
      <c r="BL177" s="48">
        <v>90</v>
      </c>
      <c r="BM177" s="12">
        <f t="shared" si="179"/>
        <v>90</v>
      </c>
      <c r="BN177" s="10">
        <v>0</v>
      </c>
      <c r="BO177" s="10">
        <v>0</v>
      </c>
      <c r="BP177" s="33">
        <f t="shared" si="213"/>
        <v>0</v>
      </c>
      <c r="BQ177" s="33">
        <f t="shared" si="214"/>
        <v>0</v>
      </c>
      <c r="BR177" s="48">
        <v>90</v>
      </c>
      <c r="BS177" s="12">
        <f t="shared" si="180"/>
        <v>90</v>
      </c>
      <c r="BT177" s="10">
        <v>0</v>
      </c>
      <c r="BU177" s="10">
        <v>0</v>
      </c>
      <c r="BV177" s="33">
        <f t="shared" si="215"/>
        <v>0</v>
      </c>
      <c r="BW177" s="33">
        <f t="shared" si="216"/>
        <v>0</v>
      </c>
      <c r="BX177" s="48">
        <v>90</v>
      </c>
      <c r="BY177" s="12">
        <f t="shared" si="181"/>
        <v>90</v>
      </c>
      <c r="BZ177" s="10">
        <v>0</v>
      </c>
      <c r="CA177" s="10">
        <v>0</v>
      </c>
      <c r="CB177" s="33">
        <f t="shared" si="217"/>
        <v>0</v>
      </c>
      <c r="CC177" s="33">
        <f t="shared" si="218"/>
        <v>0</v>
      </c>
      <c r="CD177" s="48">
        <v>90</v>
      </c>
      <c r="CE177" s="12">
        <f t="shared" si="182"/>
        <v>90</v>
      </c>
    </row>
    <row r="178" spans="1:83" ht="80.25" customHeight="1">
      <c r="A178" s="148" t="s">
        <v>575</v>
      </c>
      <c r="B178" s="155" t="s">
        <v>576</v>
      </c>
      <c r="C178" s="173" t="s">
        <v>577</v>
      </c>
      <c r="D178" s="156">
        <v>2010</v>
      </c>
      <c r="E178" s="154"/>
      <c r="F178" s="154"/>
      <c r="G178" s="154"/>
      <c r="H178" s="165">
        <v>10</v>
      </c>
      <c r="I178" s="159">
        <v>1</v>
      </c>
      <c r="J178" s="56">
        <v>0</v>
      </c>
      <c r="K178" s="33">
        <f t="shared" si="169"/>
        <v>0</v>
      </c>
      <c r="L178" s="10">
        <v>0</v>
      </c>
      <c r="M178" s="10">
        <v>0</v>
      </c>
      <c r="N178" s="33">
        <f t="shared" si="170"/>
        <v>0</v>
      </c>
      <c r="O178" s="33">
        <f t="shared" si="171"/>
        <v>0</v>
      </c>
      <c r="P178" s="56">
        <v>0</v>
      </c>
      <c r="Q178" s="33">
        <f t="shared" si="172"/>
        <v>0</v>
      </c>
      <c r="R178" s="56">
        <v>0</v>
      </c>
      <c r="S178" s="56">
        <v>0</v>
      </c>
      <c r="T178" s="33">
        <f t="shared" si="173"/>
        <v>0</v>
      </c>
      <c r="U178" s="33">
        <f t="shared" si="174"/>
        <v>0</v>
      </c>
      <c r="V178" s="56">
        <v>0</v>
      </c>
      <c r="W178" s="33">
        <f t="shared" si="175"/>
        <v>0</v>
      </c>
      <c r="X178" s="56">
        <v>0</v>
      </c>
      <c r="Y178" s="56">
        <v>0</v>
      </c>
      <c r="Z178" s="33">
        <f t="shared" si="176"/>
        <v>0</v>
      </c>
      <c r="AA178" s="33">
        <f t="shared" si="177"/>
        <v>0</v>
      </c>
      <c r="AB178" s="146">
        <v>10</v>
      </c>
      <c r="AC178" s="117">
        <f t="shared" si="183"/>
        <v>10</v>
      </c>
      <c r="AD178" s="10">
        <v>0</v>
      </c>
      <c r="AE178" s="10">
        <v>0</v>
      </c>
      <c r="AF178" s="117">
        <f t="shared" si="184"/>
        <v>0</v>
      </c>
      <c r="AG178" s="118">
        <f t="shared" si="185"/>
        <v>0</v>
      </c>
      <c r="AH178" s="80">
        <f t="shared" si="186"/>
        <v>10</v>
      </c>
      <c r="AI178" s="127">
        <f t="shared" si="210"/>
        <v>10</v>
      </c>
      <c r="AJ178" s="111">
        <v>0</v>
      </c>
      <c r="AK178" s="111">
        <v>0</v>
      </c>
      <c r="AL178" s="112">
        <f t="shared" ca="1" si="208"/>
        <v>0</v>
      </c>
      <c r="AM178" s="112">
        <f t="shared" si="209"/>
        <v>0</v>
      </c>
      <c r="AN178" s="80">
        <f t="shared" si="187"/>
        <v>10</v>
      </c>
      <c r="AO178" s="12">
        <f t="shared" si="188"/>
        <v>10</v>
      </c>
      <c r="AP178" s="10">
        <v>0</v>
      </c>
      <c r="AQ178" s="10">
        <v>0</v>
      </c>
      <c r="AR178" s="12">
        <f t="shared" si="189"/>
        <v>0</v>
      </c>
      <c r="AS178" s="12">
        <f t="shared" si="190"/>
        <v>0</v>
      </c>
      <c r="AT178" s="13">
        <f t="shared" si="191"/>
        <v>10</v>
      </c>
      <c r="AU178" s="12">
        <f t="shared" si="192"/>
        <v>10</v>
      </c>
      <c r="AV178" s="10">
        <v>0</v>
      </c>
      <c r="AW178" s="10">
        <v>0</v>
      </c>
      <c r="AX178" s="12">
        <f t="shared" si="193"/>
        <v>0</v>
      </c>
      <c r="AY178" s="12">
        <f t="shared" si="194"/>
        <v>0</v>
      </c>
      <c r="AZ178" s="32">
        <f t="shared" si="195"/>
        <v>10</v>
      </c>
      <c r="BA178" s="12">
        <f t="shared" si="196"/>
        <v>10</v>
      </c>
      <c r="BB178" s="10">
        <v>0</v>
      </c>
      <c r="BC178" s="10">
        <v>0</v>
      </c>
      <c r="BD178" s="12">
        <f t="shared" si="197"/>
        <v>0</v>
      </c>
      <c r="BE178" s="12">
        <f t="shared" si="198"/>
        <v>0</v>
      </c>
      <c r="BF178" s="48">
        <v>10</v>
      </c>
      <c r="BG178" s="12">
        <f t="shared" si="178"/>
        <v>10</v>
      </c>
      <c r="BH178" s="10">
        <v>0</v>
      </c>
      <c r="BI178" s="10">
        <v>0</v>
      </c>
      <c r="BJ178" s="33">
        <f t="shared" si="211"/>
        <v>0</v>
      </c>
      <c r="BK178" s="33">
        <f t="shared" si="212"/>
        <v>0</v>
      </c>
      <c r="BL178" s="48">
        <v>10</v>
      </c>
      <c r="BM178" s="12">
        <f t="shared" si="179"/>
        <v>10</v>
      </c>
      <c r="BN178" s="10">
        <v>0</v>
      </c>
      <c r="BO178" s="10">
        <v>0</v>
      </c>
      <c r="BP178" s="33">
        <f t="shared" si="213"/>
        <v>0</v>
      </c>
      <c r="BQ178" s="33">
        <f t="shared" si="214"/>
        <v>0</v>
      </c>
      <c r="BR178" s="48">
        <v>10</v>
      </c>
      <c r="BS178" s="12">
        <f t="shared" si="180"/>
        <v>10</v>
      </c>
      <c r="BT178" s="10">
        <v>0</v>
      </c>
      <c r="BU178" s="10">
        <v>0</v>
      </c>
      <c r="BV178" s="33">
        <f t="shared" si="215"/>
        <v>0</v>
      </c>
      <c r="BW178" s="33">
        <f t="shared" si="216"/>
        <v>0</v>
      </c>
      <c r="BX178" s="48">
        <v>10</v>
      </c>
      <c r="BY178" s="12">
        <f t="shared" si="181"/>
        <v>10</v>
      </c>
      <c r="BZ178" s="10">
        <v>0</v>
      </c>
      <c r="CA178" s="10">
        <v>0</v>
      </c>
      <c r="CB178" s="33">
        <f t="shared" si="217"/>
        <v>0</v>
      </c>
      <c r="CC178" s="33">
        <f t="shared" si="218"/>
        <v>0</v>
      </c>
      <c r="CD178" s="48">
        <v>10</v>
      </c>
      <c r="CE178" s="12">
        <f t="shared" si="182"/>
        <v>10</v>
      </c>
    </row>
    <row r="179" spans="1:83" ht="80.25" customHeight="1">
      <c r="A179" s="148" t="s">
        <v>578</v>
      </c>
      <c r="B179" s="155" t="s">
        <v>579</v>
      </c>
      <c r="C179" s="173" t="s">
        <v>580</v>
      </c>
      <c r="D179" s="156">
        <v>2010</v>
      </c>
      <c r="E179" s="154"/>
      <c r="F179" s="154"/>
      <c r="G179" s="154"/>
      <c r="H179" s="165">
        <v>11</v>
      </c>
      <c r="I179" s="159">
        <v>1</v>
      </c>
      <c r="J179" s="56">
        <v>0</v>
      </c>
      <c r="K179" s="33">
        <f t="shared" si="169"/>
        <v>0</v>
      </c>
      <c r="L179" s="10">
        <v>0</v>
      </c>
      <c r="M179" s="10">
        <v>0</v>
      </c>
      <c r="N179" s="33">
        <f t="shared" si="170"/>
        <v>0</v>
      </c>
      <c r="O179" s="33">
        <f t="shared" si="171"/>
        <v>0</v>
      </c>
      <c r="P179" s="56">
        <v>0</v>
      </c>
      <c r="Q179" s="33">
        <f t="shared" si="172"/>
        <v>0</v>
      </c>
      <c r="R179" s="56">
        <v>0</v>
      </c>
      <c r="S179" s="56">
        <v>0</v>
      </c>
      <c r="T179" s="33">
        <f t="shared" si="173"/>
        <v>0</v>
      </c>
      <c r="U179" s="33">
        <f t="shared" si="174"/>
        <v>0</v>
      </c>
      <c r="V179" s="56">
        <v>0</v>
      </c>
      <c r="W179" s="33">
        <f t="shared" si="175"/>
        <v>0</v>
      </c>
      <c r="X179" s="56">
        <v>0</v>
      </c>
      <c r="Y179" s="56">
        <v>0</v>
      </c>
      <c r="Z179" s="33">
        <f t="shared" si="176"/>
        <v>0</v>
      </c>
      <c r="AA179" s="33">
        <f t="shared" si="177"/>
        <v>0</v>
      </c>
      <c r="AB179" s="146">
        <v>11</v>
      </c>
      <c r="AC179" s="117">
        <f t="shared" si="183"/>
        <v>11</v>
      </c>
      <c r="AD179" s="10">
        <v>0</v>
      </c>
      <c r="AE179" s="10">
        <v>0</v>
      </c>
      <c r="AF179" s="117">
        <f t="shared" si="184"/>
        <v>0</v>
      </c>
      <c r="AG179" s="118">
        <f t="shared" si="185"/>
        <v>0</v>
      </c>
      <c r="AH179" s="80">
        <f t="shared" si="186"/>
        <v>11</v>
      </c>
      <c r="AI179" s="127">
        <f t="shared" si="210"/>
        <v>11</v>
      </c>
      <c r="AJ179" s="111">
        <v>0</v>
      </c>
      <c r="AK179" s="111">
        <v>0</v>
      </c>
      <c r="AL179" s="112">
        <f t="shared" ca="1" si="208"/>
        <v>0</v>
      </c>
      <c r="AM179" s="112">
        <f t="shared" si="209"/>
        <v>0</v>
      </c>
      <c r="AN179" s="80">
        <f t="shared" si="187"/>
        <v>11</v>
      </c>
      <c r="AO179" s="12">
        <f t="shared" si="188"/>
        <v>11</v>
      </c>
      <c r="AP179" s="10">
        <v>0</v>
      </c>
      <c r="AQ179" s="10">
        <v>0</v>
      </c>
      <c r="AR179" s="12">
        <f t="shared" si="189"/>
        <v>0</v>
      </c>
      <c r="AS179" s="12">
        <f t="shared" si="190"/>
        <v>0</v>
      </c>
      <c r="AT179" s="13">
        <f t="shared" si="191"/>
        <v>11</v>
      </c>
      <c r="AU179" s="12">
        <f t="shared" si="192"/>
        <v>11</v>
      </c>
      <c r="AV179" s="10">
        <v>0</v>
      </c>
      <c r="AW179" s="10">
        <v>0</v>
      </c>
      <c r="AX179" s="12">
        <f t="shared" si="193"/>
        <v>0</v>
      </c>
      <c r="AY179" s="12">
        <f t="shared" si="194"/>
        <v>0</v>
      </c>
      <c r="AZ179" s="32">
        <f t="shared" si="195"/>
        <v>11</v>
      </c>
      <c r="BA179" s="12">
        <f t="shared" si="196"/>
        <v>11</v>
      </c>
      <c r="BB179" s="10">
        <v>0</v>
      </c>
      <c r="BC179" s="10">
        <v>0</v>
      </c>
      <c r="BD179" s="12">
        <f t="shared" si="197"/>
        <v>0</v>
      </c>
      <c r="BE179" s="12">
        <f t="shared" si="198"/>
        <v>0</v>
      </c>
      <c r="BF179" s="48">
        <v>11</v>
      </c>
      <c r="BG179" s="12">
        <f t="shared" si="178"/>
        <v>11</v>
      </c>
      <c r="BH179" s="10">
        <v>0</v>
      </c>
      <c r="BI179" s="10">
        <v>0</v>
      </c>
      <c r="BJ179" s="33">
        <f t="shared" si="211"/>
        <v>0</v>
      </c>
      <c r="BK179" s="33">
        <f t="shared" si="212"/>
        <v>0</v>
      </c>
      <c r="BL179" s="48">
        <v>11</v>
      </c>
      <c r="BM179" s="12">
        <f t="shared" si="179"/>
        <v>11</v>
      </c>
      <c r="BN179" s="10">
        <v>0</v>
      </c>
      <c r="BO179" s="10">
        <v>0</v>
      </c>
      <c r="BP179" s="33">
        <f t="shared" si="213"/>
        <v>0</v>
      </c>
      <c r="BQ179" s="33">
        <f t="shared" si="214"/>
        <v>0</v>
      </c>
      <c r="BR179" s="48">
        <v>11</v>
      </c>
      <c r="BS179" s="12">
        <f t="shared" si="180"/>
        <v>11</v>
      </c>
      <c r="BT179" s="10">
        <v>0</v>
      </c>
      <c r="BU179" s="10">
        <v>0</v>
      </c>
      <c r="BV179" s="33">
        <f t="shared" si="215"/>
        <v>0</v>
      </c>
      <c r="BW179" s="33">
        <f t="shared" si="216"/>
        <v>0</v>
      </c>
      <c r="BX179" s="48">
        <v>11</v>
      </c>
      <c r="BY179" s="12">
        <f t="shared" si="181"/>
        <v>11</v>
      </c>
      <c r="BZ179" s="10">
        <v>0</v>
      </c>
      <c r="CA179" s="10">
        <v>0</v>
      </c>
      <c r="CB179" s="33">
        <f t="shared" si="217"/>
        <v>0</v>
      </c>
      <c r="CC179" s="33">
        <f t="shared" si="218"/>
        <v>0</v>
      </c>
      <c r="CD179" s="48">
        <v>11</v>
      </c>
      <c r="CE179" s="12">
        <f t="shared" si="182"/>
        <v>11</v>
      </c>
    </row>
    <row r="180" spans="1:83" ht="80.25" customHeight="1">
      <c r="A180" s="148" t="s">
        <v>581</v>
      </c>
      <c r="B180" s="155" t="s">
        <v>582</v>
      </c>
      <c r="C180" s="174" t="s">
        <v>583</v>
      </c>
      <c r="D180" s="157">
        <v>2010</v>
      </c>
      <c r="E180" s="154"/>
      <c r="F180" s="154"/>
      <c r="G180" s="154"/>
      <c r="H180" s="165">
        <v>14</v>
      </c>
      <c r="I180" s="159">
        <v>1</v>
      </c>
      <c r="J180" s="56">
        <v>0</v>
      </c>
      <c r="K180" s="33">
        <f t="shared" si="169"/>
        <v>0</v>
      </c>
      <c r="L180" s="10">
        <v>0</v>
      </c>
      <c r="M180" s="10">
        <v>0</v>
      </c>
      <c r="N180" s="33">
        <f t="shared" si="170"/>
        <v>0</v>
      </c>
      <c r="O180" s="33">
        <f t="shared" si="171"/>
        <v>0</v>
      </c>
      <c r="P180" s="56">
        <v>0</v>
      </c>
      <c r="Q180" s="33">
        <f t="shared" si="172"/>
        <v>0</v>
      </c>
      <c r="R180" s="56">
        <v>0</v>
      </c>
      <c r="S180" s="56">
        <v>0</v>
      </c>
      <c r="T180" s="33">
        <f t="shared" si="173"/>
        <v>0</v>
      </c>
      <c r="U180" s="33">
        <f t="shared" si="174"/>
        <v>0</v>
      </c>
      <c r="V180" s="56">
        <v>0</v>
      </c>
      <c r="W180" s="33">
        <f t="shared" si="175"/>
        <v>0</v>
      </c>
      <c r="X180" s="56">
        <v>0</v>
      </c>
      <c r="Y180" s="56">
        <v>0</v>
      </c>
      <c r="Z180" s="33">
        <f t="shared" si="176"/>
        <v>0</v>
      </c>
      <c r="AA180" s="33">
        <f t="shared" si="177"/>
        <v>0</v>
      </c>
      <c r="AB180" s="146">
        <v>14</v>
      </c>
      <c r="AC180" s="117">
        <f t="shared" si="183"/>
        <v>14</v>
      </c>
      <c r="AD180" s="10">
        <v>0</v>
      </c>
      <c r="AE180" s="10">
        <v>0</v>
      </c>
      <c r="AF180" s="117">
        <f t="shared" si="184"/>
        <v>0</v>
      </c>
      <c r="AG180" s="118">
        <f t="shared" si="185"/>
        <v>0</v>
      </c>
      <c r="AH180" s="80">
        <f t="shared" si="186"/>
        <v>14</v>
      </c>
      <c r="AI180" s="127">
        <f t="shared" si="210"/>
        <v>14</v>
      </c>
      <c r="AJ180" s="111">
        <v>0</v>
      </c>
      <c r="AK180" s="111">
        <v>0</v>
      </c>
      <c r="AL180" s="112">
        <f t="shared" ca="1" si="208"/>
        <v>0</v>
      </c>
      <c r="AM180" s="112">
        <f t="shared" si="209"/>
        <v>0</v>
      </c>
      <c r="AN180" s="80">
        <f t="shared" si="187"/>
        <v>14</v>
      </c>
      <c r="AO180" s="12">
        <f t="shared" si="188"/>
        <v>14</v>
      </c>
      <c r="AP180" s="10">
        <v>0</v>
      </c>
      <c r="AQ180" s="10">
        <v>0</v>
      </c>
      <c r="AR180" s="12">
        <f t="shared" si="189"/>
        <v>0</v>
      </c>
      <c r="AS180" s="12">
        <f t="shared" si="190"/>
        <v>0</v>
      </c>
      <c r="AT180" s="13">
        <f t="shared" si="191"/>
        <v>14</v>
      </c>
      <c r="AU180" s="12">
        <f t="shared" si="192"/>
        <v>14</v>
      </c>
      <c r="AV180" s="10">
        <v>0</v>
      </c>
      <c r="AW180" s="10">
        <v>0</v>
      </c>
      <c r="AX180" s="12">
        <f t="shared" si="193"/>
        <v>0</v>
      </c>
      <c r="AY180" s="12">
        <f t="shared" si="194"/>
        <v>0</v>
      </c>
      <c r="AZ180" s="32">
        <f t="shared" si="195"/>
        <v>14</v>
      </c>
      <c r="BA180" s="12">
        <f t="shared" si="196"/>
        <v>14</v>
      </c>
      <c r="BB180" s="10">
        <v>0</v>
      </c>
      <c r="BC180" s="10">
        <v>0</v>
      </c>
      <c r="BD180" s="12">
        <f t="shared" si="197"/>
        <v>0</v>
      </c>
      <c r="BE180" s="12">
        <f t="shared" si="198"/>
        <v>0</v>
      </c>
      <c r="BF180" s="48">
        <v>14</v>
      </c>
      <c r="BG180" s="12">
        <f t="shared" si="178"/>
        <v>14</v>
      </c>
      <c r="BH180" s="10">
        <v>0</v>
      </c>
      <c r="BI180" s="10">
        <v>0</v>
      </c>
      <c r="BJ180" s="33">
        <f t="shared" si="211"/>
        <v>0</v>
      </c>
      <c r="BK180" s="33">
        <f t="shared" si="212"/>
        <v>0</v>
      </c>
      <c r="BL180" s="48">
        <v>14</v>
      </c>
      <c r="BM180" s="12">
        <f t="shared" si="179"/>
        <v>14</v>
      </c>
      <c r="BN180" s="10">
        <v>0</v>
      </c>
      <c r="BO180" s="10">
        <v>0</v>
      </c>
      <c r="BP180" s="33">
        <f t="shared" si="213"/>
        <v>0</v>
      </c>
      <c r="BQ180" s="33">
        <f t="shared" si="214"/>
        <v>0</v>
      </c>
      <c r="BR180" s="48">
        <v>14</v>
      </c>
      <c r="BS180" s="12">
        <f t="shared" si="180"/>
        <v>14</v>
      </c>
      <c r="BT180" s="10">
        <v>0</v>
      </c>
      <c r="BU180" s="10">
        <v>0</v>
      </c>
      <c r="BV180" s="33">
        <f t="shared" si="215"/>
        <v>0</v>
      </c>
      <c r="BW180" s="33">
        <f t="shared" si="216"/>
        <v>0</v>
      </c>
      <c r="BX180" s="48">
        <v>14</v>
      </c>
      <c r="BY180" s="12">
        <f t="shared" si="181"/>
        <v>14</v>
      </c>
      <c r="BZ180" s="10">
        <v>0</v>
      </c>
      <c r="CA180" s="10">
        <v>0</v>
      </c>
      <c r="CB180" s="33">
        <f t="shared" si="217"/>
        <v>0</v>
      </c>
      <c r="CC180" s="33">
        <f t="shared" si="218"/>
        <v>0</v>
      </c>
      <c r="CD180" s="48">
        <v>14</v>
      </c>
      <c r="CE180" s="12">
        <f t="shared" si="182"/>
        <v>14</v>
      </c>
    </row>
    <row r="181" spans="1:83" ht="80.25" customHeight="1">
      <c r="A181" s="148" t="s">
        <v>584</v>
      </c>
      <c r="B181" s="155" t="s">
        <v>585</v>
      </c>
      <c r="C181" s="173" t="s">
        <v>586</v>
      </c>
      <c r="D181" s="156">
        <v>2004</v>
      </c>
      <c r="E181" s="154"/>
      <c r="F181" s="154"/>
      <c r="G181" s="154"/>
      <c r="H181" s="165">
        <v>10</v>
      </c>
      <c r="I181" s="159">
        <v>1</v>
      </c>
      <c r="J181" s="56">
        <v>0</v>
      </c>
      <c r="K181" s="33">
        <f t="shared" si="169"/>
        <v>0</v>
      </c>
      <c r="L181" s="10">
        <v>0</v>
      </c>
      <c r="M181" s="10">
        <v>0</v>
      </c>
      <c r="N181" s="33">
        <f t="shared" si="170"/>
        <v>0</v>
      </c>
      <c r="O181" s="33">
        <f t="shared" si="171"/>
        <v>0</v>
      </c>
      <c r="P181" s="56">
        <v>0</v>
      </c>
      <c r="Q181" s="33">
        <f t="shared" si="172"/>
        <v>0</v>
      </c>
      <c r="R181" s="56">
        <v>0</v>
      </c>
      <c r="S181" s="56">
        <v>0</v>
      </c>
      <c r="T181" s="33">
        <f t="shared" si="173"/>
        <v>0</v>
      </c>
      <c r="U181" s="33">
        <f t="shared" si="174"/>
        <v>0</v>
      </c>
      <c r="V181" s="56">
        <v>0</v>
      </c>
      <c r="W181" s="33">
        <f t="shared" si="175"/>
        <v>0</v>
      </c>
      <c r="X181" s="56">
        <v>0</v>
      </c>
      <c r="Y181" s="56">
        <v>0</v>
      </c>
      <c r="Z181" s="33">
        <f t="shared" si="176"/>
        <v>0</v>
      </c>
      <c r="AA181" s="33">
        <f t="shared" si="177"/>
        <v>0</v>
      </c>
      <c r="AB181" s="146">
        <v>10</v>
      </c>
      <c r="AC181" s="117">
        <f t="shared" si="183"/>
        <v>10</v>
      </c>
      <c r="AD181" s="10">
        <v>0</v>
      </c>
      <c r="AE181" s="10">
        <v>0</v>
      </c>
      <c r="AF181" s="117">
        <f t="shared" si="184"/>
        <v>0</v>
      </c>
      <c r="AG181" s="118">
        <f t="shared" si="185"/>
        <v>0</v>
      </c>
      <c r="AH181" s="80">
        <f t="shared" si="186"/>
        <v>10</v>
      </c>
      <c r="AI181" s="127">
        <f t="shared" si="210"/>
        <v>10</v>
      </c>
      <c r="AJ181" s="111">
        <v>0</v>
      </c>
      <c r="AK181" s="111">
        <v>0</v>
      </c>
      <c r="AL181" s="112">
        <f t="shared" ca="1" si="208"/>
        <v>0</v>
      </c>
      <c r="AM181" s="112">
        <f t="shared" si="209"/>
        <v>0</v>
      </c>
      <c r="AN181" s="80">
        <f t="shared" si="187"/>
        <v>10</v>
      </c>
      <c r="AO181" s="12">
        <f t="shared" si="188"/>
        <v>10</v>
      </c>
      <c r="AP181" s="10">
        <v>0</v>
      </c>
      <c r="AQ181" s="10">
        <v>0</v>
      </c>
      <c r="AR181" s="12">
        <f t="shared" si="189"/>
        <v>0</v>
      </c>
      <c r="AS181" s="12">
        <f t="shared" si="190"/>
        <v>0</v>
      </c>
      <c r="AT181" s="13">
        <f t="shared" si="191"/>
        <v>10</v>
      </c>
      <c r="AU181" s="12">
        <f t="shared" si="192"/>
        <v>10</v>
      </c>
      <c r="AV181" s="10">
        <v>0</v>
      </c>
      <c r="AW181" s="10">
        <v>0</v>
      </c>
      <c r="AX181" s="12">
        <f t="shared" si="193"/>
        <v>0</v>
      </c>
      <c r="AY181" s="12">
        <f t="shared" si="194"/>
        <v>0</v>
      </c>
      <c r="AZ181" s="32">
        <f t="shared" si="195"/>
        <v>10</v>
      </c>
      <c r="BA181" s="12">
        <f t="shared" si="196"/>
        <v>10</v>
      </c>
      <c r="BB181" s="10">
        <v>0</v>
      </c>
      <c r="BC181" s="10">
        <v>0</v>
      </c>
      <c r="BD181" s="12">
        <f t="shared" si="197"/>
        <v>0</v>
      </c>
      <c r="BE181" s="12">
        <f t="shared" si="198"/>
        <v>0</v>
      </c>
      <c r="BF181" s="48">
        <v>10</v>
      </c>
      <c r="BG181" s="12">
        <f t="shared" si="178"/>
        <v>10</v>
      </c>
      <c r="BH181" s="10">
        <v>0</v>
      </c>
      <c r="BI181" s="10">
        <v>0</v>
      </c>
      <c r="BJ181" s="33">
        <f t="shared" si="211"/>
        <v>0</v>
      </c>
      <c r="BK181" s="33">
        <f t="shared" si="212"/>
        <v>0</v>
      </c>
      <c r="BL181" s="48">
        <v>10</v>
      </c>
      <c r="BM181" s="12">
        <f t="shared" si="179"/>
        <v>10</v>
      </c>
      <c r="BN181" s="10">
        <v>0</v>
      </c>
      <c r="BO181" s="10">
        <v>0</v>
      </c>
      <c r="BP181" s="33">
        <f t="shared" si="213"/>
        <v>0</v>
      </c>
      <c r="BQ181" s="33">
        <f t="shared" si="214"/>
        <v>0</v>
      </c>
      <c r="BR181" s="48">
        <v>10</v>
      </c>
      <c r="BS181" s="12">
        <f t="shared" si="180"/>
        <v>10</v>
      </c>
      <c r="BT181" s="10">
        <v>0</v>
      </c>
      <c r="BU181" s="10">
        <v>0</v>
      </c>
      <c r="BV181" s="33">
        <f t="shared" si="215"/>
        <v>0</v>
      </c>
      <c r="BW181" s="33">
        <f t="shared" si="216"/>
        <v>0</v>
      </c>
      <c r="BX181" s="48">
        <v>10</v>
      </c>
      <c r="BY181" s="12">
        <f t="shared" si="181"/>
        <v>10</v>
      </c>
      <c r="BZ181" s="10">
        <v>0</v>
      </c>
      <c r="CA181" s="10">
        <v>0</v>
      </c>
      <c r="CB181" s="33">
        <f t="shared" si="217"/>
        <v>0</v>
      </c>
      <c r="CC181" s="33">
        <f t="shared" si="218"/>
        <v>0</v>
      </c>
      <c r="CD181" s="48">
        <v>10</v>
      </c>
      <c r="CE181" s="12">
        <f t="shared" si="182"/>
        <v>10</v>
      </c>
    </row>
    <row r="182" spans="1:83" ht="80.25" customHeight="1">
      <c r="A182" s="148" t="s">
        <v>587</v>
      </c>
      <c r="B182" s="155" t="s">
        <v>588</v>
      </c>
      <c r="C182" s="173" t="s">
        <v>589</v>
      </c>
      <c r="D182" s="156">
        <v>2003</v>
      </c>
      <c r="E182" s="154"/>
      <c r="F182" s="154"/>
      <c r="G182" s="154"/>
      <c r="H182" s="165">
        <v>1</v>
      </c>
      <c r="I182" s="159">
        <v>1</v>
      </c>
      <c r="J182" s="56">
        <v>0</v>
      </c>
      <c r="K182" s="33">
        <f t="shared" si="169"/>
        <v>0</v>
      </c>
      <c r="L182" s="10">
        <v>0</v>
      </c>
      <c r="M182" s="10">
        <v>0</v>
      </c>
      <c r="N182" s="33">
        <f t="shared" si="170"/>
        <v>0</v>
      </c>
      <c r="O182" s="33">
        <f t="shared" si="171"/>
        <v>0</v>
      </c>
      <c r="P182" s="56">
        <v>0</v>
      </c>
      <c r="Q182" s="33">
        <f t="shared" si="172"/>
        <v>0</v>
      </c>
      <c r="R182" s="56">
        <v>0</v>
      </c>
      <c r="S182" s="56">
        <v>0</v>
      </c>
      <c r="T182" s="33">
        <f t="shared" si="173"/>
        <v>0</v>
      </c>
      <c r="U182" s="33">
        <f t="shared" si="174"/>
        <v>0</v>
      </c>
      <c r="V182" s="56">
        <v>0</v>
      </c>
      <c r="W182" s="33">
        <f t="shared" si="175"/>
        <v>0</v>
      </c>
      <c r="X182" s="56">
        <v>0</v>
      </c>
      <c r="Y182" s="56">
        <v>0</v>
      </c>
      <c r="Z182" s="33">
        <f t="shared" si="176"/>
        <v>0</v>
      </c>
      <c r="AA182" s="33">
        <f t="shared" si="177"/>
        <v>0</v>
      </c>
      <c r="AB182" s="146">
        <v>1</v>
      </c>
      <c r="AC182" s="117">
        <f t="shared" si="183"/>
        <v>1</v>
      </c>
      <c r="AD182" s="10">
        <v>0</v>
      </c>
      <c r="AE182" s="10">
        <v>0</v>
      </c>
      <c r="AF182" s="117">
        <f t="shared" si="184"/>
        <v>0</v>
      </c>
      <c r="AG182" s="118">
        <f t="shared" si="185"/>
        <v>0</v>
      </c>
      <c r="AH182" s="80">
        <f t="shared" si="186"/>
        <v>1</v>
      </c>
      <c r="AI182" s="127">
        <f t="shared" si="210"/>
        <v>1</v>
      </c>
      <c r="AJ182" s="111">
        <v>0</v>
      </c>
      <c r="AK182" s="111">
        <v>0</v>
      </c>
      <c r="AL182" s="112">
        <f t="shared" ca="1" si="208"/>
        <v>0</v>
      </c>
      <c r="AM182" s="112">
        <f t="shared" si="209"/>
        <v>0</v>
      </c>
      <c r="AN182" s="80">
        <f t="shared" si="187"/>
        <v>1</v>
      </c>
      <c r="AO182" s="12">
        <f t="shared" si="188"/>
        <v>1</v>
      </c>
      <c r="AP182" s="10">
        <v>0</v>
      </c>
      <c r="AQ182" s="10">
        <v>0</v>
      </c>
      <c r="AR182" s="12">
        <f t="shared" si="189"/>
        <v>0</v>
      </c>
      <c r="AS182" s="12">
        <f t="shared" si="190"/>
        <v>0</v>
      </c>
      <c r="AT182" s="13">
        <f t="shared" si="191"/>
        <v>1</v>
      </c>
      <c r="AU182" s="12">
        <f t="shared" si="192"/>
        <v>1</v>
      </c>
      <c r="AV182" s="10">
        <v>0</v>
      </c>
      <c r="AW182" s="10">
        <v>0</v>
      </c>
      <c r="AX182" s="12">
        <f t="shared" si="193"/>
        <v>0</v>
      </c>
      <c r="AY182" s="12">
        <f t="shared" si="194"/>
        <v>0</v>
      </c>
      <c r="AZ182" s="32">
        <f t="shared" si="195"/>
        <v>1</v>
      </c>
      <c r="BA182" s="12">
        <f t="shared" si="196"/>
        <v>1</v>
      </c>
      <c r="BB182" s="10">
        <v>0</v>
      </c>
      <c r="BC182" s="10">
        <v>0</v>
      </c>
      <c r="BD182" s="12">
        <f t="shared" si="197"/>
        <v>0</v>
      </c>
      <c r="BE182" s="12">
        <f t="shared" si="198"/>
        <v>0</v>
      </c>
      <c r="BF182" s="48">
        <v>1</v>
      </c>
      <c r="BG182" s="12">
        <f t="shared" si="178"/>
        <v>1</v>
      </c>
      <c r="BH182" s="10">
        <v>0</v>
      </c>
      <c r="BI182" s="10">
        <v>0</v>
      </c>
      <c r="BJ182" s="33">
        <f t="shared" si="211"/>
        <v>0</v>
      </c>
      <c r="BK182" s="33">
        <f t="shared" si="212"/>
        <v>0</v>
      </c>
      <c r="BL182" s="48">
        <v>1</v>
      </c>
      <c r="BM182" s="12">
        <f t="shared" si="179"/>
        <v>1</v>
      </c>
      <c r="BN182" s="10">
        <v>0</v>
      </c>
      <c r="BO182" s="10">
        <v>0</v>
      </c>
      <c r="BP182" s="33">
        <f t="shared" si="213"/>
        <v>0</v>
      </c>
      <c r="BQ182" s="33">
        <f t="shared" si="214"/>
        <v>0</v>
      </c>
      <c r="BR182" s="48">
        <v>1</v>
      </c>
      <c r="BS182" s="12">
        <f t="shared" si="180"/>
        <v>1</v>
      </c>
      <c r="BT182" s="10">
        <v>0</v>
      </c>
      <c r="BU182" s="10">
        <v>0</v>
      </c>
      <c r="BV182" s="33">
        <f t="shared" si="215"/>
        <v>0</v>
      </c>
      <c r="BW182" s="33">
        <f t="shared" si="216"/>
        <v>0</v>
      </c>
      <c r="BX182" s="48">
        <v>1</v>
      </c>
      <c r="BY182" s="12">
        <f t="shared" si="181"/>
        <v>1</v>
      </c>
      <c r="BZ182" s="10">
        <v>0</v>
      </c>
      <c r="CA182" s="10">
        <v>0</v>
      </c>
      <c r="CB182" s="33">
        <f t="shared" si="217"/>
        <v>0</v>
      </c>
      <c r="CC182" s="33">
        <f t="shared" si="218"/>
        <v>0</v>
      </c>
      <c r="CD182" s="48">
        <v>1</v>
      </c>
      <c r="CE182" s="12">
        <f t="shared" si="182"/>
        <v>1</v>
      </c>
    </row>
    <row r="183" spans="1:83" ht="80.25" customHeight="1">
      <c r="A183" s="148" t="s">
        <v>590</v>
      </c>
      <c r="B183" s="155" t="s">
        <v>591</v>
      </c>
      <c r="C183" s="174" t="s">
        <v>592</v>
      </c>
      <c r="D183" s="157">
        <v>2009</v>
      </c>
      <c r="E183" s="154"/>
      <c r="F183" s="154"/>
      <c r="G183" s="154"/>
      <c r="H183" s="165">
        <v>11</v>
      </c>
      <c r="I183" s="159">
        <v>1</v>
      </c>
      <c r="J183" s="56">
        <v>0</v>
      </c>
      <c r="K183" s="33">
        <f t="shared" si="169"/>
        <v>0</v>
      </c>
      <c r="L183" s="10">
        <v>0</v>
      </c>
      <c r="M183" s="10">
        <v>0</v>
      </c>
      <c r="N183" s="33">
        <f t="shared" si="170"/>
        <v>0</v>
      </c>
      <c r="O183" s="33">
        <f t="shared" si="171"/>
        <v>0</v>
      </c>
      <c r="P183" s="56">
        <v>0</v>
      </c>
      <c r="Q183" s="33">
        <f t="shared" si="172"/>
        <v>0</v>
      </c>
      <c r="R183" s="56">
        <v>0</v>
      </c>
      <c r="S183" s="56">
        <v>0</v>
      </c>
      <c r="T183" s="33">
        <f t="shared" si="173"/>
        <v>0</v>
      </c>
      <c r="U183" s="33">
        <f t="shared" si="174"/>
        <v>0</v>
      </c>
      <c r="V183" s="56">
        <v>0</v>
      </c>
      <c r="W183" s="33">
        <f t="shared" si="175"/>
        <v>0</v>
      </c>
      <c r="X183" s="56">
        <v>0</v>
      </c>
      <c r="Y183" s="56">
        <v>0</v>
      </c>
      <c r="Z183" s="33">
        <f t="shared" si="176"/>
        <v>0</v>
      </c>
      <c r="AA183" s="33">
        <f t="shared" si="177"/>
        <v>0</v>
      </c>
      <c r="AB183" s="146">
        <v>11</v>
      </c>
      <c r="AC183" s="117">
        <f t="shared" si="183"/>
        <v>11</v>
      </c>
      <c r="AD183" s="10">
        <v>0</v>
      </c>
      <c r="AE183" s="10">
        <v>0</v>
      </c>
      <c r="AF183" s="117">
        <f t="shared" si="184"/>
        <v>0</v>
      </c>
      <c r="AG183" s="118">
        <f t="shared" si="185"/>
        <v>0</v>
      </c>
      <c r="AH183" s="80">
        <f t="shared" si="186"/>
        <v>11</v>
      </c>
      <c r="AI183" s="127">
        <f t="shared" si="210"/>
        <v>11</v>
      </c>
      <c r="AJ183" s="111">
        <v>0</v>
      </c>
      <c r="AK183" s="111">
        <v>0</v>
      </c>
      <c r="AL183" s="112">
        <f t="shared" ca="1" si="208"/>
        <v>0</v>
      </c>
      <c r="AM183" s="112">
        <f t="shared" si="209"/>
        <v>0</v>
      </c>
      <c r="AN183" s="80">
        <f t="shared" si="187"/>
        <v>11</v>
      </c>
      <c r="AO183" s="12">
        <f t="shared" si="188"/>
        <v>11</v>
      </c>
      <c r="AP183" s="10">
        <v>0</v>
      </c>
      <c r="AQ183" s="10">
        <v>0</v>
      </c>
      <c r="AR183" s="12">
        <f t="shared" si="189"/>
        <v>0</v>
      </c>
      <c r="AS183" s="12">
        <f t="shared" si="190"/>
        <v>0</v>
      </c>
      <c r="AT183" s="13">
        <f t="shared" si="191"/>
        <v>11</v>
      </c>
      <c r="AU183" s="12">
        <f t="shared" si="192"/>
        <v>11</v>
      </c>
      <c r="AV183" s="10">
        <v>0</v>
      </c>
      <c r="AW183" s="10">
        <v>0</v>
      </c>
      <c r="AX183" s="12">
        <f t="shared" si="193"/>
        <v>0</v>
      </c>
      <c r="AY183" s="12">
        <f t="shared" si="194"/>
        <v>0</v>
      </c>
      <c r="AZ183" s="32">
        <f t="shared" si="195"/>
        <v>11</v>
      </c>
      <c r="BA183" s="12">
        <f t="shared" si="196"/>
        <v>11</v>
      </c>
      <c r="BB183" s="10">
        <v>0</v>
      </c>
      <c r="BC183" s="10">
        <v>0</v>
      </c>
      <c r="BD183" s="12">
        <f t="shared" si="197"/>
        <v>0</v>
      </c>
      <c r="BE183" s="12">
        <f t="shared" si="198"/>
        <v>0</v>
      </c>
      <c r="BF183" s="48">
        <v>11</v>
      </c>
      <c r="BG183" s="12">
        <f t="shared" si="178"/>
        <v>11</v>
      </c>
      <c r="BH183" s="10">
        <v>0</v>
      </c>
      <c r="BI183" s="10">
        <v>0</v>
      </c>
      <c r="BJ183" s="33">
        <f t="shared" si="211"/>
        <v>0</v>
      </c>
      <c r="BK183" s="33">
        <f t="shared" si="212"/>
        <v>0</v>
      </c>
      <c r="BL183" s="48">
        <v>11</v>
      </c>
      <c r="BM183" s="12">
        <f t="shared" si="179"/>
        <v>11</v>
      </c>
      <c r="BN183" s="10">
        <v>0</v>
      </c>
      <c r="BO183" s="10">
        <v>0</v>
      </c>
      <c r="BP183" s="33">
        <f t="shared" si="213"/>
        <v>0</v>
      </c>
      <c r="BQ183" s="33">
        <f t="shared" si="214"/>
        <v>0</v>
      </c>
      <c r="BR183" s="48">
        <v>11</v>
      </c>
      <c r="BS183" s="12">
        <f t="shared" si="180"/>
        <v>11</v>
      </c>
      <c r="BT183" s="10">
        <v>0</v>
      </c>
      <c r="BU183" s="10">
        <v>0</v>
      </c>
      <c r="BV183" s="33">
        <f t="shared" si="215"/>
        <v>0</v>
      </c>
      <c r="BW183" s="33">
        <f t="shared" si="216"/>
        <v>0</v>
      </c>
      <c r="BX183" s="48">
        <v>11</v>
      </c>
      <c r="BY183" s="12">
        <f t="shared" si="181"/>
        <v>11</v>
      </c>
      <c r="BZ183" s="10">
        <v>0</v>
      </c>
      <c r="CA183" s="10">
        <v>0</v>
      </c>
      <c r="CB183" s="33">
        <f t="shared" si="217"/>
        <v>0</v>
      </c>
      <c r="CC183" s="33">
        <f t="shared" si="218"/>
        <v>0</v>
      </c>
      <c r="CD183" s="48">
        <v>11</v>
      </c>
      <c r="CE183" s="12">
        <f t="shared" si="182"/>
        <v>11</v>
      </c>
    </row>
    <row r="184" spans="1:83" ht="80.25" customHeight="1">
      <c r="A184" s="148" t="s">
        <v>593</v>
      </c>
      <c r="B184" s="155" t="s">
        <v>594</v>
      </c>
      <c r="C184" s="173" t="s">
        <v>595</v>
      </c>
      <c r="D184" s="156">
        <v>2010</v>
      </c>
      <c r="E184" s="154"/>
      <c r="F184" s="154"/>
      <c r="G184" s="154"/>
      <c r="H184" s="165">
        <v>2</v>
      </c>
      <c r="I184" s="159">
        <v>1</v>
      </c>
      <c r="J184" s="56">
        <v>0</v>
      </c>
      <c r="K184" s="33">
        <f t="shared" si="169"/>
        <v>0</v>
      </c>
      <c r="L184" s="10">
        <v>0</v>
      </c>
      <c r="M184" s="10">
        <v>0</v>
      </c>
      <c r="N184" s="33">
        <f t="shared" si="170"/>
        <v>0</v>
      </c>
      <c r="O184" s="33">
        <f t="shared" si="171"/>
        <v>0</v>
      </c>
      <c r="P184" s="56">
        <v>0</v>
      </c>
      <c r="Q184" s="33">
        <f t="shared" si="172"/>
        <v>0</v>
      </c>
      <c r="R184" s="56">
        <v>0</v>
      </c>
      <c r="S184" s="56">
        <v>0</v>
      </c>
      <c r="T184" s="33">
        <f t="shared" si="173"/>
        <v>0</v>
      </c>
      <c r="U184" s="33">
        <f t="shared" si="174"/>
        <v>0</v>
      </c>
      <c r="V184" s="56">
        <v>0</v>
      </c>
      <c r="W184" s="33">
        <f t="shared" si="175"/>
        <v>0</v>
      </c>
      <c r="X184" s="56">
        <v>0</v>
      </c>
      <c r="Y184" s="56">
        <v>0</v>
      </c>
      <c r="Z184" s="33">
        <f t="shared" si="176"/>
        <v>0</v>
      </c>
      <c r="AA184" s="33">
        <f t="shared" si="177"/>
        <v>0</v>
      </c>
      <c r="AB184" s="146">
        <v>2</v>
      </c>
      <c r="AC184" s="117">
        <f t="shared" si="183"/>
        <v>2</v>
      </c>
      <c r="AD184" s="10">
        <v>0</v>
      </c>
      <c r="AE184" s="10">
        <v>0</v>
      </c>
      <c r="AF184" s="117">
        <f t="shared" si="184"/>
        <v>0</v>
      </c>
      <c r="AG184" s="118">
        <f t="shared" si="185"/>
        <v>0</v>
      </c>
      <c r="AH184" s="80">
        <f t="shared" si="186"/>
        <v>2</v>
      </c>
      <c r="AI184" s="127">
        <f t="shared" si="210"/>
        <v>2</v>
      </c>
      <c r="AJ184" s="111">
        <v>0</v>
      </c>
      <c r="AK184" s="111">
        <v>0</v>
      </c>
      <c r="AL184" s="112">
        <f t="shared" ca="1" si="208"/>
        <v>0</v>
      </c>
      <c r="AM184" s="112">
        <f t="shared" si="209"/>
        <v>0</v>
      </c>
      <c r="AN184" s="80">
        <f t="shared" si="187"/>
        <v>2</v>
      </c>
      <c r="AO184" s="12">
        <f t="shared" si="188"/>
        <v>2</v>
      </c>
      <c r="AP184" s="10">
        <v>0</v>
      </c>
      <c r="AQ184" s="10">
        <v>0</v>
      </c>
      <c r="AR184" s="12">
        <f t="shared" si="189"/>
        <v>0</v>
      </c>
      <c r="AS184" s="12">
        <f t="shared" si="190"/>
        <v>0</v>
      </c>
      <c r="AT184" s="13">
        <f t="shared" si="191"/>
        <v>2</v>
      </c>
      <c r="AU184" s="12">
        <f t="shared" si="192"/>
        <v>2</v>
      </c>
      <c r="AV184" s="10">
        <v>0</v>
      </c>
      <c r="AW184" s="10">
        <v>0</v>
      </c>
      <c r="AX184" s="12">
        <f t="shared" si="193"/>
        <v>0</v>
      </c>
      <c r="AY184" s="12">
        <f t="shared" si="194"/>
        <v>0</v>
      </c>
      <c r="AZ184" s="32">
        <f t="shared" si="195"/>
        <v>2</v>
      </c>
      <c r="BA184" s="12">
        <f t="shared" si="196"/>
        <v>2</v>
      </c>
      <c r="BB184" s="10">
        <v>0</v>
      </c>
      <c r="BC184" s="10">
        <v>0</v>
      </c>
      <c r="BD184" s="12">
        <f t="shared" si="197"/>
        <v>0</v>
      </c>
      <c r="BE184" s="12">
        <f t="shared" si="198"/>
        <v>0</v>
      </c>
      <c r="BF184" s="48">
        <v>2</v>
      </c>
      <c r="BG184" s="12">
        <f t="shared" si="178"/>
        <v>2</v>
      </c>
      <c r="BH184" s="10">
        <v>0</v>
      </c>
      <c r="BI184" s="10">
        <v>0</v>
      </c>
      <c r="BJ184" s="33">
        <f t="shared" si="211"/>
        <v>0</v>
      </c>
      <c r="BK184" s="33">
        <f t="shared" si="212"/>
        <v>0</v>
      </c>
      <c r="BL184" s="48">
        <v>2</v>
      </c>
      <c r="BM184" s="12">
        <f t="shared" si="179"/>
        <v>2</v>
      </c>
      <c r="BN184" s="10">
        <v>0</v>
      </c>
      <c r="BO184" s="10">
        <v>0</v>
      </c>
      <c r="BP184" s="33">
        <f t="shared" si="213"/>
        <v>0</v>
      </c>
      <c r="BQ184" s="33">
        <f t="shared" si="214"/>
        <v>0</v>
      </c>
      <c r="BR184" s="48">
        <v>2</v>
      </c>
      <c r="BS184" s="12">
        <f t="shared" si="180"/>
        <v>2</v>
      </c>
      <c r="BT184" s="10">
        <v>0</v>
      </c>
      <c r="BU184" s="10">
        <v>0</v>
      </c>
      <c r="BV184" s="33">
        <f t="shared" si="215"/>
        <v>0</v>
      </c>
      <c r="BW184" s="33">
        <f t="shared" si="216"/>
        <v>0</v>
      </c>
      <c r="BX184" s="48">
        <v>2</v>
      </c>
      <c r="BY184" s="12">
        <f t="shared" si="181"/>
        <v>2</v>
      </c>
      <c r="BZ184" s="10">
        <v>0</v>
      </c>
      <c r="CA184" s="10">
        <v>0</v>
      </c>
      <c r="CB184" s="33">
        <f t="shared" si="217"/>
        <v>0</v>
      </c>
      <c r="CC184" s="33">
        <f t="shared" si="218"/>
        <v>0</v>
      </c>
      <c r="CD184" s="48">
        <v>2</v>
      </c>
      <c r="CE184" s="12">
        <f t="shared" si="182"/>
        <v>2</v>
      </c>
    </row>
    <row r="185" spans="1:83" ht="80.25" customHeight="1">
      <c r="A185" s="148" t="s">
        <v>596</v>
      </c>
      <c r="B185" s="155" t="s">
        <v>597</v>
      </c>
      <c r="C185" s="173" t="s">
        <v>598</v>
      </c>
      <c r="D185" s="156">
        <v>2011</v>
      </c>
      <c r="E185" s="154"/>
      <c r="F185" s="154"/>
      <c r="G185" s="154"/>
      <c r="H185" s="165">
        <v>11</v>
      </c>
      <c r="I185" s="159">
        <v>1</v>
      </c>
      <c r="J185" s="56">
        <v>0</v>
      </c>
      <c r="K185" s="33">
        <f t="shared" si="169"/>
        <v>0</v>
      </c>
      <c r="L185" s="10">
        <v>0</v>
      </c>
      <c r="M185" s="10">
        <v>0</v>
      </c>
      <c r="N185" s="33">
        <f t="shared" si="170"/>
        <v>0</v>
      </c>
      <c r="O185" s="33">
        <f t="shared" si="171"/>
        <v>0</v>
      </c>
      <c r="P185" s="56">
        <v>0</v>
      </c>
      <c r="Q185" s="33">
        <f t="shared" si="172"/>
        <v>0</v>
      </c>
      <c r="R185" s="56">
        <v>0</v>
      </c>
      <c r="S185" s="56">
        <v>0</v>
      </c>
      <c r="T185" s="33">
        <f t="shared" si="173"/>
        <v>0</v>
      </c>
      <c r="U185" s="33">
        <f t="shared" si="174"/>
        <v>0</v>
      </c>
      <c r="V185" s="56">
        <v>0</v>
      </c>
      <c r="W185" s="33">
        <f t="shared" si="175"/>
        <v>0</v>
      </c>
      <c r="X185" s="56">
        <v>0</v>
      </c>
      <c r="Y185" s="56">
        <v>0</v>
      </c>
      <c r="Z185" s="33">
        <f t="shared" si="176"/>
        <v>0</v>
      </c>
      <c r="AA185" s="33">
        <f t="shared" si="177"/>
        <v>0</v>
      </c>
      <c r="AB185" s="146">
        <v>11</v>
      </c>
      <c r="AC185" s="117">
        <f t="shared" si="183"/>
        <v>11</v>
      </c>
      <c r="AD185" s="10">
        <v>0</v>
      </c>
      <c r="AE185" s="10">
        <v>0</v>
      </c>
      <c r="AF185" s="117">
        <f t="shared" si="184"/>
        <v>0</v>
      </c>
      <c r="AG185" s="118">
        <f t="shared" si="185"/>
        <v>0</v>
      </c>
      <c r="AH185" s="80">
        <f t="shared" si="186"/>
        <v>11</v>
      </c>
      <c r="AI185" s="127">
        <f t="shared" si="210"/>
        <v>11</v>
      </c>
      <c r="AJ185" s="111">
        <v>0</v>
      </c>
      <c r="AK185" s="111">
        <v>0</v>
      </c>
      <c r="AL185" s="112">
        <f t="shared" ca="1" si="208"/>
        <v>0</v>
      </c>
      <c r="AM185" s="112">
        <f t="shared" si="209"/>
        <v>0</v>
      </c>
      <c r="AN185" s="80">
        <f t="shared" si="187"/>
        <v>11</v>
      </c>
      <c r="AO185" s="12">
        <f t="shared" si="188"/>
        <v>11</v>
      </c>
      <c r="AP185" s="10">
        <v>0</v>
      </c>
      <c r="AQ185" s="10">
        <v>0</v>
      </c>
      <c r="AR185" s="12">
        <f t="shared" si="189"/>
        <v>0</v>
      </c>
      <c r="AS185" s="12">
        <f t="shared" si="190"/>
        <v>0</v>
      </c>
      <c r="AT185" s="13">
        <f t="shared" si="191"/>
        <v>11</v>
      </c>
      <c r="AU185" s="12">
        <f t="shared" si="192"/>
        <v>11</v>
      </c>
      <c r="AV185" s="10">
        <v>0</v>
      </c>
      <c r="AW185" s="10">
        <v>0</v>
      </c>
      <c r="AX185" s="12">
        <f t="shared" si="193"/>
        <v>0</v>
      </c>
      <c r="AY185" s="12">
        <f t="shared" si="194"/>
        <v>0</v>
      </c>
      <c r="AZ185" s="32">
        <f t="shared" si="195"/>
        <v>11</v>
      </c>
      <c r="BA185" s="12">
        <f t="shared" si="196"/>
        <v>11</v>
      </c>
      <c r="BB185" s="10">
        <v>0</v>
      </c>
      <c r="BC185" s="10">
        <v>0</v>
      </c>
      <c r="BD185" s="12">
        <f t="shared" si="197"/>
        <v>0</v>
      </c>
      <c r="BE185" s="12">
        <f t="shared" si="198"/>
        <v>0</v>
      </c>
      <c r="BF185" s="48">
        <v>11</v>
      </c>
      <c r="BG185" s="12">
        <f t="shared" si="178"/>
        <v>11</v>
      </c>
      <c r="BH185" s="10">
        <v>0</v>
      </c>
      <c r="BI185" s="10">
        <v>0</v>
      </c>
      <c r="BJ185" s="33">
        <f t="shared" si="211"/>
        <v>0</v>
      </c>
      <c r="BK185" s="33">
        <f t="shared" si="212"/>
        <v>0</v>
      </c>
      <c r="BL185" s="48">
        <v>11</v>
      </c>
      <c r="BM185" s="12">
        <f t="shared" si="179"/>
        <v>11</v>
      </c>
      <c r="BN185" s="10">
        <v>0</v>
      </c>
      <c r="BO185" s="10">
        <v>0</v>
      </c>
      <c r="BP185" s="33">
        <f t="shared" si="213"/>
        <v>0</v>
      </c>
      <c r="BQ185" s="33">
        <f t="shared" si="214"/>
        <v>0</v>
      </c>
      <c r="BR185" s="48">
        <v>11</v>
      </c>
      <c r="BS185" s="12">
        <f t="shared" si="180"/>
        <v>11</v>
      </c>
      <c r="BT185" s="10">
        <v>0</v>
      </c>
      <c r="BU185" s="10">
        <v>0</v>
      </c>
      <c r="BV185" s="33">
        <f t="shared" si="215"/>
        <v>0</v>
      </c>
      <c r="BW185" s="33">
        <f t="shared" si="216"/>
        <v>0</v>
      </c>
      <c r="BX185" s="48">
        <v>11</v>
      </c>
      <c r="BY185" s="12">
        <f t="shared" si="181"/>
        <v>11</v>
      </c>
      <c r="BZ185" s="10">
        <v>0</v>
      </c>
      <c r="CA185" s="10">
        <v>0</v>
      </c>
      <c r="CB185" s="33">
        <f t="shared" si="217"/>
        <v>0</v>
      </c>
      <c r="CC185" s="33">
        <f t="shared" si="218"/>
        <v>0</v>
      </c>
      <c r="CD185" s="48">
        <v>11</v>
      </c>
      <c r="CE185" s="12">
        <f t="shared" si="182"/>
        <v>11</v>
      </c>
    </row>
    <row r="186" spans="1:83" ht="80.25" customHeight="1">
      <c r="A186" s="148" t="s">
        <v>599</v>
      </c>
      <c r="B186" s="155" t="s">
        <v>600</v>
      </c>
      <c r="C186" s="174" t="s">
        <v>601</v>
      </c>
      <c r="D186" s="157">
        <v>2006</v>
      </c>
      <c r="E186" s="154"/>
      <c r="F186" s="154"/>
      <c r="G186" s="154"/>
      <c r="H186" s="165">
        <v>8</v>
      </c>
      <c r="I186" s="159">
        <v>1</v>
      </c>
      <c r="J186" s="56">
        <v>0</v>
      </c>
      <c r="K186" s="33">
        <f t="shared" si="169"/>
        <v>0</v>
      </c>
      <c r="L186" s="10">
        <v>0</v>
      </c>
      <c r="M186" s="10">
        <v>0</v>
      </c>
      <c r="N186" s="33">
        <f t="shared" si="170"/>
        <v>0</v>
      </c>
      <c r="O186" s="33">
        <f t="shared" si="171"/>
        <v>0</v>
      </c>
      <c r="P186" s="56">
        <v>0</v>
      </c>
      <c r="Q186" s="33">
        <f t="shared" si="172"/>
        <v>0</v>
      </c>
      <c r="R186" s="56">
        <v>0</v>
      </c>
      <c r="S186" s="56">
        <v>0</v>
      </c>
      <c r="T186" s="33">
        <f t="shared" si="173"/>
        <v>0</v>
      </c>
      <c r="U186" s="33">
        <f t="shared" si="174"/>
        <v>0</v>
      </c>
      <c r="V186" s="56">
        <v>0</v>
      </c>
      <c r="W186" s="33">
        <f t="shared" si="175"/>
        <v>0</v>
      </c>
      <c r="X186" s="56">
        <v>0</v>
      </c>
      <c r="Y186" s="56">
        <v>0</v>
      </c>
      <c r="Z186" s="33">
        <f t="shared" si="176"/>
        <v>0</v>
      </c>
      <c r="AA186" s="33">
        <f t="shared" si="177"/>
        <v>0</v>
      </c>
      <c r="AB186" s="146">
        <v>8</v>
      </c>
      <c r="AC186" s="117">
        <f t="shared" si="183"/>
        <v>8</v>
      </c>
      <c r="AD186" s="10">
        <v>0</v>
      </c>
      <c r="AE186" s="10">
        <v>0</v>
      </c>
      <c r="AF186" s="117">
        <f t="shared" si="184"/>
        <v>0</v>
      </c>
      <c r="AG186" s="118">
        <f t="shared" si="185"/>
        <v>0</v>
      </c>
      <c r="AH186" s="80">
        <f t="shared" si="186"/>
        <v>8</v>
      </c>
      <c r="AI186" s="127">
        <f t="shared" si="210"/>
        <v>8</v>
      </c>
      <c r="AJ186" s="111">
        <v>0</v>
      </c>
      <c r="AK186" s="111">
        <v>0</v>
      </c>
      <c r="AL186" s="112">
        <f t="shared" ca="1" si="208"/>
        <v>0</v>
      </c>
      <c r="AM186" s="112">
        <f t="shared" si="209"/>
        <v>0</v>
      </c>
      <c r="AN186" s="80">
        <f t="shared" si="187"/>
        <v>8</v>
      </c>
      <c r="AO186" s="12">
        <f t="shared" si="188"/>
        <v>8</v>
      </c>
      <c r="AP186" s="10">
        <v>0</v>
      </c>
      <c r="AQ186" s="10">
        <v>0</v>
      </c>
      <c r="AR186" s="12">
        <f t="shared" si="189"/>
        <v>0</v>
      </c>
      <c r="AS186" s="12">
        <f t="shared" si="190"/>
        <v>0</v>
      </c>
      <c r="AT186" s="13">
        <f t="shared" si="191"/>
        <v>8</v>
      </c>
      <c r="AU186" s="12">
        <f t="shared" si="192"/>
        <v>8</v>
      </c>
      <c r="AV186" s="10">
        <v>0</v>
      </c>
      <c r="AW186" s="10">
        <v>0</v>
      </c>
      <c r="AX186" s="12">
        <f t="shared" si="193"/>
        <v>0</v>
      </c>
      <c r="AY186" s="12">
        <f t="shared" si="194"/>
        <v>0</v>
      </c>
      <c r="AZ186" s="32">
        <f t="shared" si="195"/>
        <v>8</v>
      </c>
      <c r="BA186" s="12">
        <f t="shared" si="196"/>
        <v>8</v>
      </c>
      <c r="BB186" s="10">
        <v>0</v>
      </c>
      <c r="BC186" s="10">
        <v>0</v>
      </c>
      <c r="BD186" s="12">
        <f t="shared" si="197"/>
        <v>0</v>
      </c>
      <c r="BE186" s="12">
        <f t="shared" si="198"/>
        <v>0</v>
      </c>
      <c r="BF186" s="48">
        <v>8</v>
      </c>
      <c r="BG186" s="12">
        <f t="shared" si="178"/>
        <v>8</v>
      </c>
      <c r="BH186" s="10">
        <v>0</v>
      </c>
      <c r="BI186" s="10">
        <v>0</v>
      </c>
      <c r="BJ186" s="33">
        <f t="shared" si="211"/>
        <v>0</v>
      </c>
      <c r="BK186" s="33">
        <f t="shared" si="212"/>
        <v>0</v>
      </c>
      <c r="BL186" s="48">
        <v>8</v>
      </c>
      <c r="BM186" s="12">
        <f t="shared" si="179"/>
        <v>8</v>
      </c>
      <c r="BN186" s="10">
        <v>0</v>
      </c>
      <c r="BO186" s="10">
        <v>0</v>
      </c>
      <c r="BP186" s="33">
        <f t="shared" si="213"/>
        <v>0</v>
      </c>
      <c r="BQ186" s="33">
        <f t="shared" si="214"/>
        <v>0</v>
      </c>
      <c r="BR186" s="48">
        <v>8</v>
      </c>
      <c r="BS186" s="12">
        <f t="shared" si="180"/>
        <v>8</v>
      </c>
      <c r="BT186" s="10">
        <v>0</v>
      </c>
      <c r="BU186" s="10">
        <v>0</v>
      </c>
      <c r="BV186" s="33">
        <f t="shared" si="215"/>
        <v>0</v>
      </c>
      <c r="BW186" s="33">
        <f t="shared" si="216"/>
        <v>0</v>
      </c>
      <c r="BX186" s="48">
        <v>8</v>
      </c>
      <c r="BY186" s="12">
        <f t="shared" si="181"/>
        <v>8</v>
      </c>
      <c r="BZ186" s="10">
        <v>0</v>
      </c>
      <c r="CA186" s="10">
        <v>0</v>
      </c>
      <c r="CB186" s="33">
        <f t="shared" si="217"/>
        <v>0</v>
      </c>
      <c r="CC186" s="33">
        <f t="shared" si="218"/>
        <v>0</v>
      </c>
      <c r="CD186" s="48">
        <v>8</v>
      </c>
      <c r="CE186" s="12">
        <f t="shared" si="182"/>
        <v>8</v>
      </c>
    </row>
    <row r="187" spans="1:83" ht="80.25" customHeight="1">
      <c r="A187" s="148" t="s">
        <v>602</v>
      </c>
      <c r="B187" s="155" t="s">
        <v>603</v>
      </c>
      <c r="C187" s="173" t="s">
        <v>604</v>
      </c>
      <c r="D187" s="156">
        <v>2011</v>
      </c>
      <c r="E187" s="154"/>
      <c r="F187" s="154"/>
      <c r="G187" s="154"/>
      <c r="H187" s="165">
        <v>12</v>
      </c>
      <c r="I187" s="159">
        <v>1</v>
      </c>
      <c r="J187" s="56">
        <v>0</v>
      </c>
      <c r="K187" s="33">
        <f t="shared" si="169"/>
        <v>0</v>
      </c>
      <c r="L187" s="10">
        <v>0</v>
      </c>
      <c r="M187" s="10">
        <v>0</v>
      </c>
      <c r="N187" s="33">
        <f t="shared" si="170"/>
        <v>0</v>
      </c>
      <c r="O187" s="33">
        <f t="shared" si="171"/>
        <v>0</v>
      </c>
      <c r="P187" s="56">
        <v>0</v>
      </c>
      <c r="Q187" s="33">
        <f t="shared" si="172"/>
        <v>0</v>
      </c>
      <c r="R187" s="56">
        <v>0</v>
      </c>
      <c r="S187" s="56">
        <v>0</v>
      </c>
      <c r="T187" s="33">
        <f t="shared" si="173"/>
        <v>0</v>
      </c>
      <c r="U187" s="33">
        <f t="shared" si="174"/>
        <v>0</v>
      </c>
      <c r="V187" s="56">
        <v>0</v>
      </c>
      <c r="W187" s="33">
        <f t="shared" si="175"/>
        <v>0</v>
      </c>
      <c r="X187" s="56">
        <v>0</v>
      </c>
      <c r="Y187" s="56">
        <v>0</v>
      </c>
      <c r="Z187" s="33">
        <f t="shared" si="176"/>
        <v>0</v>
      </c>
      <c r="AA187" s="33">
        <f t="shared" si="177"/>
        <v>0</v>
      </c>
      <c r="AB187" s="146">
        <v>12</v>
      </c>
      <c r="AC187" s="117">
        <f t="shared" si="183"/>
        <v>12</v>
      </c>
      <c r="AD187" s="10">
        <v>0</v>
      </c>
      <c r="AE187" s="10">
        <v>0</v>
      </c>
      <c r="AF187" s="117">
        <f t="shared" si="184"/>
        <v>0</v>
      </c>
      <c r="AG187" s="118">
        <f t="shared" si="185"/>
        <v>0</v>
      </c>
      <c r="AH187" s="80">
        <f t="shared" si="186"/>
        <v>12</v>
      </c>
      <c r="AI187" s="127">
        <f t="shared" si="210"/>
        <v>12</v>
      </c>
      <c r="AJ187" s="111">
        <v>0</v>
      </c>
      <c r="AK187" s="111">
        <v>0</v>
      </c>
      <c r="AL187" s="112">
        <f t="shared" ca="1" si="208"/>
        <v>0</v>
      </c>
      <c r="AM187" s="112">
        <f t="shared" si="209"/>
        <v>0</v>
      </c>
      <c r="AN187" s="80">
        <f t="shared" si="187"/>
        <v>12</v>
      </c>
      <c r="AO187" s="12">
        <f t="shared" si="188"/>
        <v>12</v>
      </c>
      <c r="AP187" s="10">
        <v>0</v>
      </c>
      <c r="AQ187" s="10">
        <v>0</v>
      </c>
      <c r="AR187" s="12">
        <f t="shared" si="189"/>
        <v>0</v>
      </c>
      <c r="AS187" s="12">
        <f t="shared" si="190"/>
        <v>0</v>
      </c>
      <c r="AT187" s="13">
        <f t="shared" si="191"/>
        <v>12</v>
      </c>
      <c r="AU187" s="12">
        <f t="shared" si="192"/>
        <v>12</v>
      </c>
      <c r="AV187" s="10">
        <v>0</v>
      </c>
      <c r="AW187" s="10">
        <v>0</v>
      </c>
      <c r="AX187" s="12">
        <f t="shared" si="193"/>
        <v>0</v>
      </c>
      <c r="AY187" s="12">
        <f t="shared" si="194"/>
        <v>0</v>
      </c>
      <c r="AZ187" s="32">
        <f t="shared" si="195"/>
        <v>12</v>
      </c>
      <c r="BA187" s="12">
        <f t="shared" si="196"/>
        <v>12</v>
      </c>
      <c r="BB187" s="10">
        <v>0</v>
      </c>
      <c r="BC187" s="10">
        <v>0</v>
      </c>
      <c r="BD187" s="12">
        <f t="shared" si="197"/>
        <v>0</v>
      </c>
      <c r="BE187" s="12">
        <f t="shared" si="198"/>
        <v>0</v>
      </c>
      <c r="BF187" s="48">
        <v>12</v>
      </c>
      <c r="BG187" s="12">
        <f t="shared" si="178"/>
        <v>12</v>
      </c>
      <c r="BH187" s="10">
        <v>0</v>
      </c>
      <c r="BI187" s="10">
        <v>0</v>
      </c>
      <c r="BJ187" s="33">
        <f t="shared" si="211"/>
        <v>0</v>
      </c>
      <c r="BK187" s="33">
        <f t="shared" si="212"/>
        <v>0</v>
      </c>
      <c r="BL187" s="48">
        <v>12</v>
      </c>
      <c r="BM187" s="12">
        <f t="shared" si="179"/>
        <v>12</v>
      </c>
      <c r="BN187" s="10">
        <v>0</v>
      </c>
      <c r="BO187" s="10">
        <v>0</v>
      </c>
      <c r="BP187" s="33">
        <f t="shared" si="213"/>
        <v>0</v>
      </c>
      <c r="BQ187" s="33">
        <f t="shared" si="214"/>
        <v>0</v>
      </c>
      <c r="BR187" s="48">
        <v>12</v>
      </c>
      <c r="BS187" s="12">
        <f t="shared" si="180"/>
        <v>12</v>
      </c>
      <c r="BT187" s="10">
        <v>0</v>
      </c>
      <c r="BU187" s="10">
        <v>0</v>
      </c>
      <c r="BV187" s="33">
        <f t="shared" si="215"/>
        <v>0</v>
      </c>
      <c r="BW187" s="33">
        <f t="shared" si="216"/>
        <v>0</v>
      </c>
      <c r="BX187" s="48">
        <v>12</v>
      </c>
      <c r="BY187" s="12">
        <f t="shared" si="181"/>
        <v>12</v>
      </c>
      <c r="BZ187" s="10">
        <v>0</v>
      </c>
      <c r="CA187" s="10">
        <v>0</v>
      </c>
      <c r="CB187" s="33">
        <f t="shared" si="217"/>
        <v>0</v>
      </c>
      <c r="CC187" s="33">
        <f t="shared" si="218"/>
        <v>0</v>
      </c>
      <c r="CD187" s="48">
        <v>12</v>
      </c>
      <c r="CE187" s="12">
        <f t="shared" si="182"/>
        <v>12</v>
      </c>
    </row>
    <row r="188" spans="1:83" ht="80.25" customHeight="1">
      <c r="A188" s="148" t="s">
        <v>605</v>
      </c>
      <c r="B188" s="155" t="s">
        <v>606</v>
      </c>
      <c r="C188" s="173" t="s">
        <v>607</v>
      </c>
      <c r="D188" s="156">
        <v>2007</v>
      </c>
      <c r="E188" s="154"/>
      <c r="F188" s="154"/>
      <c r="G188" s="154"/>
      <c r="H188" s="165">
        <v>3</v>
      </c>
      <c r="I188" s="159">
        <v>1</v>
      </c>
      <c r="J188" s="56">
        <v>0</v>
      </c>
      <c r="K188" s="33">
        <f t="shared" si="169"/>
        <v>0</v>
      </c>
      <c r="L188" s="10">
        <v>0</v>
      </c>
      <c r="M188" s="10">
        <v>0</v>
      </c>
      <c r="N188" s="33">
        <f t="shared" si="170"/>
        <v>0</v>
      </c>
      <c r="O188" s="33">
        <f t="shared" si="171"/>
        <v>0</v>
      </c>
      <c r="P188" s="56">
        <v>0</v>
      </c>
      <c r="Q188" s="33">
        <f t="shared" si="172"/>
        <v>0</v>
      </c>
      <c r="R188" s="56">
        <v>0</v>
      </c>
      <c r="S188" s="56">
        <v>0</v>
      </c>
      <c r="T188" s="33">
        <f t="shared" si="173"/>
        <v>0</v>
      </c>
      <c r="U188" s="33">
        <f t="shared" si="174"/>
        <v>0</v>
      </c>
      <c r="V188" s="56">
        <v>0</v>
      </c>
      <c r="W188" s="33">
        <f t="shared" si="175"/>
        <v>0</v>
      </c>
      <c r="X188" s="56">
        <v>0</v>
      </c>
      <c r="Y188" s="56">
        <v>0</v>
      </c>
      <c r="Z188" s="33">
        <f t="shared" si="176"/>
        <v>0</v>
      </c>
      <c r="AA188" s="33">
        <f t="shared" si="177"/>
        <v>0</v>
      </c>
      <c r="AB188" s="146">
        <v>3</v>
      </c>
      <c r="AC188" s="117">
        <f t="shared" si="183"/>
        <v>3</v>
      </c>
      <c r="AD188" s="10">
        <v>0</v>
      </c>
      <c r="AE188" s="10">
        <v>0</v>
      </c>
      <c r="AF188" s="117">
        <f t="shared" si="184"/>
        <v>0</v>
      </c>
      <c r="AG188" s="118">
        <f t="shared" si="185"/>
        <v>0</v>
      </c>
      <c r="AH188" s="80">
        <f t="shared" si="186"/>
        <v>3</v>
      </c>
      <c r="AI188" s="127">
        <f t="shared" si="210"/>
        <v>3</v>
      </c>
      <c r="AJ188" s="111">
        <v>0</v>
      </c>
      <c r="AK188" s="111">
        <v>0</v>
      </c>
      <c r="AL188" s="112">
        <f t="shared" ca="1" si="208"/>
        <v>0</v>
      </c>
      <c r="AM188" s="112">
        <f t="shared" si="209"/>
        <v>0</v>
      </c>
      <c r="AN188" s="80">
        <f t="shared" si="187"/>
        <v>3</v>
      </c>
      <c r="AO188" s="12">
        <f t="shared" si="188"/>
        <v>3</v>
      </c>
      <c r="AP188" s="10">
        <v>0</v>
      </c>
      <c r="AQ188" s="10">
        <v>0</v>
      </c>
      <c r="AR188" s="12">
        <f t="shared" si="189"/>
        <v>0</v>
      </c>
      <c r="AS188" s="12">
        <f t="shared" si="190"/>
        <v>0</v>
      </c>
      <c r="AT188" s="13">
        <f t="shared" si="191"/>
        <v>3</v>
      </c>
      <c r="AU188" s="12">
        <f t="shared" si="192"/>
        <v>3</v>
      </c>
      <c r="AV188" s="10">
        <v>0</v>
      </c>
      <c r="AW188" s="10">
        <v>0</v>
      </c>
      <c r="AX188" s="12">
        <f t="shared" si="193"/>
        <v>0</v>
      </c>
      <c r="AY188" s="12">
        <f t="shared" si="194"/>
        <v>0</v>
      </c>
      <c r="AZ188" s="32">
        <f t="shared" si="195"/>
        <v>3</v>
      </c>
      <c r="BA188" s="12">
        <f t="shared" si="196"/>
        <v>3</v>
      </c>
      <c r="BB188" s="10">
        <v>0</v>
      </c>
      <c r="BC188" s="10">
        <v>0</v>
      </c>
      <c r="BD188" s="12">
        <f t="shared" si="197"/>
        <v>0</v>
      </c>
      <c r="BE188" s="12">
        <f t="shared" si="198"/>
        <v>0</v>
      </c>
      <c r="BF188" s="48">
        <v>3</v>
      </c>
      <c r="BG188" s="12">
        <f t="shared" si="178"/>
        <v>3</v>
      </c>
      <c r="BH188" s="10">
        <v>0</v>
      </c>
      <c r="BI188" s="10">
        <v>0</v>
      </c>
      <c r="BJ188" s="33">
        <f t="shared" si="211"/>
        <v>0</v>
      </c>
      <c r="BK188" s="33">
        <f t="shared" si="212"/>
        <v>0</v>
      </c>
      <c r="BL188" s="48">
        <v>3</v>
      </c>
      <c r="BM188" s="12">
        <f t="shared" si="179"/>
        <v>3</v>
      </c>
      <c r="BN188" s="10">
        <v>0</v>
      </c>
      <c r="BO188" s="10">
        <v>0</v>
      </c>
      <c r="BP188" s="33">
        <f t="shared" si="213"/>
        <v>0</v>
      </c>
      <c r="BQ188" s="33">
        <f t="shared" si="214"/>
        <v>0</v>
      </c>
      <c r="BR188" s="48">
        <v>3</v>
      </c>
      <c r="BS188" s="12">
        <f t="shared" si="180"/>
        <v>3</v>
      </c>
      <c r="BT188" s="10">
        <v>0</v>
      </c>
      <c r="BU188" s="10">
        <v>0</v>
      </c>
      <c r="BV188" s="33">
        <f t="shared" si="215"/>
        <v>0</v>
      </c>
      <c r="BW188" s="33">
        <f t="shared" si="216"/>
        <v>0</v>
      </c>
      <c r="BX188" s="48">
        <v>3</v>
      </c>
      <c r="BY188" s="12">
        <f t="shared" si="181"/>
        <v>3</v>
      </c>
      <c r="BZ188" s="10">
        <v>0</v>
      </c>
      <c r="CA188" s="10">
        <v>0</v>
      </c>
      <c r="CB188" s="33">
        <f t="shared" si="217"/>
        <v>0</v>
      </c>
      <c r="CC188" s="33">
        <f t="shared" si="218"/>
        <v>0</v>
      </c>
      <c r="CD188" s="48">
        <v>3</v>
      </c>
      <c r="CE188" s="12">
        <f t="shared" si="182"/>
        <v>3</v>
      </c>
    </row>
    <row r="189" spans="1:83" ht="80.25" customHeight="1">
      <c r="A189" s="148" t="s">
        <v>608</v>
      </c>
      <c r="B189" s="155" t="s">
        <v>609</v>
      </c>
      <c r="C189" s="173" t="s">
        <v>610</v>
      </c>
      <c r="D189" s="156">
        <v>2015</v>
      </c>
      <c r="E189" s="154"/>
      <c r="F189" s="154"/>
      <c r="G189" s="154"/>
      <c r="H189" s="165">
        <v>1</v>
      </c>
      <c r="I189" s="159">
        <v>1</v>
      </c>
      <c r="J189" s="56">
        <v>0</v>
      </c>
      <c r="K189" s="33">
        <f t="shared" si="169"/>
        <v>0</v>
      </c>
      <c r="L189" s="10">
        <v>0</v>
      </c>
      <c r="M189" s="10">
        <v>0</v>
      </c>
      <c r="N189" s="33">
        <f t="shared" si="170"/>
        <v>0</v>
      </c>
      <c r="O189" s="33">
        <f t="shared" si="171"/>
        <v>0</v>
      </c>
      <c r="P189" s="56">
        <v>0</v>
      </c>
      <c r="Q189" s="33">
        <f t="shared" si="172"/>
        <v>0</v>
      </c>
      <c r="R189" s="56">
        <v>0</v>
      </c>
      <c r="S189" s="56">
        <v>0</v>
      </c>
      <c r="T189" s="33">
        <f t="shared" si="173"/>
        <v>0</v>
      </c>
      <c r="U189" s="33">
        <f t="shared" si="174"/>
        <v>0</v>
      </c>
      <c r="V189" s="56">
        <v>0</v>
      </c>
      <c r="W189" s="33">
        <f t="shared" si="175"/>
        <v>0</v>
      </c>
      <c r="X189" s="56">
        <v>0</v>
      </c>
      <c r="Y189" s="56">
        <v>0</v>
      </c>
      <c r="Z189" s="33">
        <f t="shared" si="176"/>
        <v>0</v>
      </c>
      <c r="AA189" s="33">
        <f t="shared" si="177"/>
        <v>0</v>
      </c>
      <c r="AB189" s="146">
        <v>1</v>
      </c>
      <c r="AC189" s="117">
        <f t="shared" si="183"/>
        <v>1</v>
      </c>
      <c r="AD189" s="10">
        <v>0</v>
      </c>
      <c r="AE189" s="10">
        <v>0</v>
      </c>
      <c r="AF189" s="117">
        <f t="shared" si="184"/>
        <v>0</v>
      </c>
      <c r="AG189" s="118">
        <f t="shared" si="185"/>
        <v>0</v>
      </c>
      <c r="AH189" s="80">
        <f t="shared" si="186"/>
        <v>1</v>
      </c>
      <c r="AI189" s="127">
        <f t="shared" si="210"/>
        <v>1</v>
      </c>
      <c r="AJ189" s="111">
        <v>0</v>
      </c>
      <c r="AK189" s="111">
        <v>0</v>
      </c>
      <c r="AL189" s="112">
        <f t="shared" ca="1" si="208"/>
        <v>0</v>
      </c>
      <c r="AM189" s="112">
        <f t="shared" si="209"/>
        <v>0</v>
      </c>
      <c r="AN189" s="80">
        <f t="shared" si="187"/>
        <v>1</v>
      </c>
      <c r="AO189" s="12">
        <f t="shared" si="188"/>
        <v>1</v>
      </c>
      <c r="AP189" s="10">
        <v>0</v>
      </c>
      <c r="AQ189" s="10">
        <v>0</v>
      </c>
      <c r="AR189" s="12">
        <f t="shared" si="189"/>
        <v>0</v>
      </c>
      <c r="AS189" s="12">
        <f t="shared" si="190"/>
        <v>0</v>
      </c>
      <c r="AT189" s="13">
        <f t="shared" si="191"/>
        <v>1</v>
      </c>
      <c r="AU189" s="12">
        <f t="shared" si="192"/>
        <v>1</v>
      </c>
      <c r="AV189" s="10">
        <v>0</v>
      </c>
      <c r="AW189" s="10">
        <v>0</v>
      </c>
      <c r="AX189" s="12">
        <f t="shared" si="193"/>
        <v>0</v>
      </c>
      <c r="AY189" s="12">
        <f t="shared" si="194"/>
        <v>0</v>
      </c>
      <c r="AZ189" s="32">
        <f t="shared" si="195"/>
        <v>1</v>
      </c>
      <c r="BA189" s="12">
        <f t="shared" si="196"/>
        <v>1</v>
      </c>
      <c r="BB189" s="10">
        <v>0</v>
      </c>
      <c r="BC189" s="10">
        <v>0</v>
      </c>
      <c r="BD189" s="12">
        <f t="shared" si="197"/>
        <v>0</v>
      </c>
      <c r="BE189" s="12">
        <f t="shared" si="198"/>
        <v>0</v>
      </c>
      <c r="BF189" s="48">
        <v>1</v>
      </c>
      <c r="BG189" s="12">
        <f t="shared" si="178"/>
        <v>1</v>
      </c>
      <c r="BH189" s="10">
        <v>0</v>
      </c>
      <c r="BI189" s="10">
        <v>0</v>
      </c>
      <c r="BJ189" s="33">
        <f t="shared" si="211"/>
        <v>0</v>
      </c>
      <c r="BK189" s="33">
        <f t="shared" si="212"/>
        <v>0</v>
      </c>
      <c r="BL189" s="48">
        <v>1</v>
      </c>
      <c r="BM189" s="12">
        <f t="shared" si="179"/>
        <v>1</v>
      </c>
      <c r="BN189" s="10">
        <v>0</v>
      </c>
      <c r="BO189" s="10">
        <v>0</v>
      </c>
      <c r="BP189" s="33">
        <f t="shared" si="213"/>
        <v>0</v>
      </c>
      <c r="BQ189" s="33">
        <f t="shared" si="214"/>
        <v>0</v>
      </c>
      <c r="BR189" s="48">
        <v>1</v>
      </c>
      <c r="BS189" s="12">
        <f t="shared" si="180"/>
        <v>1</v>
      </c>
      <c r="BT189" s="10">
        <v>0</v>
      </c>
      <c r="BU189" s="10">
        <v>0</v>
      </c>
      <c r="BV189" s="33">
        <f t="shared" si="215"/>
        <v>0</v>
      </c>
      <c r="BW189" s="33">
        <f t="shared" si="216"/>
        <v>0</v>
      </c>
      <c r="BX189" s="48">
        <v>1</v>
      </c>
      <c r="BY189" s="12">
        <f t="shared" si="181"/>
        <v>1</v>
      </c>
      <c r="BZ189" s="10">
        <v>0</v>
      </c>
      <c r="CA189" s="10">
        <v>0</v>
      </c>
      <c r="CB189" s="33">
        <f t="shared" si="217"/>
        <v>0</v>
      </c>
      <c r="CC189" s="33">
        <f t="shared" si="218"/>
        <v>0</v>
      </c>
      <c r="CD189" s="48">
        <v>1</v>
      </c>
      <c r="CE189" s="12">
        <f t="shared" si="182"/>
        <v>1</v>
      </c>
    </row>
    <row r="190" spans="1:83" ht="80.25" customHeight="1">
      <c r="A190" s="148" t="s">
        <v>611</v>
      </c>
      <c r="B190" s="155" t="s">
        <v>612</v>
      </c>
      <c r="C190" s="174" t="s">
        <v>613</v>
      </c>
      <c r="D190" s="157">
        <v>2002</v>
      </c>
      <c r="E190" s="154"/>
      <c r="F190" s="154"/>
      <c r="G190" s="154"/>
      <c r="H190" s="165">
        <v>1</v>
      </c>
      <c r="I190" s="159">
        <v>1</v>
      </c>
      <c r="J190" s="56">
        <v>0</v>
      </c>
      <c r="K190" s="33">
        <f t="shared" si="169"/>
        <v>0</v>
      </c>
      <c r="L190" s="10">
        <v>0</v>
      </c>
      <c r="M190" s="10">
        <v>0</v>
      </c>
      <c r="N190" s="33">
        <f t="shared" si="170"/>
        <v>0</v>
      </c>
      <c r="O190" s="33">
        <f t="shared" si="171"/>
        <v>0</v>
      </c>
      <c r="P190" s="56">
        <v>0</v>
      </c>
      <c r="Q190" s="33">
        <f t="shared" si="172"/>
        <v>0</v>
      </c>
      <c r="R190" s="56">
        <v>0</v>
      </c>
      <c r="S190" s="56">
        <v>0</v>
      </c>
      <c r="T190" s="33">
        <f t="shared" si="173"/>
        <v>0</v>
      </c>
      <c r="U190" s="33">
        <f t="shared" si="174"/>
        <v>0</v>
      </c>
      <c r="V190" s="56">
        <v>0</v>
      </c>
      <c r="W190" s="33">
        <f t="shared" si="175"/>
        <v>0</v>
      </c>
      <c r="X190" s="56">
        <v>0</v>
      </c>
      <c r="Y190" s="56">
        <v>0</v>
      </c>
      <c r="Z190" s="33">
        <f t="shared" si="176"/>
        <v>0</v>
      </c>
      <c r="AA190" s="33">
        <f t="shared" si="177"/>
        <v>0</v>
      </c>
      <c r="AB190" s="146">
        <v>1</v>
      </c>
      <c r="AC190" s="117">
        <f t="shared" si="183"/>
        <v>1</v>
      </c>
      <c r="AD190" s="10">
        <v>0</v>
      </c>
      <c r="AE190" s="10">
        <v>0</v>
      </c>
      <c r="AF190" s="117">
        <f t="shared" si="184"/>
        <v>0</v>
      </c>
      <c r="AG190" s="118">
        <f t="shared" si="185"/>
        <v>0</v>
      </c>
      <c r="AH190" s="80">
        <f t="shared" si="186"/>
        <v>1</v>
      </c>
      <c r="AI190" s="127">
        <f t="shared" si="210"/>
        <v>1</v>
      </c>
      <c r="AJ190" s="111">
        <v>0</v>
      </c>
      <c r="AK190" s="111">
        <v>0</v>
      </c>
      <c r="AL190" s="112">
        <f t="shared" ca="1" si="208"/>
        <v>0</v>
      </c>
      <c r="AM190" s="112">
        <f t="shared" si="209"/>
        <v>0</v>
      </c>
      <c r="AN190" s="80">
        <f t="shared" si="187"/>
        <v>1</v>
      </c>
      <c r="AO190" s="12">
        <f t="shared" si="188"/>
        <v>1</v>
      </c>
      <c r="AP190" s="10">
        <v>0</v>
      </c>
      <c r="AQ190" s="10">
        <v>0</v>
      </c>
      <c r="AR190" s="12">
        <f t="shared" si="189"/>
        <v>0</v>
      </c>
      <c r="AS190" s="12">
        <f t="shared" si="190"/>
        <v>0</v>
      </c>
      <c r="AT190" s="13">
        <f t="shared" si="191"/>
        <v>1</v>
      </c>
      <c r="AU190" s="12">
        <f t="shared" si="192"/>
        <v>1</v>
      </c>
      <c r="AV190" s="10">
        <v>0</v>
      </c>
      <c r="AW190" s="10">
        <v>0</v>
      </c>
      <c r="AX190" s="12">
        <f t="shared" si="193"/>
        <v>0</v>
      </c>
      <c r="AY190" s="12">
        <f t="shared" si="194"/>
        <v>0</v>
      </c>
      <c r="AZ190" s="32">
        <f t="shared" si="195"/>
        <v>1</v>
      </c>
      <c r="BA190" s="12">
        <f t="shared" si="196"/>
        <v>1</v>
      </c>
      <c r="BB190" s="10">
        <v>0</v>
      </c>
      <c r="BC190" s="10">
        <v>0</v>
      </c>
      <c r="BD190" s="12">
        <f t="shared" si="197"/>
        <v>0</v>
      </c>
      <c r="BE190" s="12">
        <f t="shared" si="198"/>
        <v>0</v>
      </c>
      <c r="BF190" s="48">
        <v>1</v>
      </c>
      <c r="BG190" s="12">
        <f t="shared" si="178"/>
        <v>1</v>
      </c>
      <c r="BH190" s="10">
        <v>0</v>
      </c>
      <c r="BI190" s="10">
        <v>0</v>
      </c>
      <c r="BJ190" s="33">
        <f t="shared" si="211"/>
        <v>0</v>
      </c>
      <c r="BK190" s="33">
        <f t="shared" si="212"/>
        <v>0</v>
      </c>
      <c r="BL190" s="48">
        <v>1</v>
      </c>
      <c r="BM190" s="12">
        <f t="shared" si="179"/>
        <v>1</v>
      </c>
      <c r="BN190" s="10">
        <v>0</v>
      </c>
      <c r="BO190" s="10">
        <v>0</v>
      </c>
      <c r="BP190" s="33">
        <f t="shared" si="213"/>
        <v>0</v>
      </c>
      <c r="BQ190" s="33">
        <f t="shared" si="214"/>
        <v>0</v>
      </c>
      <c r="BR190" s="48">
        <v>1</v>
      </c>
      <c r="BS190" s="12">
        <f t="shared" si="180"/>
        <v>1</v>
      </c>
      <c r="BT190" s="10">
        <v>0</v>
      </c>
      <c r="BU190" s="10">
        <v>0</v>
      </c>
      <c r="BV190" s="33">
        <f t="shared" si="215"/>
        <v>0</v>
      </c>
      <c r="BW190" s="33">
        <f t="shared" si="216"/>
        <v>0</v>
      </c>
      <c r="BX190" s="48">
        <v>1</v>
      </c>
      <c r="BY190" s="12">
        <f t="shared" si="181"/>
        <v>1</v>
      </c>
      <c r="BZ190" s="10">
        <v>0</v>
      </c>
      <c r="CA190" s="10">
        <v>0</v>
      </c>
      <c r="CB190" s="33">
        <f t="shared" si="217"/>
        <v>0</v>
      </c>
      <c r="CC190" s="33">
        <f t="shared" si="218"/>
        <v>0</v>
      </c>
      <c r="CD190" s="48">
        <v>1</v>
      </c>
      <c r="CE190" s="12">
        <f t="shared" si="182"/>
        <v>1</v>
      </c>
    </row>
    <row r="191" spans="1:83" ht="80.25" customHeight="1">
      <c r="A191" s="148" t="s">
        <v>614</v>
      </c>
      <c r="B191" s="155" t="s">
        <v>615</v>
      </c>
      <c r="C191" s="174" t="s">
        <v>616</v>
      </c>
      <c r="D191" s="157">
        <v>2003</v>
      </c>
      <c r="E191" s="154"/>
      <c r="F191" s="154"/>
      <c r="G191" s="154"/>
      <c r="H191" s="165">
        <v>1</v>
      </c>
      <c r="I191" s="159">
        <v>1</v>
      </c>
      <c r="J191" s="56">
        <v>0</v>
      </c>
      <c r="K191" s="33">
        <f t="shared" si="169"/>
        <v>0</v>
      </c>
      <c r="L191" s="10">
        <v>0</v>
      </c>
      <c r="M191" s="10">
        <v>0</v>
      </c>
      <c r="N191" s="33">
        <f t="shared" si="170"/>
        <v>0</v>
      </c>
      <c r="O191" s="33">
        <f t="shared" si="171"/>
        <v>0</v>
      </c>
      <c r="P191" s="56">
        <v>0</v>
      </c>
      <c r="Q191" s="33">
        <f t="shared" si="172"/>
        <v>0</v>
      </c>
      <c r="R191" s="56">
        <v>0</v>
      </c>
      <c r="S191" s="56">
        <v>0</v>
      </c>
      <c r="T191" s="33">
        <f t="shared" si="173"/>
        <v>0</v>
      </c>
      <c r="U191" s="33">
        <f t="shared" si="174"/>
        <v>0</v>
      </c>
      <c r="V191" s="56">
        <v>0</v>
      </c>
      <c r="W191" s="33">
        <f t="shared" si="175"/>
        <v>0</v>
      </c>
      <c r="X191" s="56">
        <v>0</v>
      </c>
      <c r="Y191" s="56">
        <v>0</v>
      </c>
      <c r="Z191" s="33">
        <f t="shared" si="176"/>
        <v>0</v>
      </c>
      <c r="AA191" s="33">
        <f t="shared" si="177"/>
        <v>0</v>
      </c>
      <c r="AB191" s="146">
        <v>1</v>
      </c>
      <c r="AC191" s="117">
        <f t="shared" si="183"/>
        <v>1</v>
      </c>
      <c r="AD191" s="10">
        <v>0</v>
      </c>
      <c r="AE191" s="10">
        <v>0</v>
      </c>
      <c r="AF191" s="117">
        <f t="shared" si="184"/>
        <v>0</v>
      </c>
      <c r="AG191" s="118">
        <f t="shared" si="185"/>
        <v>0</v>
      </c>
      <c r="AH191" s="80">
        <f t="shared" si="186"/>
        <v>1</v>
      </c>
      <c r="AI191" s="127">
        <f t="shared" si="210"/>
        <v>1</v>
      </c>
      <c r="AJ191" s="111">
        <v>0</v>
      </c>
      <c r="AK191" s="111">
        <v>0</v>
      </c>
      <c r="AL191" s="112">
        <f t="shared" ca="1" si="208"/>
        <v>0</v>
      </c>
      <c r="AM191" s="112">
        <f t="shared" si="209"/>
        <v>0</v>
      </c>
      <c r="AN191" s="80">
        <f t="shared" si="187"/>
        <v>1</v>
      </c>
      <c r="AO191" s="12">
        <f t="shared" si="188"/>
        <v>1</v>
      </c>
      <c r="AP191" s="10">
        <v>0</v>
      </c>
      <c r="AQ191" s="10">
        <v>0</v>
      </c>
      <c r="AR191" s="12">
        <f t="shared" si="189"/>
        <v>0</v>
      </c>
      <c r="AS191" s="12">
        <f t="shared" si="190"/>
        <v>0</v>
      </c>
      <c r="AT191" s="13">
        <f t="shared" si="191"/>
        <v>1</v>
      </c>
      <c r="AU191" s="12">
        <f t="shared" si="192"/>
        <v>1</v>
      </c>
      <c r="AV191" s="10">
        <v>0</v>
      </c>
      <c r="AW191" s="10">
        <v>0</v>
      </c>
      <c r="AX191" s="12">
        <f t="shared" si="193"/>
        <v>0</v>
      </c>
      <c r="AY191" s="12">
        <f t="shared" si="194"/>
        <v>0</v>
      </c>
      <c r="AZ191" s="32">
        <f t="shared" si="195"/>
        <v>1</v>
      </c>
      <c r="BA191" s="12">
        <f t="shared" si="196"/>
        <v>1</v>
      </c>
      <c r="BB191" s="10">
        <v>0</v>
      </c>
      <c r="BC191" s="10">
        <v>0</v>
      </c>
      <c r="BD191" s="12">
        <f t="shared" si="197"/>
        <v>0</v>
      </c>
      <c r="BE191" s="12">
        <f t="shared" si="198"/>
        <v>0</v>
      </c>
      <c r="BF191" s="48">
        <v>1</v>
      </c>
      <c r="BG191" s="12">
        <f t="shared" si="178"/>
        <v>1</v>
      </c>
      <c r="BH191" s="10">
        <v>0</v>
      </c>
      <c r="BI191" s="10">
        <v>0</v>
      </c>
      <c r="BJ191" s="33">
        <f t="shared" si="211"/>
        <v>0</v>
      </c>
      <c r="BK191" s="33">
        <f t="shared" si="212"/>
        <v>0</v>
      </c>
      <c r="BL191" s="48">
        <v>1</v>
      </c>
      <c r="BM191" s="12">
        <f t="shared" si="179"/>
        <v>1</v>
      </c>
      <c r="BN191" s="10">
        <v>0</v>
      </c>
      <c r="BO191" s="10">
        <v>0</v>
      </c>
      <c r="BP191" s="33">
        <f t="shared" si="213"/>
        <v>0</v>
      </c>
      <c r="BQ191" s="33">
        <f t="shared" si="214"/>
        <v>0</v>
      </c>
      <c r="BR191" s="48">
        <v>1</v>
      </c>
      <c r="BS191" s="12">
        <f t="shared" si="180"/>
        <v>1</v>
      </c>
      <c r="BT191" s="10">
        <v>0</v>
      </c>
      <c r="BU191" s="10">
        <v>0</v>
      </c>
      <c r="BV191" s="33">
        <f t="shared" si="215"/>
        <v>0</v>
      </c>
      <c r="BW191" s="33">
        <f t="shared" si="216"/>
        <v>0</v>
      </c>
      <c r="BX191" s="48">
        <v>1</v>
      </c>
      <c r="BY191" s="12">
        <f t="shared" si="181"/>
        <v>1</v>
      </c>
      <c r="BZ191" s="10">
        <v>0</v>
      </c>
      <c r="CA191" s="10">
        <v>0</v>
      </c>
      <c r="CB191" s="33">
        <f t="shared" si="217"/>
        <v>0</v>
      </c>
      <c r="CC191" s="33">
        <f t="shared" si="218"/>
        <v>0</v>
      </c>
      <c r="CD191" s="48">
        <v>1</v>
      </c>
      <c r="CE191" s="12">
        <f t="shared" si="182"/>
        <v>1</v>
      </c>
    </row>
    <row r="192" spans="1:83" ht="80.25" customHeight="1">
      <c r="A192" s="148" t="s">
        <v>617</v>
      </c>
      <c r="B192" s="155" t="s">
        <v>618</v>
      </c>
      <c r="C192" s="174" t="s">
        <v>619</v>
      </c>
      <c r="D192" s="157">
        <v>2004</v>
      </c>
      <c r="E192" s="154"/>
      <c r="F192" s="154"/>
      <c r="G192" s="154"/>
      <c r="H192" s="165">
        <v>1</v>
      </c>
      <c r="I192" s="159">
        <v>1</v>
      </c>
      <c r="J192" s="56">
        <v>0</v>
      </c>
      <c r="K192" s="33">
        <f t="shared" si="169"/>
        <v>0</v>
      </c>
      <c r="L192" s="10">
        <v>0</v>
      </c>
      <c r="M192" s="10">
        <v>0</v>
      </c>
      <c r="N192" s="33">
        <f t="shared" si="170"/>
        <v>0</v>
      </c>
      <c r="O192" s="33">
        <f t="shared" si="171"/>
        <v>0</v>
      </c>
      <c r="P192" s="56">
        <v>0</v>
      </c>
      <c r="Q192" s="33">
        <f t="shared" si="172"/>
        <v>0</v>
      </c>
      <c r="R192" s="56">
        <v>0</v>
      </c>
      <c r="S192" s="56">
        <v>0</v>
      </c>
      <c r="T192" s="33">
        <f t="shared" si="173"/>
        <v>0</v>
      </c>
      <c r="U192" s="33">
        <f t="shared" si="174"/>
        <v>0</v>
      </c>
      <c r="V192" s="56">
        <v>0</v>
      </c>
      <c r="W192" s="33">
        <f t="shared" si="175"/>
        <v>0</v>
      </c>
      <c r="X192" s="56">
        <v>0</v>
      </c>
      <c r="Y192" s="56">
        <v>0</v>
      </c>
      <c r="Z192" s="33">
        <f t="shared" si="176"/>
        <v>0</v>
      </c>
      <c r="AA192" s="33">
        <f t="shared" si="177"/>
        <v>0</v>
      </c>
      <c r="AB192" s="146">
        <v>1</v>
      </c>
      <c r="AC192" s="117">
        <f t="shared" si="183"/>
        <v>1</v>
      </c>
      <c r="AD192" s="10">
        <v>0</v>
      </c>
      <c r="AE192" s="10">
        <v>0</v>
      </c>
      <c r="AF192" s="117">
        <f t="shared" si="184"/>
        <v>0</v>
      </c>
      <c r="AG192" s="118">
        <f t="shared" si="185"/>
        <v>0</v>
      </c>
      <c r="AH192" s="80">
        <f t="shared" si="186"/>
        <v>1</v>
      </c>
      <c r="AI192" s="127">
        <f t="shared" si="210"/>
        <v>1</v>
      </c>
      <c r="AJ192" s="111">
        <v>0</v>
      </c>
      <c r="AK192" s="111">
        <v>0</v>
      </c>
      <c r="AL192" s="112">
        <f t="shared" ca="1" si="208"/>
        <v>0</v>
      </c>
      <c r="AM192" s="112">
        <f t="shared" si="209"/>
        <v>0</v>
      </c>
      <c r="AN192" s="80">
        <f t="shared" si="187"/>
        <v>1</v>
      </c>
      <c r="AO192" s="12">
        <f t="shared" si="188"/>
        <v>1</v>
      </c>
      <c r="AP192" s="10">
        <v>0</v>
      </c>
      <c r="AQ192" s="10">
        <v>0</v>
      </c>
      <c r="AR192" s="12">
        <f t="shared" si="189"/>
        <v>0</v>
      </c>
      <c r="AS192" s="12">
        <f t="shared" si="190"/>
        <v>0</v>
      </c>
      <c r="AT192" s="13">
        <f t="shared" si="191"/>
        <v>1</v>
      </c>
      <c r="AU192" s="12">
        <f t="shared" si="192"/>
        <v>1</v>
      </c>
      <c r="AV192" s="10">
        <v>0</v>
      </c>
      <c r="AW192" s="10">
        <v>0</v>
      </c>
      <c r="AX192" s="12">
        <f t="shared" si="193"/>
        <v>0</v>
      </c>
      <c r="AY192" s="12">
        <f t="shared" si="194"/>
        <v>0</v>
      </c>
      <c r="AZ192" s="32">
        <f t="shared" si="195"/>
        <v>1</v>
      </c>
      <c r="BA192" s="12">
        <f t="shared" si="196"/>
        <v>1</v>
      </c>
      <c r="BB192" s="10">
        <v>0</v>
      </c>
      <c r="BC192" s="10">
        <v>0</v>
      </c>
      <c r="BD192" s="12">
        <f t="shared" si="197"/>
        <v>0</v>
      </c>
      <c r="BE192" s="12">
        <f t="shared" si="198"/>
        <v>0</v>
      </c>
      <c r="BF192" s="48">
        <v>1</v>
      </c>
      <c r="BG192" s="12">
        <f t="shared" si="178"/>
        <v>1</v>
      </c>
      <c r="BH192" s="10">
        <v>0</v>
      </c>
      <c r="BI192" s="10">
        <v>0</v>
      </c>
      <c r="BJ192" s="33">
        <f t="shared" si="211"/>
        <v>0</v>
      </c>
      <c r="BK192" s="33">
        <f t="shared" si="212"/>
        <v>0</v>
      </c>
      <c r="BL192" s="48">
        <v>1</v>
      </c>
      <c r="BM192" s="12">
        <f t="shared" si="179"/>
        <v>1</v>
      </c>
      <c r="BN192" s="10">
        <v>0</v>
      </c>
      <c r="BO192" s="10">
        <v>0</v>
      </c>
      <c r="BP192" s="33">
        <f t="shared" si="213"/>
        <v>0</v>
      </c>
      <c r="BQ192" s="33">
        <f t="shared" si="214"/>
        <v>0</v>
      </c>
      <c r="BR192" s="48">
        <v>1</v>
      </c>
      <c r="BS192" s="12">
        <f t="shared" si="180"/>
        <v>1</v>
      </c>
      <c r="BT192" s="10">
        <v>0</v>
      </c>
      <c r="BU192" s="10">
        <v>0</v>
      </c>
      <c r="BV192" s="33">
        <f t="shared" si="215"/>
        <v>0</v>
      </c>
      <c r="BW192" s="33">
        <f t="shared" si="216"/>
        <v>0</v>
      </c>
      <c r="BX192" s="48">
        <v>1</v>
      </c>
      <c r="BY192" s="12">
        <f t="shared" si="181"/>
        <v>1</v>
      </c>
      <c r="BZ192" s="10">
        <v>0</v>
      </c>
      <c r="CA192" s="10">
        <v>0</v>
      </c>
      <c r="CB192" s="33">
        <f t="shared" si="217"/>
        <v>0</v>
      </c>
      <c r="CC192" s="33">
        <f t="shared" si="218"/>
        <v>0</v>
      </c>
      <c r="CD192" s="48">
        <v>1</v>
      </c>
      <c r="CE192" s="12">
        <f t="shared" si="182"/>
        <v>1</v>
      </c>
    </row>
    <row r="193" spans="1:83" ht="80.25" customHeight="1">
      <c r="A193" s="148" t="s">
        <v>620</v>
      </c>
      <c r="B193" s="155" t="s">
        <v>621</v>
      </c>
      <c r="C193" s="174" t="s">
        <v>622</v>
      </c>
      <c r="D193" s="157">
        <v>2005</v>
      </c>
      <c r="E193" s="154"/>
      <c r="F193" s="154"/>
      <c r="G193" s="154"/>
      <c r="H193" s="165">
        <v>1</v>
      </c>
      <c r="I193" s="159">
        <v>1</v>
      </c>
      <c r="J193" s="56">
        <v>0</v>
      </c>
      <c r="K193" s="33">
        <f t="shared" si="169"/>
        <v>0</v>
      </c>
      <c r="L193" s="10">
        <v>0</v>
      </c>
      <c r="M193" s="10">
        <v>0</v>
      </c>
      <c r="N193" s="33">
        <f t="shared" si="170"/>
        <v>0</v>
      </c>
      <c r="O193" s="33">
        <f t="shared" si="171"/>
        <v>0</v>
      </c>
      <c r="P193" s="56">
        <v>0</v>
      </c>
      <c r="Q193" s="33">
        <f t="shared" si="172"/>
        <v>0</v>
      </c>
      <c r="R193" s="56">
        <v>0</v>
      </c>
      <c r="S193" s="56">
        <v>0</v>
      </c>
      <c r="T193" s="33">
        <f t="shared" si="173"/>
        <v>0</v>
      </c>
      <c r="U193" s="33">
        <f t="shared" si="174"/>
        <v>0</v>
      </c>
      <c r="V193" s="56">
        <v>0</v>
      </c>
      <c r="W193" s="33">
        <f t="shared" si="175"/>
        <v>0</v>
      </c>
      <c r="X193" s="56">
        <v>0</v>
      </c>
      <c r="Y193" s="56">
        <v>0</v>
      </c>
      <c r="Z193" s="33">
        <f t="shared" si="176"/>
        <v>0</v>
      </c>
      <c r="AA193" s="33">
        <f t="shared" si="177"/>
        <v>0</v>
      </c>
      <c r="AB193" s="146">
        <v>1</v>
      </c>
      <c r="AC193" s="117">
        <f t="shared" si="183"/>
        <v>1</v>
      </c>
      <c r="AD193" s="10">
        <v>0</v>
      </c>
      <c r="AE193" s="10">
        <v>0</v>
      </c>
      <c r="AF193" s="117">
        <f t="shared" si="184"/>
        <v>0</v>
      </c>
      <c r="AG193" s="118">
        <f t="shared" si="185"/>
        <v>0</v>
      </c>
      <c r="AH193" s="80">
        <f t="shared" si="186"/>
        <v>1</v>
      </c>
      <c r="AI193" s="127">
        <f t="shared" si="210"/>
        <v>1</v>
      </c>
      <c r="AJ193" s="111">
        <v>0</v>
      </c>
      <c r="AK193" s="111">
        <v>0</v>
      </c>
      <c r="AL193" s="112">
        <f t="shared" ca="1" si="208"/>
        <v>0</v>
      </c>
      <c r="AM193" s="112">
        <f t="shared" si="209"/>
        <v>0</v>
      </c>
      <c r="AN193" s="80">
        <f t="shared" si="187"/>
        <v>1</v>
      </c>
      <c r="AO193" s="12">
        <f t="shared" si="188"/>
        <v>1</v>
      </c>
      <c r="AP193" s="10">
        <v>0</v>
      </c>
      <c r="AQ193" s="10">
        <v>0</v>
      </c>
      <c r="AR193" s="12">
        <f t="shared" si="189"/>
        <v>0</v>
      </c>
      <c r="AS193" s="12">
        <f t="shared" si="190"/>
        <v>0</v>
      </c>
      <c r="AT193" s="13">
        <f t="shared" si="191"/>
        <v>1</v>
      </c>
      <c r="AU193" s="12">
        <f t="shared" si="192"/>
        <v>1</v>
      </c>
      <c r="AV193" s="10">
        <v>0</v>
      </c>
      <c r="AW193" s="10">
        <v>0</v>
      </c>
      <c r="AX193" s="12">
        <f t="shared" si="193"/>
        <v>0</v>
      </c>
      <c r="AY193" s="12">
        <f t="shared" si="194"/>
        <v>0</v>
      </c>
      <c r="AZ193" s="32">
        <f t="shared" si="195"/>
        <v>1</v>
      </c>
      <c r="BA193" s="12">
        <f t="shared" si="196"/>
        <v>1</v>
      </c>
      <c r="BB193" s="10">
        <v>0</v>
      </c>
      <c r="BC193" s="10">
        <v>0</v>
      </c>
      <c r="BD193" s="12">
        <f t="shared" si="197"/>
        <v>0</v>
      </c>
      <c r="BE193" s="12">
        <f t="shared" si="198"/>
        <v>0</v>
      </c>
      <c r="BF193" s="48">
        <v>1</v>
      </c>
      <c r="BG193" s="12">
        <f t="shared" si="178"/>
        <v>1</v>
      </c>
      <c r="BH193" s="10">
        <v>0</v>
      </c>
      <c r="BI193" s="10">
        <v>0</v>
      </c>
      <c r="BJ193" s="33">
        <f t="shared" si="211"/>
        <v>0</v>
      </c>
      <c r="BK193" s="33">
        <f t="shared" si="212"/>
        <v>0</v>
      </c>
      <c r="BL193" s="48">
        <v>1</v>
      </c>
      <c r="BM193" s="12">
        <f t="shared" si="179"/>
        <v>1</v>
      </c>
      <c r="BN193" s="10">
        <v>0</v>
      </c>
      <c r="BO193" s="10">
        <v>0</v>
      </c>
      <c r="BP193" s="33">
        <f t="shared" si="213"/>
        <v>0</v>
      </c>
      <c r="BQ193" s="33">
        <f t="shared" si="214"/>
        <v>0</v>
      </c>
      <c r="BR193" s="48">
        <v>1</v>
      </c>
      <c r="BS193" s="12">
        <f t="shared" si="180"/>
        <v>1</v>
      </c>
      <c r="BT193" s="10">
        <v>0</v>
      </c>
      <c r="BU193" s="10">
        <v>0</v>
      </c>
      <c r="BV193" s="33">
        <f t="shared" si="215"/>
        <v>0</v>
      </c>
      <c r="BW193" s="33">
        <f t="shared" si="216"/>
        <v>0</v>
      </c>
      <c r="BX193" s="48">
        <v>1</v>
      </c>
      <c r="BY193" s="12">
        <f t="shared" si="181"/>
        <v>1</v>
      </c>
      <c r="BZ193" s="10">
        <v>0</v>
      </c>
      <c r="CA193" s="10">
        <v>0</v>
      </c>
      <c r="CB193" s="33">
        <f t="shared" si="217"/>
        <v>0</v>
      </c>
      <c r="CC193" s="33">
        <f t="shared" si="218"/>
        <v>0</v>
      </c>
      <c r="CD193" s="48">
        <v>1</v>
      </c>
      <c r="CE193" s="12">
        <f t="shared" si="182"/>
        <v>1</v>
      </c>
    </row>
    <row r="194" spans="1:83" ht="80.25" customHeight="1">
      <c r="A194" s="148" t="s">
        <v>623</v>
      </c>
      <c r="B194" s="155" t="s">
        <v>624</v>
      </c>
      <c r="C194" s="174" t="s">
        <v>625</v>
      </c>
      <c r="D194" s="157">
        <v>2006</v>
      </c>
      <c r="E194" s="154"/>
      <c r="F194" s="154"/>
      <c r="G194" s="154"/>
      <c r="H194" s="165">
        <v>1</v>
      </c>
      <c r="I194" s="159">
        <v>1</v>
      </c>
      <c r="J194" s="56">
        <v>0</v>
      </c>
      <c r="K194" s="33">
        <f t="shared" si="169"/>
        <v>0</v>
      </c>
      <c r="L194" s="10">
        <v>0</v>
      </c>
      <c r="M194" s="10">
        <v>0</v>
      </c>
      <c r="N194" s="33">
        <f t="shared" si="170"/>
        <v>0</v>
      </c>
      <c r="O194" s="33">
        <f t="shared" si="171"/>
        <v>0</v>
      </c>
      <c r="P194" s="56">
        <v>0</v>
      </c>
      <c r="Q194" s="33">
        <f t="shared" si="172"/>
        <v>0</v>
      </c>
      <c r="R194" s="56">
        <v>0</v>
      </c>
      <c r="S194" s="56">
        <v>0</v>
      </c>
      <c r="T194" s="33">
        <f t="shared" si="173"/>
        <v>0</v>
      </c>
      <c r="U194" s="33">
        <f t="shared" si="174"/>
        <v>0</v>
      </c>
      <c r="V194" s="56">
        <v>0</v>
      </c>
      <c r="W194" s="33">
        <f t="shared" si="175"/>
        <v>0</v>
      </c>
      <c r="X194" s="56">
        <v>0</v>
      </c>
      <c r="Y194" s="56">
        <v>0</v>
      </c>
      <c r="Z194" s="33">
        <f t="shared" si="176"/>
        <v>0</v>
      </c>
      <c r="AA194" s="33">
        <f t="shared" si="177"/>
        <v>0</v>
      </c>
      <c r="AB194" s="146">
        <v>1</v>
      </c>
      <c r="AC194" s="117">
        <f t="shared" si="183"/>
        <v>1</v>
      </c>
      <c r="AD194" s="10">
        <v>0</v>
      </c>
      <c r="AE194" s="10">
        <v>0</v>
      </c>
      <c r="AF194" s="117">
        <f t="shared" si="184"/>
        <v>0</v>
      </c>
      <c r="AG194" s="118">
        <f t="shared" si="185"/>
        <v>0</v>
      </c>
      <c r="AH194" s="80">
        <f t="shared" si="186"/>
        <v>1</v>
      </c>
      <c r="AI194" s="127">
        <f t="shared" si="210"/>
        <v>1</v>
      </c>
      <c r="AJ194" s="111">
        <v>0</v>
      </c>
      <c r="AK194" s="111">
        <v>0</v>
      </c>
      <c r="AL194" s="112">
        <f t="shared" ca="1" si="208"/>
        <v>0</v>
      </c>
      <c r="AM194" s="112">
        <f t="shared" si="209"/>
        <v>0</v>
      </c>
      <c r="AN194" s="80">
        <f t="shared" si="187"/>
        <v>1</v>
      </c>
      <c r="AO194" s="12">
        <f t="shared" si="188"/>
        <v>1</v>
      </c>
      <c r="AP194" s="10">
        <v>0</v>
      </c>
      <c r="AQ194" s="10">
        <v>0</v>
      </c>
      <c r="AR194" s="12">
        <f t="shared" si="189"/>
        <v>0</v>
      </c>
      <c r="AS194" s="12">
        <f t="shared" si="190"/>
        <v>0</v>
      </c>
      <c r="AT194" s="13">
        <f t="shared" si="191"/>
        <v>1</v>
      </c>
      <c r="AU194" s="12">
        <f t="shared" si="192"/>
        <v>1</v>
      </c>
      <c r="AV194" s="10">
        <v>0</v>
      </c>
      <c r="AW194" s="10">
        <v>0</v>
      </c>
      <c r="AX194" s="12">
        <f t="shared" si="193"/>
        <v>0</v>
      </c>
      <c r="AY194" s="12">
        <f t="shared" si="194"/>
        <v>0</v>
      </c>
      <c r="AZ194" s="32">
        <f t="shared" si="195"/>
        <v>1</v>
      </c>
      <c r="BA194" s="12">
        <f t="shared" si="196"/>
        <v>1</v>
      </c>
      <c r="BB194" s="10">
        <v>0</v>
      </c>
      <c r="BC194" s="10">
        <v>0</v>
      </c>
      <c r="BD194" s="12">
        <f t="shared" si="197"/>
        <v>0</v>
      </c>
      <c r="BE194" s="12">
        <f t="shared" si="198"/>
        <v>0</v>
      </c>
      <c r="BF194" s="48">
        <v>1</v>
      </c>
      <c r="BG194" s="12">
        <f t="shared" si="178"/>
        <v>1</v>
      </c>
      <c r="BH194" s="10">
        <v>0</v>
      </c>
      <c r="BI194" s="10">
        <v>0</v>
      </c>
      <c r="BJ194" s="33">
        <f t="shared" si="211"/>
        <v>0</v>
      </c>
      <c r="BK194" s="33">
        <f t="shared" si="212"/>
        <v>0</v>
      </c>
      <c r="BL194" s="48">
        <v>1</v>
      </c>
      <c r="BM194" s="12">
        <f t="shared" si="179"/>
        <v>1</v>
      </c>
      <c r="BN194" s="10">
        <v>0</v>
      </c>
      <c r="BO194" s="10">
        <v>0</v>
      </c>
      <c r="BP194" s="33">
        <f t="shared" si="213"/>
        <v>0</v>
      </c>
      <c r="BQ194" s="33">
        <f t="shared" si="214"/>
        <v>0</v>
      </c>
      <c r="BR194" s="48">
        <v>1</v>
      </c>
      <c r="BS194" s="12">
        <f t="shared" si="180"/>
        <v>1</v>
      </c>
      <c r="BT194" s="10">
        <v>0</v>
      </c>
      <c r="BU194" s="10">
        <v>0</v>
      </c>
      <c r="BV194" s="33">
        <f t="shared" si="215"/>
        <v>0</v>
      </c>
      <c r="BW194" s="33">
        <f t="shared" si="216"/>
        <v>0</v>
      </c>
      <c r="BX194" s="48">
        <v>1</v>
      </c>
      <c r="BY194" s="12">
        <f t="shared" si="181"/>
        <v>1</v>
      </c>
      <c r="BZ194" s="10">
        <v>0</v>
      </c>
      <c r="CA194" s="10">
        <v>0</v>
      </c>
      <c r="CB194" s="33">
        <f t="shared" si="217"/>
        <v>0</v>
      </c>
      <c r="CC194" s="33">
        <f t="shared" si="218"/>
        <v>0</v>
      </c>
      <c r="CD194" s="48">
        <v>1</v>
      </c>
      <c r="CE194" s="12">
        <f t="shared" si="182"/>
        <v>1</v>
      </c>
    </row>
    <row r="195" spans="1:83" ht="80.25" customHeight="1">
      <c r="A195" s="148" t="s">
        <v>626</v>
      </c>
      <c r="B195" s="155" t="s">
        <v>627</v>
      </c>
      <c r="C195" s="173" t="s">
        <v>628</v>
      </c>
      <c r="D195" s="156">
        <v>2009</v>
      </c>
      <c r="E195" s="154"/>
      <c r="F195" s="154"/>
      <c r="G195" s="154"/>
      <c r="H195" s="165">
        <v>2</v>
      </c>
      <c r="I195" s="159">
        <v>1</v>
      </c>
      <c r="J195" s="56">
        <v>0</v>
      </c>
      <c r="K195" s="33">
        <f t="shared" si="169"/>
        <v>0</v>
      </c>
      <c r="L195" s="10">
        <v>0</v>
      </c>
      <c r="M195" s="10">
        <v>0</v>
      </c>
      <c r="N195" s="33">
        <f t="shared" si="170"/>
        <v>0</v>
      </c>
      <c r="O195" s="33">
        <f t="shared" si="171"/>
        <v>0</v>
      </c>
      <c r="P195" s="56">
        <v>0</v>
      </c>
      <c r="Q195" s="33">
        <f t="shared" si="172"/>
        <v>0</v>
      </c>
      <c r="R195" s="56">
        <v>0</v>
      </c>
      <c r="S195" s="56">
        <v>0</v>
      </c>
      <c r="T195" s="33">
        <f t="shared" si="173"/>
        <v>0</v>
      </c>
      <c r="U195" s="33">
        <f t="shared" si="174"/>
        <v>0</v>
      </c>
      <c r="V195" s="56">
        <v>0</v>
      </c>
      <c r="W195" s="33">
        <f t="shared" si="175"/>
        <v>0</v>
      </c>
      <c r="X195" s="56">
        <v>0</v>
      </c>
      <c r="Y195" s="56">
        <v>0</v>
      </c>
      <c r="Z195" s="33">
        <f t="shared" si="176"/>
        <v>0</v>
      </c>
      <c r="AA195" s="33">
        <f t="shared" si="177"/>
        <v>0</v>
      </c>
      <c r="AB195" s="146">
        <v>2</v>
      </c>
      <c r="AC195" s="117">
        <f t="shared" si="183"/>
        <v>2</v>
      </c>
      <c r="AD195" s="10">
        <v>0</v>
      </c>
      <c r="AE195" s="10">
        <v>0</v>
      </c>
      <c r="AF195" s="117">
        <f t="shared" si="184"/>
        <v>0</v>
      </c>
      <c r="AG195" s="118">
        <f t="shared" si="185"/>
        <v>0</v>
      </c>
      <c r="AH195" s="80">
        <f t="shared" si="186"/>
        <v>2</v>
      </c>
      <c r="AI195" s="127">
        <f t="shared" si="210"/>
        <v>2</v>
      </c>
      <c r="AJ195" s="111">
        <v>0</v>
      </c>
      <c r="AK195" s="111">
        <v>0</v>
      </c>
      <c r="AL195" s="112">
        <f t="shared" ca="1" si="208"/>
        <v>0</v>
      </c>
      <c r="AM195" s="112">
        <f t="shared" si="209"/>
        <v>0</v>
      </c>
      <c r="AN195" s="80">
        <f t="shared" si="187"/>
        <v>2</v>
      </c>
      <c r="AO195" s="12">
        <f t="shared" si="188"/>
        <v>2</v>
      </c>
      <c r="AP195" s="10">
        <v>0</v>
      </c>
      <c r="AQ195" s="10">
        <v>0</v>
      </c>
      <c r="AR195" s="12">
        <f t="shared" si="189"/>
        <v>0</v>
      </c>
      <c r="AS195" s="12">
        <f t="shared" si="190"/>
        <v>0</v>
      </c>
      <c r="AT195" s="13">
        <f t="shared" si="191"/>
        <v>2</v>
      </c>
      <c r="AU195" s="12">
        <f t="shared" si="192"/>
        <v>2</v>
      </c>
      <c r="AV195" s="10">
        <v>0</v>
      </c>
      <c r="AW195" s="10">
        <v>0</v>
      </c>
      <c r="AX195" s="12">
        <f t="shared" si="193"/>
        <v>0</v>
      </c>
      <c r="AY195" s="12">
        <f t="shared" si="194"/>
        <v>0</v>
      </c>
      <c r="AZ195" s="32">
        <f t="shared" si="195"/>
        <v>2</v>
      </c>
      <c r="BA195" s="12">
        <f t="shared" si="196"/>
        <v>2</v>
      </c>
      <c r="BB195" s="10">
        <v>0</v>
      </c>
      <c r="BC195" s="10">
        <v>0</v>
      </c>
      <c r="BD195" s="12">
        <f t="shared" si="197"/>
        <v>0</v>
      </c>
      <c r="BE195" s="12">
        <f t="shared" si="198"/>
        <v>0</v>
      </c>
      <c r="BF195" s="48">
        <v>2</v>
      </c>
      <c r="BG195" s="12">
        <f t="shared" si="178"/>
        <v>2</v>
      </c>
      <c r="BH195" s="10">
        <v>0</v>
      </c>
      <c r="BI195" s="10">
        <v>0</v>
      </c>
      <c r="BJ195" s="33">
        <f t="shared" si="211"/>
        <v>0</v>
      </c>
      <c r="BK195" s="33">
        <f t="shared" si="212"/>
        <v>0</v>
      </c>
      <c r="BL195" s="48">
        <v>2</v>
      </c>
      <c r="BM195" s="12">
        <f t="shared" si="179"/>
        <v>2</v>
      </c>
      <c r="BN195" s="10">
        <v>0</v>
      </c>
      <c r="BO195" s="10">
        <v>0</v>
      </c>
      <c r="BP195" s="33">
        <f t="shared" si="213"/>
        <v>0</v>
      </c>
      <c r="BQ195" s="33">
        <f t="shared" si="214"/>
        <v>0</v>
      </c>
      <c r="BR195" s="48">
        <v>2</v>
      </c>
      <c r="BS195" s="12">
        <f t="shared" si="180"/>
        <v>2</v>
      </c>
      <c r="BT195" s="10">
        <v>0</v>
      </c>
      <c r="BU195" s="10">
        <v>0</v>
      </c>
      <c r="BV195" s="33">
        <f t="shared" si="215"/>
        <v>0</v>
      </c>
      <c r="BW195" s="33">
        <f t="shared" si="216"/>
        <v>0</v>
      </c>
      <c r="BX195" s="48">
        <v>2</v>
      </c>
      <c r="BY195" s="12">
        <f t="shared" si="181"/>
        <v>2</v>
      </c>
      <c r="BZ195" s="10">
        <v>0</v>
      </c>
      <c r="CA195" s="10">
        <v>0</v>
      </c>
      <c r="CB195" s="33">
        <f t="shared" si="217"/>
        <v>0</v>
      </c>
      <c r="CC195" s="33">
        <f t="shared" si="218"/>
        <v>0</v>
      </c>
      <c r="CD195" s="48">
        <v>2</v>
      </c>
      <c r="CE195" s="12">
        <f t="shared" si="182"/>
        <v>2</v>
      </c>
    </row>
    <row r="196" spans="1:83" ht="80.25" customHeight="1">
      <c r="A196" s="148" t="s">
        <v>629</v>
      </c>
      <c r="B196" s="155" t="s">
        <v>630</v>
      </c>
      <c r="C196" s="173" t="s">
        <v>631</v>
      </c>
      <c r="D196" s="156">
        <v>2009</v>
      </c>
      <c r="E196" s="154"/>
      <c r="F196" s="154"/>
      <c r="G196" s="154"/>
      <c r="H196" s="165">
        <v>7</v>
      </c>
      <c r="I196" s="159">
        <v>1</v>
      </c>
      <c r="J196" s="56">
        <v>0</v>
      </c>
      <c r="K196" s="33">
        <f t="shared" si="169"/>
        <v>0</v>
      </c>
      <c r="L196" s="10">
        <v>0</v>
      </c>
      <c r="M196" s="10">
        <v>0</v>
      </c>
      <c r="N196" s="33">
        <f t="shared" si="170"/>
        <v>0</v>
      </c>
      <c r="O196" s="33">
        <f t="shared" si="171"/>
        <v>0</v>
      </c>
      <c r="P196" s="56">
        <v>0</v>
      </c>
      <c r="Q196" s="33">
        <f t="shared" si="172"/>
        <v>0</v>
      </c>
      <c r="R196" s="56">
        <v>0</v>
      </c>
      <c r="S196" s="56">
        <v>0</v>
      </c>
      <c r="T196" s="33">
        <f t="shared" si="173"/>
        <v>0</v>
      </c>
      <c r="U196" s="33">
        <f t="shared" si="174"/>
        <v>0</v>
      </c>
      <c r="V196" s="56">
        <v>0</v>
      </c>
      <c r="W196" s="33">
        <f t="shared" si="175"/>
        <v>0</v>
      </c>
      <c r="X196" s="56">
        <v>0</v>
      </c>
      <c r="Y196" s="56">
        <v>0</v>
      </c>
      <c r="Z196" s="33">
        <f t="shared" si="176"/>
        <v>0</v>
      </c>
      <c r="AA196" s="33">
        <f t="shared" si="177"/>
        <v>0</v>
      </c>
      <c r="AB196" s="146">
        <v>7</v>
      </c>
      <c r="AC196" s="117">
        <f t="shared" si="183"/>
        <v>7</v>
      </c>
      <c r="AD196" s="10">
        <v>0</v>
      </c>
      <c r="AE196" s="10">
        <v>0</v>
      </c>
      <c r="AF196" s="117">
        <f t="shared" si="184"/>
        <v>0</v>
      </c>
      <c r="AG196" s="118">
        <f t="shared" si="185"/>
        <v>0</v>
      </c>
      <c r="AH196" s="80">
        <f t="shared" si="186"/>
        <v>7</v>
      </c>
      <c r="AI196" s="127">
        <f t="shared" si="210"/>
        <v>7</v>
      </c>
      <c r="AJ196" s="111">
        <v>0</v>
      </c>
      <c r="AK196" s="111">
        <v>0</v>
      </c>
      <c r="AL196" s="112">
        <f t="shared" ca="1" si="208"/>
        <v>0</v>
      </c>
      <c r="AM196" s="112">
        <f t="shared" si="209"/>
        <v>0</v>
      </c>
      <c r="AN196" s="80">
        <f t="shared" si="187"/>
        <v>7</v>
      </c>
      <c r="AO196" s="12">
        <f t="shared" si="188"/>
        <v>7</v>
      </c>
      <c r="AP196" s="10">
        <v>0</v>
      </c>
      <c r="AQ196" s="10">
        <v>0</v>
      </c>
      <c r="AR196" s="12">
        <f t="shared" si="189"/>
        <v>0</v>
      </c>
      <c r="AS196" s="12">
        <f t="shared" si="190"/>
        <v>0</v>
      </c>
      <c r="AT196" s="13">
        <f t="shared" si="191"/>
        <v>7</v>
      </c>
      <c r="AU196" s="12">
        <f t="shared" si="192"/>
        <v>7</v>
      </c>
      <c r="AV196" s="10">
        <v>0</v>
      </c>
      <c r="AW196" s="10">
        <v>0</v>
      </c>
      <c r="AX196" s="12">
        <f t="shared" si="193"/>
        <v>0</v>
      </c>
      <c r="AY196" s="12">
        <f t="shared" si="194"/>
        <v>0</v>
      </c>
      <c r="AZ196" s="32">
        <f t="shared" si="195"/>
        <v>7</v>
      </c>
      <c r="BA196" s="12">
        <f t="shared" si="196"/>
        <v>7</v>
      </c>
      <c r="BB196" s="10">
        <v>0</v>
      </c>
      <c r="BC196" s="10">
        <v>0</v>
      </c>
      <c r="BD196" s="12">
        <f t="shared" si="197"/>
        <v>0</v>
      </c>
      <c r="BE196" s="12">
        <f t="shared" si="198"/>
        <v>0</v>
      </c>
      <c r="BF196" s="48">
        <v>7</v>
      </c>
      <c r="BG196" s="12">
        <f t="shared" si="178"/>
        <v>7</v>
      </c>
      <c r="BH196" s="10">
        <v>0</v>
      </c>
      <c r="BI196" s="10">
        <v>0</v>
      </c>
      <c r="BJ196" s="33">
        <f t="shared" si="211"/>
        <v>0</v>
      </c>
      <c r="BK196" s="33">
        <f t="shared" si="212"/>
        <v>0</v>
      </c>
      <c r="BL196" s="48">
        <v>7</v>
      </c>
      <c r="BM196" s="12">
        <f t="shared" si="179"/>
        <v>7</v>
      </c>
      <c r="BN196" s="10">
        <v>0</v>
      </c>
      <c r="BO196" s="10">
        <v>0</v>
      </c>
      <c r="BP196" s="33">
        <f t="shared" si="213"/>
        <v>0</v>
      </c>
      <c r="BQ196" s="33">
        <f t="shared" si="214"/>
        <v>0</v>
      </c>
      <c r="BR196" s="48">
        <v>7</v>
      </c>
      <c r="BS196" s="12">
        <f t="shared" si="180"/>
        <v>7</v>
      </c>
      <c r="BT196" s="10">
        <v>0</v>
      </c>
      <c r="BU196" s="10">
        <v>0</v>
      </c>
      <c r="BV196" s="33">
        <f t="shared" si="215"/>
        <v>0</v>
      </c>
      <c r="BW196" s="33">
        <f t="shared" si="216"/>
        <v>0</v>
      </c>
      <c r="BX196" s="48">
        <v>7</v>
      </c>
      <c r="BY196" s="12">
        <f t="shared" si="181"/>
        <v>7</v>
      </c>
      <c r="BZ196" s="10">
        <v>0</v>
      </c>
      <c r="CA196" s="10">
        <v>0</v>
      </c>
      <c r="CB196" s="33">
        <f t="shared" si="217"/>
        <v>0</v>
      </c>
      <c r="CC196" s="33">
        <f t="shared" si="218"/>
        <v>0</v>
      </c>
      <c r="CD196" s="48">
        <v>7</v>
      </c>
      <c r="CE196" s="12">
        <f t="shared" si="182"/>
        <v>7</v>
      </c>
    </row>
    <row r="197" spans="1:83" ht="80.25" customHeight="1">
      <c r="A197" s="148" t="s">
        <v>632</v>
      </c>
      <c r="B197" s="155" t="s">
        <v>633</v>
      </c>
      <c r="C197" s="173" t="s">
        <v>634</v>
      </c>
      <c r="D197" s="156">
        <v>2009</v>
      </c>
      <c r="E197" s="154"/>
      <c r="F197" s="154"/>
      <c r="G197" s="154"/>
      <c r="H197" s="165">
        <v>9</v>
      </c>
      <c r="I197" s="159">
        <v>1</v>
      </c>
      <c r="J197" s="56">
        <v>0</v>
      </c>
      <c r="K197" s="33">
        <f t="shared" ref="K197:K220" si="219">I197*J197</f>
        <v>0</v>
      </c>
      <c r="L197" s="10">
        <v>0</v>
      </c>
      <c r="M197" s="10">
        <v>0</v>
      </c>
      <c r="N197" s="33">
        <f t="shared" ref="N197:N220" si="220">M197*I197</f>
        <v>0</v>
      </c>
      <c r="O197" s="33">
        <f t="shared" ref="O197:O220" si="221">L197*I197</f>
        <v>0</v>
      </c>
      <c r="P197" s="56">
        <v>0</v>
      </c>
      <c r="Q197" s="33">
        <f t="shared" ref="Q197:Q220" si="222">P197*I197</f>
        <v>0</v>
      </c>
      <c r="R197" s="56">
        <v>0</v>
      </c>
      <c r="S197" s="56">
        <v>0</v>
      </c>
      <c r="T197" s="33">
        <f t="shared" ref="T197:T220" si="223">S197*O197</f>
        <v>0</v>
      </c>
      <c r="U197" s="33">
        <f t="shared" ref="U197:U220" si="224">R197*O197</f>
        <v>0</v>
      </c>
      <c r="V197" s="56">
        <v>0</v>
      </c>
      <c r="W197" s="33">
        <f t="shared" ref="W197:W220" si="225">V197*O197</f>
        <v>0</v>
      </c>
      <c r="X197" s="56">
        <v>0</v>
      </c>
      <c r="Y197" s="56">
        <v>0</v>
      </c>
      <c r="Z197" s="33">
        <f t="shared" ref="Z197:Z220" si="226">Y197*U197</f>
        <v>0</v>
      </c>
      <c r="AA197" s="33">
        <f t="shared" ref="AA197:AA220" si="227">X197*U197</f>
        <v>0</v>
      </c>
      <c r="AB197" s="146">
        <v>9</v>
      </c>
      <c r="AC197" s="117">
        <f t="shared" si="183"/>
        <v>9</v>
      </c>
      <c r="AD197" s="10">
        <v>0</v>
      </c>
      <c r="AE197" s="10">
        <v>0</v>
      </c>
      <c r="AF197" s="117">
        <f t="shared" si="184"/>
        <v>0</v>
      </c>
      <c r="AG197" s="118">
        <f t="shared" si="185"/>
        <v>0</v>
      </c>
      <c r="AH197" s="80">
        <f t="shared" si="186"/>
        <v>9</v>
      </c>
      <c r="AI197" s="127">
        <f t="shared" si="210"/>
        <v>9</v>
      </c>
      <c r="AJ197" s="111">
        <v>0</v>
      </c>
      <c r="AK197" s="111">
        <v>0</v>
      </c>
      <c r="AL197" s="112">
        <f t="shared" ca="1" si="208"/>
        <v>0</v>
      </c>
      <c r="AM197" s="112">
        <f t="shared" si="209"/>
        <v>0</v>
      </c>
      <c r="AN197" s="80">
        <f t="shared" si="187"/>
        <v>9</v>
      </c>
      <c r="AO197" s="12">
        <f t="shared" si="188"/>
        <v>9</v>
      </c>
      <c r="AP197" s="10">
        <v>0</v>
      </c>
      <c r="AQ197" s="10">
        <v>0</v>
      </c>
      <c r="AR197" s="12">
        <f t="shared" si="189"/>
        <v>0</v>
      </c>
      <c r="AS197" s="12">
        <f t="shared" si="190"/>
        <v>0</v>
      </c>
      <c r="AT197" s="13">
        <f t="shared" si="191"/>
        <v>9</v>
      </c>
      <c r="AU197" s="12">
        <f t="shared" si="192"/>
        <v>9</v>
      </c>
      <c r="AV197" s="10">
        <v>0</v>
      </c>
      <c r="AW197" s="10">
        <v>0</v>
      </c>
      <c r="AX197" s="12">
        <f t="shared" si="193"/>
        <v>0</v>
      </c>
      <c r="AY197" s="12">
        <f t="shared" si="194"/>
        <v>0</v>
      </c>
      <c r="AZ197" s="32">
        <f t="shared" si="195"/>
        <v>9</v>
      </c>
      <c r="BA197" s="12">
        <f t="shared" si="196"/>
        <v>9</v>
      </c>
      <c r="BB197" s="10">
        <v>0</v>
      </c>
      <c r="BC197" s="10">
        <v>0</v>
      </c>
      <c r="BD197" s="12">
        <f t="shared" si="197"/>
        <v>0</v>
      </c>
      <c r="BE197" s="12">
        <f t="shared" si="198"/>
        <v>0</v>
      </c>
      <c r="BF197" s="48">
        <v>9</v>
      </c>
      <c r="BG197" s="12">
        <f t="shared" ref="BG197:BG220" si="228">AN197*I197</f>
        <v>9</v>
      </c>
      <c r="BH197" s="10">
        <v>0</v>
      </c>
      <c r="BI197" s="10">
        <v>0</v>
      </c>
      <c r="BJ197" s="33">
        <f t="shared" si="211"/>
        <v>0</v>
      </c>
      <c r="BK197" s="33">
        <f t="shared" si="212"/>
        <v>0</v>
      </c>
      <c r="BL197" s="48">
        <v>9</v>
      </c>
      <c r="BM197" s="12">
        <f t="shared" ref="BM197:BM220" si="229">AN197*I197</f>
        <v>9</v>
      </c>
      <c r="BN197" s="10">
        <v>0</v>
      </c>
      <c r="BO197" s="10">
        <v>0</v>
      </c>
      <c r="BP197" s="33">
        <f t="shared" si="213"/>
        <v>0</v>
      </c>
      <c r="BQ197" s="33">
        <f t="shared" si="214"/>
        <v>0</v>
      </c>
      <c r="BR197" s="48">
        <v>9</v>
      </c>
      <c r="BS197" s="12">
        <f t="shared" ref="BS197:BS220" si="230">AN197*I197</f>
        <v>9</v>
      </c>
      <c r="BT197" s="10">
        <v>0</v>
      </c>
      <c r="BU197" s="10">
        <v>0</v>
      </c>
      <c r="BV197" s="33">
        <f t="shared" si="215"/>
        <v>0</v>
      </c>
      <c r="BW197" s="33">
        <f t="shared" si="216"/>
        <v>0</v>
      </c>
      <c r="BX197" s="48">
        <v>9</v>
      </c>
      <c r="BY197" s="12">
        <f t="shared" ref="BY197:BY220" si="231">AN197*I197</f>
        <v>9</v>
      </c>
      <c r="BZ197" s="10">
        <v>0</v>
      </c>
      <c r="CA197" s="10">
        <v>0</v>
      </c>
      <c r="CB197" s="33">
        <f t="shared" si="217"/>
        <v>0</v>
      </c>
      <c r="CC197" s="33">
        <f t="shared" si="218"/>
        <v>0</v>
      </c>
      <c r="CD197" s="48">
        <v>9</v>
      </c>
      <c r="CE197" s="12">
        <f t="shared" ref="CE197:CE220" si="232">AN197*I197</f>
        <v>9</v>
      </c>
    </row>
    <row r="198" spans="1:83" ht="80.25" customHeight="1">
      <c r="A198" s="148" t="s">
        <v>635</v>
      </c>
      <c r="B198" s="155" t="s">
        <v>636</v>
      </c>
      <c r="C198" s="173" t="s">
        <v>637</v>
      </c>
      <c r="D198" s="156">
        <v>2021</v>
      </c>
      <c r="E198" s="154"/>
      <c r="F198" s="154"/>
      <c r="G198" s="154"/>
      <c r="H198" s="165">
        <v>32</v>
      </c>
      <c r="I198" s="159">
        <v>1</v>
      </c>
      <c r="J198" s="56">
        <v>0</v>
      </c>
      <c r="K198" s="33">
        <f t="shared" si="219"/>
        <v>0</v>
      </c>
      <c r="L198" s="10">
        <v>0</v>
      </c>
      <c r="M198" s="10">
        <v>0</v>
      </c>
      <c r="N198" s="33">
        <f t="shared" si="220"/>
        <v>0</v>
      </c>
      <c r="O198" s="33">
        <f t="shared" si="221"/>
        <v>0</v>
      </c>
      <c r="P198" s="56">
        <v>0</v>
      </c>
      <c r="Q198" s="33">
        <f t="shared" si="222"/>
        <v>0</v>
      </c>
      <c r="R198" s="56">
        <v>0</v>
      </c>
      <c r="S198" s="56">
        <v>0</v>
      </c>
      <c r="T198" s="33">
        <f t="shared" si="223"/>
        <v>0</v>
      </c>
      <c r="U198" s="33">
        <f t="shared" si="224"/>
        <v>0</v>
      </c>
      <c r="V198" s="56">
        <v>0</v>
      </c>
      <c r="W198" s="33">
        <f t="shared" si="225"/>
        <v>0</v>
      </c>
      <c r="X198" s="56">
        <v>0</v>
      </c>
      <c r="Y198" s="56">
        <v>0</v>
      </c>
      <c r="Z198" s="33">
        <f t="shared" si="226"/>
        <v>0</v>
      </c>
      <c r="AA198" s="33">
        <f t="shared" si="227"/>
        <v>0</v>
      </c>
      <c r="AB198" s="146">
        <v>32</v>
      </c>
      <c r="AC198" s="117">
        <f t="shared" si="183"/>
        <v>32</v>
      </c>
      <c r="AD198" s="10">
        <v>0</v>
      </c>
      <c r="AE198" s="10">
        <v>0</v>
      </c>
      <c r="AF198" s="117">
        <f t="shared" si="184"/>
        <v>0</v>
      </c>
      <c r="AG198" s="118">
        <f t="shared" si="185"/>
        <v>0</v>
      </c>
      <c r="AH198" s="80">
        <f t="shared" si="186"/>
        <v>32</v>
      </c>
      <c r="AI198" s="127">
        <f t="shared" si="210"/>
        <v>32</v>
      </c>
      <c r="AJ198" s="111">
        <v>0</v>
      </c>
      <c r="AK198" s="111">
        <v>0</v>
      </c>
      <c r="AL198" s="112">
        <f t="shared" ca="1" si="208"/>
        <v>0</v>
      </c>
      <c r="AM198" s="112">
        <f t="shared" si="209"/>
        <v>0</v>
      </c>
      <c r="AN198" s="80">
        <f t="shared" si="187"/>
        <v>32</v>
      </c>
      <c r="AO198" s="12">
        <f t="shared" si="188"/>
        <v>32</v>
      </c>
      <c r="AP198" s="10">
        <v>0</v>
      </c>
      <c r="AQ198" s="10">
        <v>0</v>
      </c>
      <c r="AR198" s="12">
        <f t="shared" si="189"/>
        <v>0</v>
      </c>
      <c r="AS198" s="12">
        <f t="shared" si="190"/>
        <v>0</v>
      </c>
      <c r="AT198" s="13">
        <f t="shared" si="191"/>
        <v>32</v>
      </c>
      <c r="AU198" s="12">
        <f t="shared" si="192"/>
        <v>32</v>
      </c>
      <c r="AV198" s="10">
        <v>0</v>
      </c>
      <c r="AW198" s="10">
        <v>0</v>
      </c>
      <c r="AX198" s="12">
        <f t="shared" si="193"/>
        <v>0</v>
      </c>
      <c r="AY198" s="12">
        <f t="shared" si="194"/>
        <v>0</v>
      </c>
      <c r="AZ198" s="32">
        <f t="shared" si="195"/>
        <v>32</v>
      </c>
      <c r="BA198" s="12">
        <f t="shared" si="196"/>
        <v>32</v>
      </c>
      <c r="BB198" s="10">
        <v>0</v>
      </c>
      <c r="BC198" s="10">
        <v>0</v>
      </c>
      <c r="BD198" s="12">
        <f t="shared" si="197"/>
        <v>0</v>
      </c>
      <c r="BE198" s="12">
        <f t="shared" si="198"/>
        <v>0</v>
      </c>
      <c r="BF198" s="48">
        <v>32</v>
      </c>
      <c r="BG198" s="12">
        <f t="shared" si="228"/>
        <v>32</v>
      </c>
      <c r="BH198" s="10">
        <v>0</v>
      </c>
      <c r="BI198" s="10">
        <v>0</v>
      </c>
      <c r="BJ198" s="33">
        <f t="shared" si="211"/>
        <v>0</v>
      </c>
      <c r="BK198" s="33">
        <f t="shared" si="212"/>
        <v>0</v>
      </c>
      <c r="BL198" s="48">
        <v>32</v>
      </c>
      <c r="BM198" s="12">
        <f t="shared" si="229"/>
        <v>32</v>
      </c>
      <c r="BN198" s="10">
        <v>0</v>
      </c>
      <c r="BO198" s="10">
        <v>0</v>
      </c>
      <c r="BP198" s="33">
        <f t="shared" si="213"/>
        <v>0</v>
      </c>
      <c r="BQ198" s="33">
        <f t="shared" si="214"/>
        <v>0</v>
      </c>
      <c r="BR198" s="48">
        <v>32</v>
      </c>
      <c r="BS198" s="12">
        <f t="shared" si="230"/>
        <v>32</v>
      </c>
      <c r="BT198" s="10">
        <v>0</v>
      </c>
      <c r="BU198" s="10">
        <v>0</v>
      </c>
      <c r="BV198" s="33">
        <f t="shared" si="215"/>
        <v>0</v>
      </c>
      <c r="BW198" s="33">
        <f t="shared" si="216"/>
        <v>0</v>
      </c>
      <c r="BX198" s="48">
        <v>32</v>
      </c>
      <c r="BY198" s="12">
        <f t="shared" si="231"/>
        <v>32</v>
      </c>
      <c r="BZ198" s="10">
        <v>0</v>
      </c>
      <c r="CA198" s="10">
        <v>0</v>
      </c>
      <c r="CB198" s="33">
        <f t="shared" si="217"/>
        <v>0</v>
      </c>
      <c r="CC198" s="33">
        <f t="shared" si="218"/>
        <v>0</v>
      </c>
      <c r="CD198" s="48">
        <v>32</v>
      </c>
      <c r="CE198" s="12">
        <f t="shared" si="232"/>
        <v>32</v>
      </c>
    </row>
    <row r="199" spans="1:83" ht="80.25" customHeight="1">
      <c r="A199" s="148" t="s">
        <v>638</v>
      </c>
      <c r="B199" s="155" t="s">
        <v>639</v>
      </c>
      <c r="C199" s="174" t="s">
        <v>640</v>
      </c>
      <c r="D199" s="157">
        <v>2010</v>
      </c>
      <c r="E199" s="154"/>
      <c r="F199" s="154"/>
      <c r="G199" s="154"/>
      <c r="H199" s="165">
        <v>10</v>
      </c>
      <c r="I199" s="159">
        <v>1</v>
      </c>
      <c r="J199" s="56">
        <v>0</v>
      </c>
      <c r="K199" s="33">
        <f t="shared" si="219"/>
        <v>0</v>
      </c>
      <c r="L199" s="10">
        <v>0</v>
      </c>
      <c r="M199" s="10">
        <v>0</v>
      </c>
      <c r="N199" s="33">
        <f t="shared" si="220"/>
        <v>0</v>
      </c>
      <c r="O199" s="33">
        <f t="shared" si="221"/>
        <v>0</v>
      </c>
      <c r="P199" s="56">
        <v>0</v>
      </c>
      <c r="Q199" s="33">
        <f t="shared" si="222"/>
        <v>0</v>
      </c>
      <c r="R199" s="56">
        <v>0</v>
      </c>
      <c r="S199" s="56">
        <v>0</v>
      </c>
      <c r="T199" s="33">
        <f t="shared" si="223"/>
        <v>0</v>
      </c>
      <c r="U199" s="33">
        <f t="shared" si="224"/>
        <v>0</v>
      </c>
      <c r="V199" s="56">
        <v>0</v>
      </c>
      <c r="W199" s="33">
        <f t="shared" si="225"/>
        <v>0</v>
      </c>
      <c r="X199" s="56">
        <v>0</v>
      </c>
      <c r="Y199" s="56">
        <v>0</v>
      </c>
      <c r="Z199" s="33">
        <f t="shared" si="226"/>
        <v>0</v>
      </c>
      <c r="AA199" s="33">
        <f t="shared" si="227"/>
        <v>0</v>
      </c>
      <c r="AB199" s="146">
        <v>10</v>
      </c>
      <c r="AC199" s="117">
        <f t="shared" ref="AC199:AC257" si="233">AB199*I199</f>
        <v>10</v>
      </c>
      <c r="AD199" s="10">
        <v>0</v>
      </c>
      <c r="AE199" s="10">
        <v>0</v>
      </c>
      <c r="AF199" s="117">
        <f t="shared" ref="AF199:AF220" si="234">AE199*I199</f>
        <v>0</v>
      </c>
      <c r="AG199" s="118">
        <f t="shared" ref="AG199:AG220" si="235">AD199*I199</f>
        <v>0</v>
      </c>
      <c r="AH199" s="80">
        <f t="shared" ref="AH199:AH220" si="236">SUM(AB199-AD199+AE199)</f>
        <v>10</v>
      </c>
      <c r="AI199" s="127">
        <f t="shared" si="210"/>
        <v>10</v>
      </c>
      <c r="AJ199" s="111">
        <v>0</v>
      </c>
      <c r="AK199" s="111">
        <v>0</v>
      </c>
      <c r="AL199" s="112">
        <f t="shared" ca="1" si="208"/>
        <v>0</v>
      </c>
      <c r="AM199" s="112">
        <f t="shared" si="209"/>
        <v>0</v>
      </c>
      <c r="AN199" s="80">
        <f t="shared" ref="AN199:AN220" si="237">AH199-AJ199+AK199</f>
        <v>10</v>
      </c>
      <c r="AO199" s="12">
        <f t="shared" ref="AO199:AO220" si="238">AN199*I199</f>
        <v>10</v>
      </c>
      <c r="AP199" s="10">
        <v>0</v>
      </c>
      <c r="AQ199" s="10">
        <v>0</v>
      </c>
      <c r="AR199" s="12">
        <f t="shared" ref="AR199:AR220" si="239">AQ199*I199</f>
        <v>0</v>
      </c>
      <c r="AS199" s="12">
        <f t="shared" ref="AS199:AS220" si="240">AP199*I199</f>
        <v>0</v>
      </c>
      <c r="AT199" s="13">
        <f t="shared" ref="AT199:AT220" si="241">AN199-AP199+AQ199</f>
        <v>10</v>
      </c>
      <c r="AU199" s="12">
        <f t="shared" ref="AU199:AU220" si="242">AT199*I199</f>
        <v>10</v>
      </c>
      <c r="AV199" s="10">
        <v>0</v>
      </c>
      <c r="AW199" s="10">
        <v>0</v>
      </c>
      <c r="AX199" s="12">
        <f t="shared" ref="AX199:AX220" si="243">AW199*I199</f>
        <v>0</v>
      </c>
      <c r="AY199" s="12">
        <f t="shared" ref="AY199:AY220" si="244">AV199*I199</f>
        <v>0</v>
      </c>
      <c r="AZ199" s="32">
        <f t="shared" ref="AZ199:AZ220" si="245">AT199-AV199+AW199</f>
        <v>10</v>
      </c>
      <c r="BA199" s="12">
        <f t="shared" ref="BA199:BA220" si="246">AZ199*I199</f>
        <v>10</v>
      </c>
      <c r="BB199" s="10">
        <v>0</v>
      </c>
      <c r="BC199" s="10">
        <v>0</v>
      </c>
      <c r="BD199" s="12">
        <f t="shared" ref="BD199:BD220" si="247">BC199*I199</f>
        <v>0</v>
      </c>
      <c r="BE199" s="12">
        <f t="shared" ref="BE199:BE220" si="248">BB199*I199</f>
        <v>0</v>
      </c>
      <c r="BF199" s="48">
        <v>10</v>
      </c>
      <c r="BG199" s="12">
        <f t="shared" si="228"/>
        <v>10</v>
      </c>
      <c r="BH199" s="10">
        <v>0</v>
      </c>
      <c r="BI199" s="10">
        <v>0</v>
      </c>
      <c r="BJ199" s="33">
        <f t="shared" si="211"/>
        <v>0</v>
      </c>
      <c r="BK199" s="33">
        <f t="shared" si="212"/>
        <v>0</v>
      </c>
      <c r="BL199" s="48">
        <v>10</v>
      </c>
      <c r="BM199" s="12">
        <f t="shared" si="229"/>
        <v>10</v>
      </c>
      <c r="BN199" s="10">
        <v>0</v>
      </c>
      <c r="BO199" s="10">
        <v>0</v>
      </c>
      <c r="BP199" s="33">
        <f t="shared" si="213"/>
        <v>0</v>
      </c>
      <c r="BQ199" s="33">
        <f t="shared" si="214"/>
        <v>0</v>
      </c>
      <c r="BR199" s="48">
        <v>10</v>
      </c>
      <c r="BS199" s="12">
        <f t="shared" si="230"/>
        <v>10</v>
      </c>
      <c r="BT199" s="10">
        <v>0</v>
      </c>
      <c r="BU199" s="10">
        <v>0</v>
      </c>
      <c r="BV199" s="33">
        <f t="shared" si="215"/>
        <v>0</v>
      </c>
      <c r="BW199" s="33">
        <f t="shared" si="216"/>
        <v>0</v>
      </c>
      <c r="BX199" s="48">
        <v>10</v>
      </c>
      <c r="BY199" s="12">
        <f t="shared" si="231"/>
        <v>10</v>
      </c>
      <c r="BZ199" s="10">
        <v>0</v>
      </c>
      <c r="CA199" s="10">
        <v>0</v>
      </c>
      <c r="CB199" s="33">
        <f t="shared" si="217"/>
        <v>0</v>
      </c>
      <c r="CC199" s="33">
        <f t="shared" si="218"/>
        <v>0</v>
      </c>
      <c r="CD199" s="48">
        <v>10</v>
      </c>
      <c r="CE199" s="12">
        <f t="shared" si="232"/>
        <v>10</v>
      </c>
    </row>
    <row r="200" spans="1:83" ht="80.25" customHeight="1">
      <c r="A200" s="148" t="s">
        <v>641</v>
      </c>
      <c r="B200" s="155" t="s">
        <v>642</v>
      </c>
      <c r="C200" s="173" t="s">
        <v>643</v>
      </c>
      <c r="D200" s="156">
        <v>2009</v>
      </c>
      <c r="E200" s="154"/>
      <c r="F200" s="154"/>
      <c r="G200" s="154"/>
      <c r="H200" s="165">
        <v>6</v>
      </c>
      <c r="I200" s="159">
        <v>1</v>
      </c>
      <c r="J200" s="56">
        <v>0</v>
      </c>
      <c r="K200" s="33">
        <f t="shared" si="219"/>
        <v>0</v>
      </c>
      <c r="L200" s="10">
        <v>0</v>
      </c>
      <c r="M200" s="10">
        <v>0</v>
      </c>
      <c r="N200" s="33">
        <f t="shared" si="220"/>
        <v>0</v>
      </c>
      <c r="O200" s="33">
        <f t="shared" si="221"/>
        <v>0</v>
      </c>
      <c r="P200" s="56">
        <v>0</v>
      </c>
      <c r="Q200" s="33">
        <f t="shared" si="222"/>
        <v>0</v>
      </c>
      <c r="R200" s="56">
        <v>0</v>
      </c>
      <c r="S200" s="56">
        <v>0</v>
      </c>
      <c r="T200" s="33">
        <f t="shared" si="223"/>
        <v>0</v>
      </c>
      <c r="U200" s="33">
        <f t="shared" si="224"/>
        <v>0</v>
      </c>
      <c r="V200" s="56">
        <v>0</v>
      </c>
      <c r="W200" s="33">
        <f t="shared" si="225"/>
        <v>0</v>
      </c>
      <c r="X200" s="56">
        <v>0</v>
      </c>
      <c r="Y200" s="56">
        <v>0</v>
      </c>
      <c r="Z200" s="33">
        <f t="shared" si="226"/>
        <v>0</v>
      </c>
      <c r="AA200" s="33">
        <f t="shared" si="227"/>
        <v>0</v>
      </c>
      <c r="AB200" s="146">
        <v>6</v>
      </c>
      <c r="AC200" s="117">
        <f t="shared" si="233"/>
        <v>6</v>
      </c>
      <c r="AD200" s="10">
        <v>0</v>
      </c>
      <c r="AE200" s="10">
        <v>0</v>
      </c>
      <c r="AF200" s="117">
        <f t="shared" si="234"/>
        <v>0</v>
      </c>
      <c r="AG200" s="118">
        <f t="shared" si="235"/>
        <v>0</v>
      </c>
      <c r="AH200" s="80">
        <f t="shared" si="236"/>
        <v>6</v>
      </c>
      <c r="AI200" s="127">
        <f t="shared" si="210"/>
        <v>6</v>
      </c>
      <c r="AJ200" s="111">
        <v>0</v>
      </c>
      <c r="AK200" s="111">
        <v>0</v>
      </c>
      <c r="AL200" s="112">
        <f t="shared" ca="1" si="208"/>
        <v>0</v>
      </c>
      <c r="AM200" s="112">
        <f t="shared" si="209"/>
        <v>0</v>
      </c>
      <c r="AN200" s="80">
        <f t="shared" si="237"/>
        <v>6</v>
      </c>
      <c r="AO200" s="12">
        <f t="shared" si="238"/>
        <v>6</v>
      </c>
      <c r="AP200" s="10">
        <v>0</v>
      </c>
      <c r="AQ200" s="10">
        <v>0</v>
      </c>
      <c r="AR200" s="12">
        <f t="shared" si="239"/>
        <v>0</v>
      </c>
      <c r="AS200" s="12">
        <f t="shared" si="240"/>
        <v>0</v>
      </c>
      <c r="AT200" s="13">
        <f t="shared" si="241"/>
        <v>6</v>
      </c>
      <c r="AU200" s="12">
        <f t="shared" si="242"/>
        <v>6</v>
      </c>
      <c r="AV200" s="10">
        <v>0</v>
      </c>
      <c r="AW200" s="10">
        <v>0</v>
      </c>
      <c r="AX200" s="12">
        <f t="shared" si="243"/>
        <v>0</v>
      </c>
      <c r="AY200" s="12">
        <f t="shared" si="244"/>
        <v>0</v>
      </c>
      <c r="AZ200" s="32">
        <f t="shared" si="245"/>
        <v>6</v>
      </c>
      <c r="BA200" s="12">
        <f t="shared" si="246"/>
        <v>6</v>
      </c>
      <c r="BB200" s="10">
        <v>0</v>
      </c>
      <c r="BC200" s="10">
        <v>0</v>
      </c>
      <c r="BD200" s="12">
        <f t="shared" si="247"/>
        <v>0</v>
      </c>
      <c r="BE200" s="12">
        <f t="shared" si="248"/>
        <v>0</v>
      </c>
      <c r="BF200" s="48">
        <v>6</v>
      </c>
      <c r="BG200" s="12">
        <f t="shared" si="228"/>
        <v>6</v>
      </c>
      <c r="BH200" s="10">
        <v>0</v>
      </c>
      <c r="BI200" s="10">
        <v>0</v>
      </c>
      <c r="BJ200" s="33">
        <f t="shared" si="211"/>
        <v>0</v>
      </c>
      <c r="BK200" s="33">
        <f t="shared" si="212"/>
        <v>0</v>
      </c>
      <c r="BL200" s="48">
        <v>6</v>
      </c>
      <c r="BM200" s="12">
        <f t="shared" si="229"/>
        <v>6</v>
      </c>
      <c r="BN200" s="10">
        <v>0</v>
      </c>
      <c r="BO200" s="10">
        <v>0</v>
      </c>
      <c r="BP200" s="33">
        <f t="shared" si="213"/>
        <v>0</v>
      </c>
      <c r="BQ200" s="33">
        <f t="shared" si="214"/>
        <v>0</v>
      </c>
      <c r="BR200" s="48">
        <v>6</v>
      </c>
      <c r="BS200" s="12">
        <f t="shared" si="230"/>
        <v>6</v>
      </c>
      <c r="BT200" s="10">
        <v>0</v>
      </c>
      <c r="BU200" s="10">
        <v>0</v>
      </c>
      <c r="BV200" s="33">
        <f t="shared" si="215"/>
        <v>0</v>
      </c>
      <c r="BW200" s="33">
        <f t="shared" si="216"/>
        <v>0</v>
      </c>
      <c r="BX200" s="48">
        <v>6</v>
      </c>
      <c r="BY200" s="12">
        <f t="shared" si="231"/>
        <v>6</v>
      </c>
      <c r="BZ200" s="10">
        <v>0</v>
      </c>
      <c r="CA200" s="10">
        <v>0</v>
      </c>
      <c r="CB200" s="33">
        <f t="shared" si="217"/>
        <v>0</v>
      </c>
      <c r="CC200" s="33">
        <f t="shared" si="218"/>
        <v>0</v>
      </c>
      <c r="CD200" s="48">
        <v>6</v>
      </c>
      <c r="CE200" s="12">
        <f t="shared" si="232"/>
        <v>6</v>
      </c>
    </row>
    <row r="201" spans="1:83" ht="80.25" customHeight="1">
      <c r="A201" s="148" t="s">
        <v>644</v>
      </c>
      <c r="B201" s="155" t="s">
        <v>645</v>
      </c>
      <c r="C201" s="174" t="s">
        <v>646</v>
      </c>
      <c r="D201" s="157">
        <v>2007</v>
      </c>
      <c r="E201" s="154"/>
      <c r="F201" s="154"/>
      <c r="G201" s="154"/>
      <c r="H201" s="165">
        <v>12</v>
      </c>
      <c r="I201" s="159">
        <v>1</v>
      </c>
      <c r="J201" s="56">
        <v>0</v>
      </c>
      <c r="K201" s="33">
        <f t="shared" si="219"/>
        <v>0</v>
      </c>
      <c r="L201" s="10">
        <v>0</v>
      </c>
      <c r="M201" s="10">
        <v>0</v>
      </c>
      <c r="N201" s="33">
        <f t="shared" si="220"/>
        <v>0</v>
      </c>
      <c r="O201" s="33">
        <f t="shared" si="221"/>
        <v>0</v>
      </c>
      <c r="P201" s="56">
        <v>0</v>
      </c>
      <c r="Q201" s="33">
        <f t="shared" si="222"/>
        <v>0</v>
      </c>
      <c r="R201" s="56">
        <v>0</v>
      </c>
      <c r="S201" s="56">
        <v>0</v>
      </c>
      <c r="T201" s="33">
        <f t="shared" si="223"/>
        <v>0</v>
      </c>
      <c r="U201" s="33">
        <f t="shared" si="224"/>
        <v>0</v>
      </c>
      <c r="V201" s="56">
        <v>0</v>
      </c>
      <c r="W201" s="33">
        <f t="shared" si="225"/>
        <v>0</v>
      </c>
      <c r="X201" s="56">
        <v>0</v>
      </c>
      <c r="Y201" s="56">
        <v>0</v>
      </c>
      <c r="Z201" s="33">
        <f t="shared" si="226"/>
        <v>0</v>
      </c>
      <c r="AA201" s="33">
        <f t="shared" si="227"/>
        <v>0</v>
      </c>
      <c r="AB201" s="146">
        <v>12</v>
      </c>
      <c r="AC201" s="117">
        <f t="shared" si="233"/>
        <v>12</v>
      </c>
      <c r="AD201" s="10">
        <v>0</v>
      </c>
      <c r="AE201" s="10">
        <v>0</v>
      </c>
      <c r="AF201" s="117">
        <f t="shared" si="234"/>
        <v>0</v>
      </c>
      <c r="AG201" s="118">
        <f t="shared" si="235"/>
        <v>0</v>
      </c>
      <c r="AH201" s="80">
        <f t="shared" si="236"/>
        <v>12</v>
      </c>
      <c r="AI201" s="127">
        <f t="shared" si="210"/>
        <v>12</v>
      </c>
      <c r="AJ201" s="111">
        <v>0</v>
      </c>
      <c r="AK201" s="111">
        <v>0</v>
      </c>
      <c r="AL201" s="112">
        <f t="shared" ca="1" si="208"/>
        <v>0</v>
      </c>
      <c r="AM201" s="112">
        <f t="shared" si="209"/>
        <v>0</v>
      </c>
      <c r="AN201" s="80">
        <f t="shared" si="237"/>
        <v>12</v>
      </c>
      <c r="AO201" s="12">
        <f t="shared" si="238"/>
        <v>12</v>
      </c>
      <c r="AP201" s="10">
        <v>0</v>
      </c>
      <c r="AQ201" s="10">
        <v>0</v>
      </c>
      <c r="AR201" s="12">
        <f t="shared" si="239"/>
        <v>0</v>
      </c>
      <c r="AS201" s="12">
        <f t="shared" si="240"/>
        <v>0</v>
      </c>
      <c r="AT201" s="13">
        <f t="shared" si="241"/>
        <v>12</v>
      </c>
      <c r="AU201" s="12">
        <f t="shared" si="242"/>
        <v>12</v>
      </c>
      <c r="AV201" s="10">
        <v>0</v>
      </c>
      <c r="AW201" s="10">
        <v>0</v>
      </c>
      <c r="AX201" s="12">
        <f t="shared" si="243"/>
        <v>0</v>
      </c>
      <c r="AY201" s="12">
        <f t="shared" si="244"/>
        <v>0</v>
      </c>
      <c r="AZ201" s="32">
        <f t="shared" si="245"/>
        <v>12</v>
      </c>
      <c r="BA201" s="12">
        <f t="shared" si="246"/>
        <v>12</v>
      </c>
      <c r="BB201" s="10">
        <v>0</v>
      </c>
      <c r="BC201" s="10">
        <v>0</v>
      </c>
      <c r="BD201" s="12">
        <f t="shared" si="247"/>
        <v>0</v>
      </c>
      <c r="BE201" s="12">
        <f t="shared" si="248"/>
        <v>0</v>
      </c>
      <c r="BF201" s="48">
        <v>12</v>
      </c>
      <c r="BG201" s="12">
        <f t="shared" si="228"/>
        <v>12</v>
      </c>
      <c r="BH201" s="10">
        <v>0</v>
      </c>
      <c r="BI201" s="10">
        <v>0</v>
      </c>
      <c r="BJ201" s="33">
        <f t="shared" si="211"/>
        <v>0</v>
      </c>
      <c r="BK201" s="33">
        <f t="shared" si="212"/>
        <v>0</v>
      </c>
      <c r="BL201" s="48">
        <v>12</v>
      </c>
      <c r="BM201" s="12">
        <f t="shared" si="229"/>
        <v>12</v>
      </c>
      <c r="BN201" s="10">
        <v>0</v>
      </c>
      <c r="BO201" s="10">
        <v>0</v>
      </c>
      <c r="BP201" s="33">
        <f t="shared" si="213"/>
        <v>0</v>
      </c>
      <c r="BQ201" s="33">
        <f t="shared" si="214"/>
        <v>0</v>
      </c>
      <c r="BR201" s="48">
        <v>12</v>
      </c>
      <c r="BS201" s="12">
        <f t="shared" si="230"/>
        <v>12</v>
      </c>
      <c r="BT201" s="10">
        <v>0</v>
      </c>
      <c r="BU201" s="10">
        <v>0</v>
      </c>
      <c r="BV201" s="33">
        <f t="shared" si="215"/>
        <v>0</v>
      </c>
      <c r="BW201" s="33">
        <f t="shared" si="216"/>
        <v>0</v>
      </c>
      <c r="BX201" s="48">
        <v>12</v>
      </c>
      <c r="BY201" s="12">
        <f t="shared" si="231"/>
        <v>12</v>
      </c>
      <c r="BZ201" s="10">
        <v>0</v>
      </c>
      <c r="CA201" s="10">
        <v>0</v>
      </c>
      <c r="CB201" s="33">
        <f t="shared" si="217"/>
        <v>0</v>
      </c>
      <c r="CC201" s="33">
        <f t="shared" si="218"/>
        <v>0</v>
      </c>
      <c r="CD201" s="48">
        <v>12</v>
      </c>
      <c r="CE201" s="12">
        <f t="shared" si="232"/>
        <v>12</v>
      </c>
    </row>
    <row r="202" spans="1:83" ht="80.25" customHeight="1">
      <c r="A202" s="148" t="s">
        <v>647</v>
      </c>
      <c r="B202" s="155" t="s">
        <v>648</v>
      </c>
      <c r="C202" s="174" t="s">
        <v>649</v>
      </c>
      <c r="D202" s="157">
        <v>2008</v>
      </c>
      <c r="E202" s="154"/>
      <c r="F202" s="154"/>
      <c r="G202" s="154"/>
      <c r="H202" s="165">
        <v>20</v>
      </c>
      <c r="I202" s="159">
        <v>1</v>
      </c>
      <c r="J202" s="56">
        <v>0</v>
      </c>
      <c r="K202" s="33">
        <f t="shared" si="219"/>
        <v>0</v>
      </c>
      <c r="L202" s="10">
        <v>0</v>
      </c>
      <c r="M202" s="10">
        <v>0</v>
      </c>
      <c r="N202" s="33">
        <f t="shared" si="220"/>
        <v>0</v>
      </c>
      <c r="O202" s="33">
        <f t="shared" si="221"/>
        <v>0</v>
      </c>
      <c r="P202" s="56">
        <v>0</v>
      </c>
      <c r="Q202" s="33">
        <f t="shared" si="222"/>
        <v>0</v>
      </c>
      <c r="R202" s="56">
        <v>0</v>
      </c>
      <c r="S202" s="56">
        <v>0</v>
      </c>
      <c r="T202" s="33">
        <f t="shared" si="223"/>
        <v>0</v>
      </c>
      <c r="U202" s="33">
        <f t="shared" si="224"/>
        <v>0</v>
      </c>
      <c r="V202" s="56">
        <v>0</v>
      </c>
      <c r="W202" s="33">
        <f t="shared" si="225"/>
        <v>0</v>
      </c>
      <c r="X202" s="56">
        <v>0</v>
      </c>
      <c r="Y202" s="56">
        <v>0</v>
      </c>
      <c r="Z202" s="33">
        <f t="shared" si="226"/>
        <v>0</v>
      </c>
      <c r="AA202" s="33">
        <f t="shared" si="227"/>
        <v>0</v>
      </c>
      <c r="AB202" s="146">
        <v>20</v>
      </c>
      <c r="AC202" s="117">
        <f t="shared" si="233"/>
        <v>20</v>
      </c>
      <c r="AD202" s="10">
        <v>0</v>
      </c>
      <c r="AE202" s="10">
        <v>0</v>
      </c>
      <c r="AF202" s="117">
        <f t="shared" si="234"/>
        <v>0</v>
      </c>
      <c r="AG202" s="118">
        <f t="shared" si="235"/>
        <v>0</v>
      </c>
      <c r="AH202" s="80">
        <f t="shared" si="236"/>
        <v>20</v>
      </c>
      <c r="AI202" s="127">
        <f t="shared" ref="AI202:AI220" si="249">AH202*I202</f>
        <v>20</v>
      </c>
      <c r="AJ202" s="111">
        <v>0</v>
      </c>
      <c r="AK202" s="111">
        <v>0</v>
      </c>
      <c r="AL202" s="112">
        <f t="shared" ca="1" si="208"/>
        <v>0</v>
      </c>
      <c r="AM202" s="112">
        <f t="shared" si="209"/>
        <v>0</v>
      </c>
      <c r="AN202" s="80">
        <f t="shared" si="237"/>
        <v>20</v>
      </c>
      <c r="AO202" s="12">
        <f t="shared" si="238"/>
        <v>20</v>
      </c>
      <c r="AP202" s="10">
        <v>0</v>
      </c>
      <c r="AQ202" s="10">
        <v>0</v>
      </c>
      <c r="AR202" s="12">
        <f t="shared" si="239"/>
        <v>0</v>
      </c>
      <c r="AS202" s="12">
        <f t="shared" si="240"/>
        <v>0</v>
      </c>
      <c r="AT202" s="13">
        <f t="shared" si="241"/>
        <v>20</v>
      </c>
      <c r="AU202" s="12">
        <f t="shared" si="242"/>
        <v>20</v>
      </c>
      <c r="AV202" s="10">
        <v>0</v>
      </c>
      <c r="AW202" s="10">
        <v>0</v>
      </c>
      <c r="AX202" s="12">
        <f t="shared" si="243"/>
        <v>0</v>
      </c>
      <c r="AY202" s="12">
        <f t="shared" si="244"/>
        <v>0</v>
      </c>
      <c r="AZ202" s="32">
        <f t="shared" si="245"/>
        <v>20</v>
      </c>
      <c r="BA202" s="12">
        <f t="shared" si="246"/>
        <v>20</v>
      </c>
      <c r="BB202" s="10">
        <v>0</v>
      </c>
      <c r="BC202" s="10">
        <v>0</v>
      </c>
      <c r="BD202" s="12">
        <f t="shared" si="247"/>
        <v>0</v>
      </c>
      <c r="BE202" s="12">
        <f t="shared" si="248"/>
        <v>0</v>
      </c>
      <c r="BF202" s="48">
        <v>20</v>
      </c>
      <c r="BG202" s="12">
        <f t="shared" si="228"/>
        <v>20</v>
      </c>
      <c r="BH202" s="10">
        <v>0</v>
      </c>
      <c r="BI202" s="10">
        <v>0</v>
      </c>
      <c r="BJ202" s="33">
        <f t="shared" ref="BJ202:BJ220" si="250">BI202*AM202</f>
        <v>0</v>
      </c>
      <c r="BK202" s="33">
        <f t="shared" ref="BK202:BK220" si="251">BJ202*AN202</f>
        <v>0</v>
      </c>
      <c r="BL202" s="48">
        <v>20</v>
      </c>
      <c r="BM202" s="12">
        <f t="shared" si="229"/>
        <v>20</v>
      </c>
      <c r="BN202" s="10">
        <v>0</v>
      </c>
      <c r="BO202" s="10">
        <v>0</v>
      </c>
      <c r="BP202" s="33">
        <f t="shared" ref="BP202:BP220" si="252">BO202*AS202</f>
        <v>0</v>
      </c>
      <c r="BQ202" s="33">
        <f t="shared" ref="BQ202:BQ220" si="253">BP202*AT202</f>
        <v>0</v>
      </c>
      <c r="BR202" s="48">
        <v>20</v>
      </c>
      <c r="BS202" s="12">
        <f t="shared" si="230"/>
        <v>20</v>
      </c>
      <c r="BT202" s="10">
        <v>0</v>
      </c>
      <c r="BU202" s="10">
        <v>0</v>
      </c>
      <c r="BV202" s="33">
        <f t="shared" ref="BV202:BV220" si="254">BU202*AY202</f>
        <v>0</v>
      </c>
      <c r="BW202" s="33">
        <f t="shared" ref="BW202:BW220" si="255">BV202*AZ202</f>
        <v>0</v>
      </c>
      <c r="BX202" s="48">
        <v>20</v>
      </c>
      <c r="BY202" s="12">
        <f t="shared" si="231"/>
        <v>20</v>
      </c>
      <c r="BZ202" s="10">
        <v>0</v>
      </c>
      <c r="CA202" s="10">
        <v>0</v>
      </c>
      <c r="CB202" s="33">
        <f t="shared" ref="CB202:CB220" si="256">CA202*BE202</f>
        <v>0</v>
      </c>
      <c r="CC202" s="33">
        <f t="shared" ref="CC202:CC220" si="257">CB202*BF202</f>
        <v>0</v>
      </c>
      <c r="CD202" s="48">
        <v>20</v>
      </c>
      <c r="CE202" s="12">
        <f t="shared" si="232"/>
        <v>20</v>
      </c>
    </row>
    <row r="203" spans="1:83" ht="80.25" customHeight="1">
      <c r="A203" s="148" t="s">
        <v>650</v>
      </c>
      <c r="B203" s="155" t="s">
        <v>651</v>
      </c>
      <c r="C203" s="177" t="s">
        <v>652</v>
      </c>
      <c r="D203" s="157">
        <v>2005</v>
      </c>
      <c r="E203" s="154"/>
      <c r="F203" s="154"/>
      <c r="G203" s="154"/>
      <c r="H203" s="165">
        <v>9</v>
      </c>
      <c r="I203" s="159">
        <v>1</v>
      </c>
      <c r="J203" s="56">
        <v>0</v>
      </c>
      <c r="K203" s="33">
        <f t="shared" si="219"/>
        <v>0</v>
      </c>
      <c r="L203" s="10">
        <v>0</v>
      </c>
      <c r="M203" s="10">
        <v>0</v>
      </c>
      <c r="N203" s="33">
        <f t="shared" si="220"/>
        <v>0</v>
      </c>
      <c r="O203" s="33">
        <f t="shared" si="221"/>
        <v>0</v>
      </c>
      <c r="P203" s="56">
        <v>0</v>
      </c>
      <c r="Q203" s="33">
        <f t="shared" si="222"/>
        <v>0</v>
      </c>
      <c r="R203" s="56">
        <v>0</v>
      </c>
      <c r="S203" s="56">
        <v>0</v>
      </c>
      <c r="T203" s="33">
        <f t="shared" si="223"/>
        <v>0</v>
      </c>
      <c r="U203" s="33">
        <f t="shared" si="224"/>
        <v>0</v>
      </c>
      <c r="V203" s="56">
        <v>0</v>
      </c>
      <c r="W203" s="33">
        <f t="shared" si="225"/>
        <v>0</v>
      </c>
      <c r="X203" s="56">
        <v>0</v>
      </c>
      <c r="Y203" s="56">
        <v>0</v>
      </c>
      <c r="Z203" s="33">
        <f t="shared" si="226"/>
        <v>0</v>
      </c>
      <c r="AA203" s="33">
        <f t="shared" si="227"/>
        <v>0</v>
      </c>
      <c r="AB203" s="146">
        <v>9</v>
      </c>
      <c r="AC203" s="117">
        <f t="shared" si="233"/>
        <v>9</v>
      </c>
      <c r="AD203" s="10">
        <v>0</v>
      </c>
      <c r="AE203" s="10">
        <v>0</v>
      </c>
      <c r="AF203" s="117">
        <f t="shared" si="234"/>
        <v>0</v>
      </c>
      <c r="AG203" s="118">
        <f t="shared" si="235"/>
        <v>0</v>
      </c>
      <c r="AH203" s="80">
        <f t="shared" si="236"/>
        <v>9</v>
      </c>
      <c r="AI203" s="127">
        <f t="shared" si="249"/>
        <v>9</v>
      </c>
      <c r="AJ203" s="111">
        <v>0</v>
      </c>
      <c r="AK203" s="111">
        <v>0</v>
      </c>
      <c r="AL203" s="112">
        <f t="shared" ca="1" si="208"/>
        <v>0</v>
      </c>
      <c r="AM203" s="112">
        <f t="shared" si="209"/>
        <v>0</v>
      </c>
      <c r="AN203" s="80">
        <f t="shared" si="237"/>
        <v>9</v>
      </c>
      <c r="AO203" s="12">
        <f t="shared" si="238"/>
        <v>9</v>
      </c>
      <c r="AP203" s="10">
        <v>0</v>
      </c>
      <c r="AQ203" s="10">
        <v>0</v>
      </c>
      <c r="AR203" s="12">
        <f t="shared" si="239"/>
        <v>0</v>
      </c>
      <c r="AS203" s="12">
        <f t="shared" si="240"/>
        <v>0</v>
      </c>
      <c r="AT203" s="13">
        <f t="shared" si="241"/>
        <v>9</v>
      </c>
      <c r="AU203" s="12">
        <f t="shared" si="242"/>
        <v>9</v>
      </c>
      <c r="AV203" s="10">
        <v>0</v>
      </c>
      <c r="AW203" s="10">
        <v>0</v>
      </c>
      <c r="AX203" s="12">
        <f t="shared" si="243"/>
        <v>0</v>
      </c>
      <c r="AY203" s="12">
        <f t="shared" si="244"/>
        <v>0</v>
      </c>
      <c r="AZ203" s="32">
        <f t="shared" si="245"/>
        <v>9</v>
      </c>
      <c r="BA203" s="12">
        <f t="shared" si="246"/>
        <v>9</v>
      </c>
      <c r="BB203" s="10">
        <v>0</v>
      </c>
      <c r="BC203" s="10">
        <v>0</v>
      </c>
      <c r="BD203" s="12">
        <f t="shared" si="247"/>
        <v>0</v>
      </c>
      <c r="BE203" s="12">
        <f t="shared" si="248"/>
        <v>0</v>
      </c>
      <c r="BF203" s="48">
        <v>9</v>
      </c>
      <c r="BG203" s="12">
        <f t="shared" si="228"/>
        <v>9</v>
      </c>
      <c r="BH203" s="10">
        <v>0</v>
      </c>
      <c r="BI203" s="10">
        <v>0</v>
      </c>
      <c r="BJ203" s="33">
        <f t="shared" si="250"/>
        <v>0</v>
      </c>
      <c r="BK203" s="33">
        <f t="shared" si="251"/>
        <v>0</v>
      </c>
      <c r="BL203" s="48">
        <v>9</v>
      </c>
      <c r="BM203" s="12">
        <f t="shared" si="229"/>
        <v>9</v>
      </c>
      <c r="BN203" s="10">
        <v>0</v>
      </c>
      <c r="BO203" s="10">
        <v>0</v>
      </c>
      <c r="BP203" s="33">
        <f t="shared" si="252"/>
        <v>0</v>
      </c>
      <c r="BQ203" s="33">
        <f t="shared" si="253"/>
        <v>0</v>
      </c>
      <c r="BR203" s="48">
        <v>9</v>
      </c>
      <c r="BS203" s="12">
        <f t="shared" si="230"/>
        <v>9</v>
      </c>
      <c r="BT203" s="10">
        <v>0</v>
      </c>
      <c r="BU203" s="10">
        <v>0</v>
      </c>
      <c r="BV203" s="33">
        <f t="shared" si="254"/>
        <v>0</v>
      </c>
      <c r="BW203" s="33">
        <f t="shared" si="255"/>
        <v>0</v>
      </c>
      <c r="BX203" s="48">
        <v>9</v>
      </c>
      <c r="BY203" s="12">
        <f t="shared" si="231"/>
        <v>9</v>
      </c>
      <c r="BZ203" s="10">
        <v>0</v>
      </c>
      <c r="CA203" s="10">
        <v>0</v>
      </c>
      <c r="CB203" s="33">
        <f t="shared" si="256"/>
        <v>0</v>
      </c>
      <c r="CC203" s="33">
        <f t="shared" si="257"/>
        <v>0</v>
      </c>
      <c r="CD203" s="48">
        <v>9</v>
      </c>
      <c r="CE203" s="12">
        <f t="shared" si="232"/>
        <v>9</v>
      </c>
    </row>
    <row r="204" spans="1:83" ht="80.25" customHeight="1">
      <c r="A204" s="148" t="s">
        <v>653</v>
      </c>
      <c r="B204" s="155" t="s">
        <v>654</v>
      </c>
      <c r="C204" s="176" t="s">
        <v>655</v>
      </c>
      <c r="D204" s="156">
        <v>2007</v>
      </c>
      <c r="E204" s="154"/>
      <c r="F204" s="154"/>
      <c r="G204" s="154"/>
      <c r="H204" s="165">
        <v>10</v>
      </c>
      <c r="I204" s="159">
        <v>1</v>
      </c>
      <c r="J204" s="56">
        <v>0</v>
      </c>
      <c r="K204" s="33">
        <f t="shared" si="219"/>
        <v>0</v>
      </c>
      <c r="L204" s="10">
        <v>0</v>
      </c>
      <c r="M204" s="10">
        <v>0</v>
      </c>
      <c r="N204" s="33">
        <f t="shared" si="220"/>
        <v>0</v>
      </c>
      <c r="O204" s="33">
        <f t="shared" si="221"/>
        <v>0</v>
      </c>
      <c r="P204" s="56">
        <v>0</v>
      </c>
      <c r="Q204" s="33">
        <f t="shared" si="222"/>
        <v>0</v>
      </c>
      <c r="R204" s="56">
        <v>0</v>
      </c>
      <c r="S204" s="56">
        <v>0</v>
      </c>
      <c r="T204" s="33">
        <f t="shared" si="223"/>
        <v>0</v>
      </c>
      <c r="U204" s="33">
        <f t="shared" si="224"/>
        <v>0</v>
      </c>
      <c r="V204" s="56">
        <v>0</v>
      </c>
      <c r="W204" s="33">
        <f t="shared" si="225"/>
        <v>0</v>
      </c>
      <c r="X204" s="56">
        <v>0</v>
      </c>
      <c r="Y204" s="56">
        <v>0</v>
      </c>
      <c r="Z204" s="33">
        <f t="shared" si="226"/>
        <v>0</v>
      </c>
      <c r="AA204" s="33">
        <f t="shared" si="227"/>
        <v>0</v>
      </c>
      <c r="AB204" s="146">
        <v>10</v>
      </c>
      <c r="AC204" s="117">
        <f t="shared" si="233"/>
        <v>10</v>
      </c>
      <c r="AD204" s="10">
        <v>0</v>
      </c>
      <c r="AE204" s="10">
        <v>0</v>
      </c>
      <c r="AF204" s="117">
        <f t="shared" si="234"/>
        <v>0</v>
      </c>
      <c r="AG204" s="118">
        <f t="shared" si="235"/>
        <v>0</v>
      </c>
      <c r="AH204" s="80">
        <f t="shared" si="236"/>
        <v>10</v>
      </c>
      <c r="AI204" s="127">
        <f t="shared" si="249"/>
        <v>10</v>
      </c>
      <c r="AJ204" s="111">
        <v>0</v>
      </c>
      <c r="AK204" s="111">
        <v>0</v>
      </c>
      <c r="AL204" s="112">
        <f t="shared" ca="1" si="208"/>
        <v>0</v>
      </c>
      <c r="AM204" s="112">
        <f t="shared" si="209"/>
        <v>0</v>
      </c>
      <c r="AN204" s="80">
        <f t="shared" si="237"/>
        <v>10</v>
      </c>
      <c r="AO204" s="12">
        <f t="shared" si="238"/>
        <v>10</v>
      </c>
      <c r="AP204" s="10">
        <v>0</v>
      </c>
      <c r="AQ204" s="10">
        <v>0</v>
      </c>
      <c r="AR204" s="12">
        <f t="shared" si="239"/>
        <v>0</v>
      </c>
      <c r="AS204" s="12">
        <f t="shared" si="240"/>
        <v>0</v>
      </c>
      <c r="AT204" s="13">
        <f t="shared" si="241"/>
        <v>10</v>
      </c>
      <c r="AU204" s="12">
        <f t="shared" si="242"/>
        <v>10</v>
      </c>
      <c r="AV204" s="10">
        <v>0</v>
      </c>
      <c r="AW204" s="10">
        <v>0</v>
      </c>
      <c r="AX204" s="12">
        <f t="shared" si="243"/>
        <v>0</v>
      </c>
      <c r="AY204" s="12">
        <f t="shared" si="244"/>
        <v>0</v>
      </c>
      <c r="AZ204" s="32">
        <f t="shared" si="245"/>
        <v>10</v>
      </c>
      <c r="BA204" s="12">
        <f t="shared" si="246"/>
        <v>10</v>
      </c>
      <c r="BB204" s="10">
        <v>0</v>
      </c>
      <c r="BC204" s="10">
        <v>0</v>
      </c>
      <c r="BD204" s="12">
        <f t="shared" si="247"/>
        <v>0</v>
      </c>
      <c r="BE204" s="12">
        <f t="shared" si="248"/>
        <v>0</v>
      </c>
      <c r="BF204" s="48">
        <v>10</v>
      </c>
      <c r="BG204" s="12">
        <f t="shared" si="228"/>
        <v>10</v>
      </c>
      <c r="BH204" s="10">
        <v>0</v>
      </c>
      <c r="BI204" s="10">
        <v>0</v>
      </c>
      <c r="BJ204" s="33">
        <f t="shared" si="250"/>
        <v>0</v>
      </c>
      <c r="BK204" s="33">
        <f t="shared" si="251"/>
        <v>0</v>
      </c>
      <c r="BL204" s="48">
        <v>10</v>
      </c>
      <c r="BM204" s="12">
        <f t="shared" si="229"/>
        <v>10</v>
      </c>
      <c r="BN204" s="10">
        <v>0</v>
      </c>
      <c r="BO204" s="10">
        <v>0</v>
      </c>
      <c r="BP204" s="33">
        <f t="shared" si="252"/>
        <v>0</v>
      </c>
      <c r="BQ204" s="33">
        <f t="shared" si="253"/>
        <v>0</v>
      </c>
      <c r="BR204" s="48">
        <v>10</v>
      </c>
      <c r="BS204" s="12">
        <f t="shared" si="230"/>
        <v>10</v>
      </c>
      <c r="BT204" s="10">
        <v>0</v>
      </c>
      <c r="BU204" s="10">
        <v>0</v>
      </c>
      <c r="BV204" s="33">
        <f t="shared" si="254"/>
        <v>0</v>
      </c>
      <c r="BW204" s="33">
        <f t="shared" si="255"/>
        <v>0</v>
      </c>
      <c r="BX204" s="48">
        <v>10</v>
      </c>
      <c r="BY204" s="12">
        <f t="shared" si="231"/>
        <v>10</v>
      </c>
      <c r="BZ204" s="10">
        <v>0</v>
      </c>
      <c r="CA204" s="10">
        <v>0</v>
      </c>
      <c r="CB204" s="33">
        <f t="shared" si="256"/>
        <v>0</v>
      </c>
      <c r="CC204" s="33">
        <f t="shared" si="257"/>
        <v>0</v>
      </c>
      <c r="CD204" s="48">
        <v>10</v>
      </c>
      <c r="CE204" s="12">
        <f t="shared" si="232"/>
        <v>10</v>
      </c>
    </row>
    <row r="205" spans="1:83" ht="80.25" customHeight="1">
      <c r="A205" s="148" t="s">
        <v>656</v>
      </c>
      <c r="B205" s="155" t="s">
        <v>657</v>
      </c>
      <c r="C205" s="174" t="s">
        <v>658</v>
      </c>
      <c r="D205" s="157" t="s">
        <v>439</v>
      </c>
      <c r="E205" s="154"/>
      <c r="F205" s="154"/>
      <c r="G205" s="154"/>
      <c r="H205" s="165">
        <v>32</v>
      </c>
      <c r="I205" s="159">
        <v>1</v>
      </c>
      <c r="J205" s="56">
        <v>0</v>
      </c>
      <c r="K205" s="33">
        <f t="shared" si="219"/>
        <v>0</v>
      </c>
      <c r="L205" s="10">
        <v>0</v>
      </c>
      <c r="M205" s="10">
        <v>0</v>
      </c>
      <c r="N205" s="33">
        <f t="shared" si="220"/>
        <v>0</v>
      </c>
      <c r="O205" s="33">
        <f t="shared" si="221"/>
        <v>0</v>
      </c>
      <c r="P205" s="56">
        <v>0</v>
      </c>
      <c r="Q205" s="33">
        <f t="shared" si="222"/>
        <v>0</v>
      </c>
      <c r="R205" s="56">
        <v>0</v>
      </c>
      <c r="S205" s="56">
        <v>0</v>
      </c>
      <c r="T205" s="33">
        <f t="shared" si="223"/>
        <v>0</v>
      </c>
      <c r="U205" s="33">
        <f t="shared" si="224"/>
        <v>0</v>
      </c>
      <c r="V205" s="56">
        <v>0</v>
      </c>
      <c r="W205" s="33">
        <f t="shared" si="225"/>
        <v>0</v>
      </c>
      <c r="X205" s="56">
        <v>0</v>
      </c>
      <c r="Y205" s="56">
        <v>0</v>
      </c>
      <c r="Z205" s="33">
        <f t="shared" si="226"/>
        <v>0</v>
      </c>
      <c r="AA205" s="33">
        <f t="shared" si="227"/>
        <v>0</v>
      </c>
      <c r="AB205" s="146">
        <v>32</v>
      </c>
      <c r="AC205" s="117">
        <f t="shared" si="233"/>
        <v>32</v>
      </c>
      <c r="AD205" s="10">
        <v>0</v>
      </c>
      <c r="AE205" s="10">
        <v>0</v>
      </c>
      <c r="AF205" s="117">
        <f t="shared" si="234"/>
        <v>0</v>
      </c>
      <c r="AG205" s="118">
        <f t="shared" si="235"/>
        <v>0</v>
      </c>
      <c r="AH205" s="80">
        <f t="shared" si="236"/>
        <v>32</v>
      </c>
      <c r="AI205" s="127">
        <f t="shared" si="249"/>
        <v>32</v>
      </c>
      <c r="AJ205" s="111">
        <v>0</v>
      </c>
      <c r="AK205" s="111">
        <v>0</v>
      </c>
      <c r="AL205" s="112">
        <f t="shared" ca="1" si="208"/>
        <v>0</v>
      </c>
      <c r="AM205" s="112">
        <f t="shared" si="209"/>
        <v>0</v>
      </c>
      <c r="AN205" s="80">
        <f t="shared" si="237"/>
        <v>32</v>
      </c>
      <c r="AO205" s="12">
        <f t="shared" si="238"/>
        <v>32</v>
      </c>
      <c r="AP205" s="10">
        <v>0</v>
      </c>
      <c r="AQ205" s="10">
        <v>0</v>
      </c>
      <c r="AR205" s="12">
        <f t="shared" si="239"/>
        <v>0</v>
      </c>
      <c r="AS205" s="12">
        <f t="shared" si="240"/>
        <v>0</v>
      </c>
      <c r="AT205" s="13">
        <f t="shared" si="241"/>
        <v>32</v>
      </c>
      <c r="AU205" s="12">
        <f t="shared" si="242"/>
        <v>32</v>
      </c>
      <c r="AV205" s="10">
        <v>0</v>
      </c>
      <c r="AW205" s="10">
        <v>0</v>
      </c>
      <c r="AX205" s="12">
        <f t="shared" si="243"/>
        <v>0</v>
      </c>
      <c r="AY205" s="12">
        <f t="shared" si="244"/>
        <v>0</v>
      </c>
      <c r="AZ205" s="32">
        <f t="shared" si="245"/>
        <v>32</v>
      </c>
      <c r="BA205" s="12">
        <f t="shared" si="246"/>
        <v>32</v>
      </c>
      <c r="BB205" s="10">
        <v>0</v>
      </c>
      <c r="BC205" s="10">
        <v>0</v>
      </c>
      <c r="BD205" s="12">
        <f t="shared" si="247"/>
        <v>0</v>
      </c>
      <c r="BE205" s="12">
        <f t="shared" si="248"/>
        <v>0</v>
      </c>
      <c r="BF205" s="48">
        <v>32</v>
      </c>
      <c r="BG205" s="12">
        <f t="shared" si="228"/>
        <v>32</v>
      </c>
      <c r="BH205" s="10">
        <v>0</v>
      </c>
      <c r="BI205" s="10">
        <v>0</v>
      </c>
      <c r="BJ205" s="33">
        <f t="shared" si="250"/>
        <v>0</v>
      </c>
      <c r="BK205" s="33">
        <f t="shared" si="251"/>
        <v>0</v>
      </c>
      <c r="BL205" s="48">
        <v>32</v>
      </c>
      <c r="BM205" s="12">
        <f t="shared" si="229"/>
        <v>32</v>
      </c>
      <c r="BN205" s="10">
        <v>0</v>
      </c>
      <c r="BO205" s="10">
        <v>0</v>
      </c>
      <c r="BP205" s="33">
        <f t="shared" si="252"/>
        <v>0</v>
      </c>
      <c r="BQ205" s="33">
        <f t="shared" si="253"/>
        <v>0</v>
      </c>
      <c r="BR205" s="48">
        <v>32</v>
      </c>
      <c r="BS205" s="12">
        <f t="shared" si="230"/>
        <v>32</v>
      </c>
      <c r="BT205" s="10">
        <v>0</v>
      </c>
      <c r="BU205" s="10">
        <v>0</v>
      </c>
      <c r="BV205" s="33">
        <f t="shared" si="254"/>
        <v>0</v>
      </c>
      <c r="BW205" s="33">
        <f t="shared" si="255"/>
        <v>0</v>
      </c>
      <c r="BX205" s="48">
        <v>32</v>
      </c>
      <c r="BY205" s="12">
        <f t="shared" si="231"/>
        <v>32</v>
      </c>
      <c r="BZ205" s="10">
        <v>0</v>
      </c>
      <c r="CA205" s="10">
        <v>0</v>
      </c>
      <c r="CB205" s="33">
        <f t="shared" si="256"/>
        <v>0</v>
      </c>
      <c r="CC205" s="33">
        <f t="shared" si="257"/>
        <v>0</v>
      </c>
      <c r="CD205" s="48">
        <v>32</v>
      </c>
      <c r="CE205" s="12">
        <f t="shared" si="232"/>
        <v>32</v>
      </c>
    </row>
    <row r="206" spans="1:83" ht="80.25" customHeight="1">
      <c r="A206" s="148" t="s">
        <v>659</v>
      </c>
      <c r="B206" s="155" t="s">
        <v>660</v>
      </c>
      <c r="C206" s="173" t="s">
        <v>661</v>
      </c>
      <c r="D206" s="156">
        <v>2010</v>
      </c>
      <c r="E206" s="154"/>
      <c r="F206" s="154"/>
      <c r="G206" s="154"/>
      <c r="H206" s="165">
        <v>10</v>
      </c>
      <c r="I206" s="159">
        <v>1</v>
      </c>
      <c r="J206" s="56">
        <v>0</v>
      </c>
      <c r="K206" s="33">
        <f t="shared" si="219"/>
        <v>0</v>
      </c>
      <c r="L206" s="10">
        <v>0</v>
      </c>
      <c r="M206" s="10">
        <v>0</v>
      </c>
      <c r="N206" s="33">
        <f t="shared" si="220"/>
        <v>0</v>
      </c>
      <c r="O206" s="33">
        <f t="shared" si="221"/>
        <v>0</v>
      </c>
      <c r="P206" s="56">
        <v>0</v>
      </c>
      <c r="Q206" s="33">
        <f t="shared" si="222"/>
        <v>0</v>
      </c>
      <c r="R206" s="56">
        <v>0</v>
      </c>
      <c r="S206" s="56">
        <v>0</v>
      </c>
      <c r="T206" s="33">
        <f t="shared" si="223"/>
        <v>0</v>
      </c>
      <c r="U206" s="33">
        <f t="shared" si="224"/>
        <v>0</v>
      </c>
      <c r="V206" s="56">
        <v>0</v>
      </c>
      <c r="W206" s="33">
        <f t="shared" si="225"/>
        <v>0</v>
      </c>
      <c r="X206" s="56">
        <v>0</v>
      </c>
      <c r="Y206" s="56">
        <v>0</v>
      </c>
      <c r="Z206" s="33">
        <f t="shared" si="226"/>
        <v>0</v>
      </c>
      <c r="AA206" s="33">
        <f t="shared" si="227"/>
        <v>0</v>
      </c>
      <c r="AB206" s="146">
        <v>10</v>
      </c>
      <c r="AC206" s="117">
        <f t="shared" si="233"/>
        <v>10</v>
      </c>
      <c r="AD206" s="10">
        <v>0</v>
      </c>
      <c r="AE206" s="10">
        <v>0</v>
      </c>
      <c r="AF206" s="117">
        <f t="shared" si="234"/>
        <v>0</v>
      </c>
      <c r="AG206" s="118">
        <f t="shared" si="235"/>
        <v>0</v>
      </c>
      <c r="AH206" s="80">
        <f t="shared" si="236"/>
        <v>10</v>
      </c>
      <c r="AI206" s="127">
        <f t="shared" si="249"/>
        <v>10</v>
      </c>
      <c r="AJ206" s="111">
        <v>0</v>
      </c>
      <c r="AK206" s="111">
        <v>0</v>
      </c>
      <c r="AL206" s="112">
        <f t="shared" ca="1" si="208"/>
        <v>0</v>
      </c>
      <c r="AM206" s="112">
        <f t="shared" si="209"/>
        <v>0</v>
      </c>
      <c r="AN206" s="80">
        <f t="shared" si="237"/>
        <v>10</v>
      </c>
      <c r="AO206" s="12">
        <f t="shared" si="238"/>
        <v>10</v>
      </c>
      <c r="AP206" s="10">
        <v>0</v>
      </c>
      <c r="AQ206" s="10">
        <v>0</v>
      </c>
      <c r="AR206" s="12">
        <f t="shared" si="239"/>
        <v>0</v>
      </c>
      <c r="AS206" s="12">
        <f t="shared" si="240"/>
        <v>0</v>
      </c>
      <c r="AT206" s="13">
        <f t="shared" si="241"/>
        <v>10</v>
      </c>
      <c r="AU206" s="12">
        <f t="shared" si="242"/>
        <v>10</v>
      </c>
      <c r="AV206" s="10">
        <v>0</v>
      </c>
      <c r="AW206" s="10">
        <v>0</v>
      </c>
      <c r="AX206" s="12">
        <f t="shared" si="243"/>
        <v>0</v>
      </c>
      <c r="AY206" s="12">
        <f t="shared" si="244"/>
        <v>0</v>
      </c>
      <c r="AZ206" s="32">
        <f t="shared" si="245"/>
        <v>10</v>
      </c>
      <c r="BA206" s="12">
        <f t="shared" si="246"/>
        <v>10</v>
      </c>
      <c r="BB206" s="10">
        <v>0</v>
      </c>
      <c r="BC206" s="10">
        <v>0</v>
      </c>
      <c r="BD206" s="12">
        <f t="shared" si="247"/>
        <v>0</v>
      </c>
      <c r="BE206" s="12">
        <f t="shared" si="248"/>
        <v>0</v>
      </c>
      <c r="BF206" s="48">
        <v>10</v>
      </c>
      <c r="BG206" s="12">
        <f t="shared" si="228"/>
        <v>10</v>
      </c>
      <c r="BH206" s="10">
        <v>0</v>
      </c>
      <c r="BI206" s="10">
        <v>0</v>
      </c>
      <c r="BJ206" s="33">
        <f t="shared" si="250"/>
        <v>0</v>
      </c>
      <c r="BK206" s="33">
        <f t="shared" si="251"/>
        <v>0</v>
      </c>
      <c r="BL206" s="48">
        <v>10</v>
      </c>
      <c r="BM206" s="12">
        <f t="shared" si="229"/>
        <v>10</v>
      </c>
      <c r="BN206" s="10">
        <v>0</v>
      </c>
      <c r="BO206" s="10">
        <v>0</v>
      </c>
      <c r="BP206" s="33">
        <f t="shared" si="252"/>
        <v>0</v>
      </c>
      <c r="BQ206" s="33">
        <f t="shared" si="253"/>
        <v>0</v>
      </c>
      <c r="BR206" s="48">
        <v>10</v>
      </c>
      <c r="BS206" s="12">
        <f t="shared" si="230"/>
        <v>10</v>
      </c>
      <c r="BT206" s="10">
        <v>0</v>
      </c>
      <c r="BU206" s="10">
        <v>0</v>
      </c>
      <c r="BV206" s="33">
        <f t="shared" si="254"/>
        <v>0</v>
      </c>
      <c r="BW206" s="33">
        <f t="shared" si="255"/>
        <v>0</v>
      </c>
      <c r="BX206" s="48">
        <v>10</v>
      </c>
      <c r="BY206" s="12">
        <f t="shared" si="231"/>
        <v>10</v>
      </c>
      <c r="BZ206" s="10">
        <v>0</v>
      </c>
      <c r="CA206" s="10">
        <v>0</v>
      </c>
      <c r="CB206" s="33">
        <f t="shared" si="256"/>
        <v>0</v>
      </c>
      <c r="CC206" s="33">
        <f t="shared" si="257"/>
        <v>0</v>
      </c>
      <c r="CD206" s="48">
        <v>10</v>
      </c>
      <c r="CE206" s="12">
        <f t="shared" si="232"/>
        <v>10</v>
      </c>
    </row>
    <row r="207" spans="1:83" ht="80.25" customHeight="1">
      <c r="A207" s="148" t="s">
        <v>662</v>
      </c>
      <c r="B207" s="155" t="s">
        <v>663</v>
      </c>
      <c r="C207" s="173" t="s">
        <v>664</v>
      </c>
      <c r="D207" s="156">
        <v>2010</v>
      </c>
      <c r="E207" s="154"/>
      <c r="F207" s="154"/>
      <c r="G207" s="154"/>
      <c r="H207" s="165">
        <v>10</v>
      </c>
      <c r="I207" s="159">
        <v>1</v>
      </c>
      <c r="J207" s="56">
        <v>0</v>
      </c>
      <c r="K207" s="33">
        <f t="shared" si="219"/>
        <v>0</v>
      </c>
      <c r="L207" s="10">
        <v>0</v>
      </c>
      <c r="M207" s="10">
        <v>0</v>
      </c>
      <c r="N207" s="33">
        <f t="shared" si="220"/>
        <v>0</v>
      </c>
      <c r="O207" s="33">
        <f t="shared" si="221"/>
        <v>0</v>
      </c>
      <c r="P207" s="56">
        <v>0</v>
      </c>
      <c r="Q207" s="33">
        <f t="shared" si="222"/>
        <v>0</v>
      </c>
      <c r="R207" s="56">
        <v>0</v>
      </c>
      <c r="S207" s="56">
        <v>0</v>
      </c>
      <c r="T207" s="33">
        <f t="shared" si="223"/>
        <v>0</v>
      </c>
      <c r="U207" s="33">
        <f t="shared" si="224"/>
        <v>0</v>
      </c>
      <c r="V207" s="56">
        <v>0</v>
      </c>
      <c r="W207" s="33">
        <f t="shared" si="225"/>
        <v>0</v>
      </c>
      <c r="X207" s="56">
        <v>0</v>
      </c>
      <c r="Y207" s="56">
        <v>0</v>
      </c>
      <c r="Z207" s="33">
        <f t="shared" si="226"/>
        <v>0</v>
      </c>
      <c r="AA207" s="33">
        <f t="shared" si="227"/>
        <v>0</v>
      </c>
      <c r="AB207" s="146">
        <v>10</v>
      </c>
      <c r="AC207" s="117">
        <f t="shared" si="233"/>
        <v>10</v>
      </c>
      <c r="AD207" s="10">
        <v>0</v>
      </c>
      <c r="AE207" s="10">
        <v>0</v>
      </c>
      <c r="AF207" s="117">
        <f t="shared" si="234"/>
        <v>0</v>
      </c>
      <c r="AG207" s="118">
        <f t="shared" si="235"/>
        <v>0</v>
      </c>
      <c r="AH207" s="80">
        <f t="shared" si="236"/>
        <v>10</v>
      </c>
      <c r="AI207" s="127">
        <f t="shared" si="249"/>
        <v>10</v>
      </c>
      <c r="AJ207" s="111">
        <v>0</v>
      </c>
      <c r="AK207" s="111">
        <v>0</v>
      </c>
      <c r="AL207" s="112">
        <f t="shared" ca="1" si="208"/>
        <v>0</v>
      </c>
      <c r="AM207" s="112">
        <f t="shared" si="209"/>
        <v>0</v>
      </c>
      <c r="AN207" s="80">
        <f t="shared" si="237"/>
        <v>10</v>
      </c>
      <c r="AO207" s="12">
        <f t="shared" si="238"/>
        <v>10</v>
      </c>
      <c r="AP207" s="10">
        <v>0</v>
      </c>
      <c r="AQ207" s="10">
        <v>0</v>
      </c>
      <c r="AR207" s="12">
        <f t="shared" si="239"/>
        <v>0</v>
      </c>
      <c r="AS207" s="12">
        <f t="shared" si="240"/>
        <v>0</v>
      </c>
      <c r="AT207" s="13">
        <f t="shared" si="241"/>
        <v>10</v>
      </c>
      <c r="AU207" s="12">
        <f t="shared" si="242"/>
        <v>10</v>
      </c>
      <c r="AV207" s="10">
        <v>0</v>
      </c>
      <c r="AW207" s="10">
        <v>0</v>
      </c>
      <c r="AX207" s="12">
        <f t="shared" si="243"/>
        <v>0</v>
      </c>
      <c r="AY207" s="12">
        <f t="shared" si="244"/>
        <v>0</v>
      </c>
      <c r="AZ207" s="32">
        <f t="shared" si="245"/>
        <v>10</v>
      </c>
      <c r="BA207" s="12">
        <f t="shared" si="246"/>
        <v>10</v>
      </c>
      <c r="BB207" s="10">
        <v>0</v>
      </c>
      <c r="BC207" s="10">
        <v>0</v>
      </c>
      <c r="BD207" s="12">
        <f t="shared" si="247"/>
        <v>0</v>
      </c>
      <c r="BE207" s="12">
        <f t="shared" si="248"/>
        <v>0</v>
      </c>
      <c r="BF207" s="48">
        <v>10</v>
      </c>
      <c r="BG207" s="12">
        <f t="shared" si="228"/>
        <v>10</v>
      </c>
      <c r="BH207" s="10">
        <v>0</v>
      </c>
      <c r="BI207" s="10">
        <v>0</v>
      </c>
      <c r="BJ207" s="33">
        <f t="shared" si="250"/>
        <v>0</v>
      </c>
      <c r="BK207" s="33">
        <f t="shared" si="251"/>
        <v>0</v>
      </c>
      <c r="BL207" s="48">
        <v>10</v>
      </c>
      <c r="BM207" s="12">
        <f t="shared" si="229"/>
        <v>10</v>
      </c>
      <c r="BN207" s="10">
        <v>0</v>
      </c>
      <c r="BO207" s="10">
        <v>0</v>
      </c>
      <c r="BP207" s="33">
        <f t="shared" si="252"/>
        <v>0</v>
      </c>
      <c r="BQ207" s="33">
        <f t="shared" si="253"/>
        <v>0</v>
      </c>
      <c r="BR207" s="48">
        <v>10</v>
      </c>
      <c r="BS207" s="12">
        <f t="shared" si="230"/>
        <v>10</v>
      </c>
      <c r="BT207" s="10">
        <v>0</v>
      </c>
      <c r="BU207" s="10">
        <v>0</v>
      </c>
      <c r="BV207" s="33">
        <f t="shared" si="254"/>
        <v>0</v>
      </c>
      <c r="BW207" s="33">
        <f t="shared" si="255"/>
        <v>0</v>
      </c>
      <c r="BX207" s="48">
        <v>10</v>
      </c>
      <c r="BY207" s="12">
        <f t="shared" si="231"/>
        <v>10</v>
      </c>
      <c r="BZ207" s="10">
        <v>0</v>
      </c>
      <c r="CA207" s="10">
        <v>0</v>
      </c>
      <c r="CB207" s="33">
        <f t="shared" si="256"/>
        <v>0</v>
      </c>
      <c r="CC207" s="33">
        <f t="shared" si="257"/>
        <v>0</v>
      </c>
      <c r="CD207" s="48">
        <v>10</v>
      </c>
      <c r="CE207" s="12">
        <f t="shared" si="232"/>
        <v>10</v>
      </c>
    </row>
    <row r="208" spans="1:83" ht="80.25" customHeight="1">
      <c r="A208" s="148" t="s">
        <v>665</v>
      </c>
      <c r="B208" s="155" t="s">
        <v>666</v>
      </c>
      <c r="C208" s="174" t="s">
        <v>667</v>
      </c>
      <c r="D208" s="157">
        <v>2011</v>
      </c>
      <c r="E208" s="154"/>
      <c r="F208" s="154"/>
      <c r="G208" s="154"/>
      <c r="H208" s="165">
        <v>1</v>
      </c>
      <c r="I208" s="159">
        <v>1</v>
      </c>
      <c r="J208" s="56">
        <v>0</v>
      </c>
      <c r="K208" s="33">
        <f t="shared" si="219"/>
        <v>0</v>
      </c>
      <c r="L208" s="10">
        <v>0</v>
      </c>
      <c r="M208" s="10">
        <v>0</v>
      </c>
      <c r="N208" s="33">
        <f t="shared" si="220"/>
        <v>0</v>
      </c>
      <c r="O208" s="33">
        <f t="shared" si="221"/>
        <v>0</v>
      </c>
      <c r="P208" s="56">
        <v>0</v>
      </c>
      <c r="Q208" s="33">
        <f t="shared" si="222"/>
        <v>0</v>
      </c>
      <c r="R208" s="56">
        <v>0</v>
      </c>
      <c r="S208" s="56">
        <v>0</v>
      </c>
      <c r="T208" s="33">
        <f t="shared" si="223"/>
        <v>0</v>
      </c>
      <c r="U208" s="33">
        <f t="shared" si="224"/>
        <v>0</v>
      </c>
      <c r="V208" s="56">
        <v>0</v>
      </c>
      <c r="W208" s="33">
        <f t="shared" si="225"/>
        <v>0</v>
      </c>
      <c r="X208" s="56">
        <v>0</v>
      </c>
      <c r="Y208" s="56">
        <v>0</v>
      </c>
      <c r="Z208" s="33">
        <f t="shared" si="226"/>
        <v>0</v>
      </c>
      <c r="AA208" s="33">
        <f t="shared" si="227"/>
        <v>0</v>
      </c>
      <c r="AB208" s="146">
        <v>1</v>
      </c>
      <c r="AC208" s="117">
        <f t="shared" si="233"/>
        <v>1</v>
      </c>
      <c r="AD208" s="10">
        <v>0</v>
      </c>
      <c r="AE208" s="10">
        <v>0</v>
      </c>
      <c r="AF208" s="117">
        <f t="shared" si="234"/>
        <v>0</v>
      </c>
      <c r="AG208" s="118">
        <f t="shared" si="235"/>
        <v>0</v>
      </c>
      <c r="AH208" s="80">
        <f t="shared" si="236"/>
        <v>1</v>
      </c>
      <c r="AI208" s="127">
        <f t="shared" si="249"/>
        <v>1</v>
      </c>
      <c r="AJ208" s="111">
        <v>0</v>
      </c>
      <c r="AK208" s="111">
        <v>0</v>
      </c>
      <c r="AL208" s="112">
        <f t="shared" ca="1" si="208"/>
        <v>0</v>
      </c>
      <c r="AM208" s="112">
        <f t="shared" si="209"/>
        <v>0</v>
      </c>
      <c r="AN208" s="80">
        <f t="shared" si="237"/>
        <v>1</v>
      </c>
      <c r="AO208" s="12">
        <f t="shared" si="238"/>
        <v>1</v>
      </c>
      <c r="AP208" s="10">
        <v>0</v>
      </c>
      <c r="AQ208" s="10">
        <v>0</v>
      </c>
      <c r="AR208" s="12">
        <f t="shared" si="239"/>
        <v>0</v>
      </c>
      <c r="AS208" s="12">
        <f t="shared" si="240"/>
        <v>0</v>
      </c>
      <c r="AT208" s="13">
        <f t="shared" si="241"/>
        <v>1</v>
      </c>
      <c r="AU208" s="12">
        <f t="shared" si="242"/>
        <v>1</v>
      </c>
      <c r="AV208" s="10">
        <v>0</v>
      </c>
      <c r="AW208" s="10">
        <v>0</v>
      </c>
      <c r="AX208" s="12">
        <f t="shared" si="243"/>
        <v>0</v>
      </c>
      <c r="AY208" s="12">
        <f t="shared" si="244"/>
        <v>0</v>
      </c>
      <c r="AZ208" s="32">
        <f t="shared" si="245"/>
        <v>1</v>
      </c>
      <c r="BA208" s="12">
        <f t="shared" si="246"/>
        <v>1</v>
      </c>
      <c r="BB208" s="10">
        <v>0</v>
      </c>
      <c r="BC208" s="10">
        <v>0</v>
      </c>
      <c r="BD208" s="12">
        <f t="shared" si="247"/>
        <v>0</v>
      </c>
      <c r="BE208" s="12">
        <f t="shared" si="248"/>
        <v>0</v>
      </c>
      <c r="BF208" s="48">
        <v>1</v>
      </c>
      <c r="BG208" s="12">
        <f t="shared" si="228"/>
        <v>1</v>
      </c>
      <c r="BH208" s="10">
        <v>0</v>
      </c>
      <c r="BI208" s="10">
        <v>0</v>
      </c>
      <c r="BJ208" s="33">
        <f t="shared" si="250"/>
        <v>0</v>
      </c>
      <c r="BK208" s="33">
        <f t="shared" si="251"/>
        <v>0</v>
      </c>
      <c r="BL208" s="48">
        <v>1</v>
      </c>
      <c r="BM208" s="12">
        <f t="shared" si="229"/>
        <v>1</v>
      </c>
      <c r="BN208" s="10">
        <v>0</v>
      </c>
      <c r="BO208" s="10">
        <v>0</v>
      </c>
      <c r="BP208" s="33">
        <f t="shared" si="252"/>
        <v>0</v>
      </c>
      <c r="BQ208" s="33">
        <f t="shared" si="253"/>
        <v>0</v>
      </c>
      <c r="BR208" s="48">
        <v>1</v>
      </c>
      <c r="BS208" s="12">
        <f t="shared" si="230"/>
        <v>1</v>
      </c>
      <c r="BT208" s="10">
        <v>0</v>
      </c>
      <c r="BU208" s="10">
        <v>0</v>
      </c>
      <c r="BV208" s="33">
        <f t="shared" si="254"/>
        <v>0</v>
      </c>
      <c r="BW208" s="33">
        <f t="shared" si="255"/>
        <v>0</v>
      </c>
      <c r="BX208" s="48">
        <v>1</v>
      </c>
      <c r="BY208" s="12">
        <f t="shared" si="231"/>
        <v>1</v>
      </c>
      <c r="BZ208" s="10">
        <v>0</v>
      </c>
      <c r="CA208" s="10">
        <v>0</v>
      </c>
      <c r="CB208" s="33">
        <f t="shared" si="256"/>
        <v>0</v>
      </c>
      <c r="CC208" s="33">
        <f t="shared" si="257"/>
        <v>0</v>
      </c>
      <c r="CD208" s="48">
        <v>1</v>
      </c>
      <c r="CE208" s="12">
        <f t="shared" si="232"/>
        <v>1</v>
      </c>
    </row>
    <row r="209" spans="1:84" ht="80.25" customHeight="1">
      <c r="A209" s="148" t="s">
        <v>668</v>
      </c>
      <c r="B209" s="155" t="s">
        <v>669</v>
      </c>
      <c r="C209" s="173" t="s">
        <v>670</v>
      </c>
      <c r="D209" s="156">
        <v>2008</v>
      </c>
      <c r="E209" s="154"/>
      <c r="F209" s="154"/>
      <c r="G209" s="154"/>
      <c r="H209" s="165">
        <v>1</v>
      </c>
      <c r="I209" s="159">
        <v>1</v>
      </c>
      <c r="J209" s="56">
        <v>0</v>
      </c>
      <c r="K209" s="33">
        <f t="shared" si="219"/>
        <v>0</v>
      </c>
      <c r="L209" s="10">
        <v>0</v>
      </c>
      <c r="M209" s="10">
        <v>0</v>
      </c>
      <c r="N209" s="33">
        <f t="shared" si="220"/>
        <v>0</v>
      </c>
      <c r="O209" s="33">
        <f t="shared" si="221"/>
        <v>0</v>
      </c>
      <c r="P209" s="56">
        <v>0</v>
      </c>
      <c r="Q209" s="33">
        <f t="shared" si="222"/>
        <v>0</v>
      </c>
      <c r="R209" s="56">
        <v>0</v>
      </c>
      <c r="S209" s="56">
        <v>0</v>
      </c>
      <c r="T209" s="33">
        <f t="shared" si="223"/>
        <v>0</v>
      </c>
      <c r="U209" s="33">
        <f t="shared" si="224"/>
        <v>0</v>
      </c>
      <c r="V209" s="56">
        <v>0</v>
      </c>
      <c r="W209" s="33">
        <f t="shared" si="225"/>
        <v>0</v>
      </c>
      <c r="X209" s="56">
        <v>0</v>
      </c>
      <c r="Y209" s="56">
        <v>0</v>
      </c>
      <c r="Z209" s="33">
        <f t="shared" si="226"/>
        <v>0</v>
      </c>
      <c r="AA209" s="33">
        <f t="shared" si="227"/>
        <v>0</v>
      </c>
      <c r="AB209" s="146">
        <v>1</v>
      </c>
      <c r="AC209" s="117">
        <f t="shared" si="233"/>
        <v>1</v>
      </c>
      <c r="AD209" s="10">
        <v>0</v>
      </c>
      <c r="AE209" s="10">
        <v>0</v>
      </c>
      <c r="AF209" s="117">
        <f t="shared" si="234"/>
        <v>0</v>
      </c>
      <c r="AG209" s="118">
        <f t="shared" si="235"/>
        <v>0</v>
      </c>
      <c r="AH209" s="80">
        <f t="shared" si="236"/>
        <v>1</v>
      </c>
      <c r="AI209" s="127">
        <f t="shared" si="249"/>
        <v>1</v>
      </c>
      <c r="AJ209" s="111">
        <v>0</v>
      </c>
      <c r="AK209" s="111">
        <v>0</v>
      </c>
      <c r="AL209" s="112">
        <f t="shared" ca="1" si="208"/>
        <v>0</v>
      </c>
      <c r="AM209" s="112">
        <f t="shared" si="209"/>
        <v>0</v>
      </c>
      <c r="AN209" s="80">
        <f t="shared" si="237"/>
        <v>1</v>
      </c>
      <c r="AO209" s="12">
        <f t="shared" si="238"/>
        <v>1</v>
      </c>
      <c r="AP209" s="10">
        <v>0</v>
      </c>
      <c r="AQ209" s="10">
        <v>0</v>
      </c>
      <c r="AR209" s="12">
        <f t="shared" si="239"/>
        <v>0</v>
      </c>
      <c r="AS209" s="12">
        <f t="shared" si="240"/>
        <v>0</v>
      </c>
      <c r="AT209" s="13">
        <f t="shared" si="241"/>
        <v>1</v>
      </c>
      <c r="AU209" s="12">
        <f t="shared" si="242"/>
        <v>1</v>
      </c>
      <c r="AV209" s="10">
        <v>0</v>
      </c>
      <c r="AW209" s="10">
        <v>0</v>
      </c>
      <c r="AX209" s="12">
        <f t="shared" si="243"/>
        <v>0</v>
      </c>
      <c r="AY209" s="12">
        <f t="shared" si="244"/>
        <v>0</v>
      </c>
      <c r="AZ209" s="32">
        <f t="shared" si="245"/>
        <v>1</v>
      </c>
      <c r="BA209" s="12">
        <f t="shared" si="246"/>
        <v>1</v>
      </c>
      <c r="BB209" s="10">
        <v>0</v>
      </c>
      <c r="BC209" s="10">
        <v>0</v>
      </c>
      <c r="BD209" s="12">
        <f t="shared" si="247"/>
        <v>0</v>
      </c>
      <c r="BE209" s="12">
        <f t="shared" si="248"/>
        <v>0</v>
      </c>
      <c r="BF209" s="48">
        <v>1</v>
      </c>
      <c r="BG209" s="12">
        <f t="shared" si="228"/>
        <v>1</v>
      </c>
      <c r="BH209" s="10">
        <v>0</v>
      </c>
      <c r="BI209" s="10">
        <v>0</v>
      </c>
      <c r="BJ209" s="33">
        <f t="shared" si="250"/>
        <v>0</v>
      </c>
      <c r="BK209" s="33">
        <f t="shared" si="251"/>
        <v>0</v>
      </c>
      <c r="BL209" s="48">
        <v>1</v>
      </c>
      <c r="BM209" s="12">
        <f t="shared" si="229"/>
        <v>1</v>
      </c>
      <c r="BN209" s="10">
        <v>0</v>
      </c>
      <c r="BO209" s="10">
        <v>0</v>
      </c>
      <c r="BP209" s="33">
        <f t="shared" si="252"/>
        <v>0</v>
      </c>
      <c r="BQ209" s="33">
        <f t="shared" si="253"/>
        <v>0</v>
      </c>
      <c r="BR209" s="48">
        <v>1</v>
      </c>
      <c r="BS209" s="12">
        <f t="shared" si="230"/>
        <v>1</v>
      </c>
      <c r="BT209" s="10">
        <v>0</v>
      </c>
      <c r="BU209" s="10">
        <v>0</v>
      </c>
      <c r="BV209" s="33">
        <f t="shared" si="254"/>
        <v>0</v>
      </c>
      <c r="BW209" s="33">
        <f t="shared" si="255"/>
        <v>0</v>
      </c>
      <c r="BX209" s="48">
        <v>1</v>
      </c>
      <c r="BY209" s="12">
        <f t="shared" si="231"/>
        <v>1</v>
      </c>
      <c r="BZ209" s="10">
        <v>0</v>
      </c>
      <c r="CA209" s="10">
        <v>0</v>
      </c>
      <c r="CB209" s="33">
        <f t="shared" si="256"/>
        <v>0</v>
      </c>
      <c r="CC209" s="33">
        <f t="shared" si="257"/>
        <v>0</v>
      </c>
      <c r="CD209" s="48">
        <v>1</v>
      </c>
      <c r="CE209" s="12">
        <f t="shared" si="232"/>
        <v>1</v>
      </c>
    </row>
    <row r="210" spans="1:84" ht="80.25" customHeight="1">
      <c r="A210" s="148" t="s">
        <v>671</v>
      </c>
      <c r="B210" s="155" t="s">
        <v>672</v>
      </c>
      <c r="C210" s="173" t="s">
        <v>673</v>
      </c>
      <c r="D210" s="156">
        <v>2009</v>
      </c>
      <c r="E210" s="154"/>
      <c r="F210" s="154"/>
      <c r="G210" s="154"/>
      <c r="H210" s="165">
        <v>1</v>
      </c>
      <c r="I210" s="159">
        <v>1</v>
      </c>
      <c r="J210" s="56">
        <v>0</v>
      </c>
      <c r="K210" s="33">
        <f t="shared" si="219"/>
        <v>0</v>
      </c>
      <c r="L210" s="10">
        <v>0</v>
      </c>
      <c r="M210" s="10">
        <v>0</v>
      </c>
      <c r="N210" s="33">
        <f t="shared" si="220"/>
        <v>0</v>
      </c>
      <c r="O210" s="33">
        <f t="shared" si="221"/>
        <v>0</v>
      </c>
      <c r="P210" s="56">
        <v>0</v>
      </c>
      <c r="Q210" s="33">
        <f t="shared" si="222"/>
        <v>0</v>
      </c>
      <c r="R210" s="56">
        <v>0</v>
      </c>
      <c r="S210" s="56">
        <v>0</v>
      </c>
      <c r="T210" s="33">
        <f t="shared" si="223"/>
        <v>0</v>
      </c>
      <c r="U210" s="33">
        <f t="shared" si="224"/>
        <v>0</v>
      </c>
      <c r="V210" s="56">
        <v>0</v>
      </c>
      <c r="W210" s="33">
        <f t="shared" si="225"/>
        <v>0</v>
      </c>
      <c r="X210" s="56">
        <v>0</v>
      </c>
      <c r="Y210" s="56">
        <v>0</v>
      </c>
      <c r="Z210" s="33">
        <f t="shared" si="226"/>
        <v>0</v>
      </c>
      <c r="AA210" s="33">
        <f t="shared" si="227"/>
        <v>0</v>
      </c>
      <c r="AB210" s="146">
        <v>1</v>
      </c>
      <c r="AC210" s="117">
        <f t="shared" si="233"/>
        <v>1</v>
      </c>
      <c r="AD210" s="10">
        <v>0</v>
      </c>
      <c r="AE210" s="10">
        <v>0</v>
      </c>
      <c r="AF210" s="117">
        <f t="shared" si="234"/>
        <v>0</v>
      </c>
      <c r="AG210" s="118">
        <f t="shared" si="235"/>
        <v>0</v>
      </c>
      <c r="AH210" s="80">
        <f t="shared" si="236"/>
        <v>1</v>
      </c>
      <c r="AI210" s="127">
        <f t="shared" si="249"/>
        <v>1</v>
      </c>
      <c r="AJ210" s="111">
        <v>0</v>
      </c>
      <c r="AK210" s="111">
        <v>0</v>
      </c>
      <c r="AL210" s="112">
        <f t="shared" ca="1" si="208"/>
        <v>0</v>
      </c>
      <c r="AM210" s="112">
        <f t="shared" si="209"/>
        <v>0</v>
      </c>
      <c r="AN210" s="80">
        <f t="shared" si="237"/>
        <v>1</v>
      </c>
      <c r="AO210" s="12">
        <f t="shared" si="238"/>
        <v>1</v>
      </c>
      <c r="AP210" s="10">
        <v>0</v>
      </c>
      <c r="AQ210" s="10">
        <v>0</v>
      </c>
      <c r="AR210" s="12">
        <f t="shared" si="239"/>
        <v>0</v>
      </c>
      <c r="AS210" s="12">
        <f t="shared" si="240"/>
        <v>0</v>
      </c>
      <c r="AT210" s="13">
        <f t="shared" si="241"/>
        <v>1</v>
      </c>
      <c r="AU210" s="12">
        <f t="shared" si="242"/>
        <v>1</v>
      </c>
      <c r="AV210" s="10">
        <v>0</v>
      </c>
      <c r="AW210" s="10">
        <v>0</v>
      </c>
      <c r="AX210" s="12">
        <f t="shared" si="243"/>
        <v>0</v>
      </c>
      <c r="AY210" s="12">
        <f t="shared" si="244"/>
        <v>0</v>
      </c>
      <c r="AZ210" s="32">
        <f t="shared" si="245"/>
        <v>1</v>
      </c>
      <c r="BA210" s="12">
        <f t="shared" si="246"/>
        <v>1</v>
      </c>
      <c r="BB210" s="10">
        <v>0</v>
      </c>
      <c r="BC210" s="10">
        <v>0</v>
      </c>
      <c r="BD210" s="12">
        <f t="shared" si="247"/>
        <v>0</v>
      </c>
      <c r="BE210" s="12">
        <f t="shared" si="248"/>
        <v>0</v>
      </c>
      <c r="BF210" s="48">
        <v>1</v>
      </c>
      <c r="BG210" s="12">
        <f t="shared" si="228"/>
        <v>1</v>
      </c>
      <c r="BH210" s="10">
        <v>0</v>
      </c>
      <c r="BI210" s="10">
        <v>0</v>
      </c>
      <c r="BJ210" s="33">
        <f t="shared" si="250"/>
        <v>0</v>
      </c>
      <c r="BK210" s="33">
        <f t="shared" si="251"/>
        <v>0</v>
      </c>
      <c r="BL210" s="48">
        <v>1</v>
      </c>
      <c r="BM210" s="12">
        <f t="shared" si="229"/>
        <v>1</v>
      </c>
      <c r="BN210" s="10">
        <v>0</v>
      </c>
      <c r="BO210" s="10">
        <v>0</v>
      </c>
      <c r="BP210" s="33">
        <f t="shared" si="252"/>
        <v>0</v>
      </c>
      <c r="BQ210" s="33">
        <f t="shared" si="253"/>
        <v>0</v>
      </c>
      <c r="BR210" s="48">
        <v>1</v>
      </c>
      <c r="BS210" s="12">
        <f t="shared" si="230"/>
        <v>1</v>
      </c>
      <c r="BT210" s="10">
        <v>0</v>
      </c>
      <c r="BU210" s="10">
        <v>0</v>
      </c>
      <c r="BV210" s="33">
        <f t="shared" si="254"/>
        <v>0</v>
      </c>
      <c r="BW210" s="33">
        <f t="shared" si="255"/>
        <v>0</v>
      </c>
      <c r="BX210" s="48">
        <v>1</v>
      </c>
      <c r="BY210" s="12">
        <f t="shared" si="231"/>
        <v>1</v>
      </c>
      <c r="BZ210" s="10">
        <v>0</v>
      </c>
      <c r="CA210" s="10">
        <v>0</v>
      </c>
      <c r="CB210" s="33">
        <f t="shared" si="256"/>
        <v>0</v>
      </c>
      <c r="CC210" s="33">
        <f t="shared" si="257"/>
        <v>0</v>
      </c>
      <c r="CD210" s="48">
        <v>1</v>
      </c>
      <c r="CE210" s="12">
        <f t="shared" si="232"/>
        <v>1</v>
      </c>
    </row>
    <row r="211" spans="1:84" ht="80.25" customHeight="1">
      <c r="A211" s="148" t="s">
        <v>674</v>
      </c>
      <c r="B211" s="155" t="s">
        <v>675</v>
      </c>
      <c r="C211" s="173" t="s">
        <v>676</v>
      </c>
      <c r="D211" s="156">
        <v>2010</v>
      </c>
      <c r="E211" s="154"/>
      <c r="F211" s="154"/>
      <c r="G211" s="154"/>
      <c r="H211" s="165">
        <v>10</v>
      </c>
      <c r="I211" s="159">
        <v>1</v>
      </c>
      <c r="J211" s="56">
        <v>0</v>
      </c>
      <c r="K211" s="33">
        <f t="shared" si="219"/>
        <v>0</v>
      </c>
      <c r="L211" s="10">
        <v>0</v>
      </c>
      <c r="M211" s="10">
        <v>0</v>
      </c>
      <c r="N211" s="33">
        <f t="shared" si="220"/>
        <v>0</v>
      </c>
      <c r="O211" s="33">
        <f t="shared" si="221"/>
        <v>0</v>
      </c>
      <c r="P211" s="56">
        <v>0</v>
      </c>
      <c r="Q211" s="33">
        <f t="shared" si="222"/>
        <v>0</v>
      </c>
      <c r="R211" s="56">
        <v>0</v>
      </c>
      <c r="S211" s="56">
        <v>0</v>
      </c>
      <c r="T211" s="33">
        <f t="shared" si="223"/>
        <v>0</v>
      </c>
      <c r="U211" s="33">
        <f t="shared" si="224"/>
        <v>0</v>
      </c>
      <c r="V211" s="56">
        <v>0</v>
      </c>
      <c r="W211" s="33">
        <f t="shared" si="225"/>
        <v>0</v>
      </c>
      <c r="X211" s="56">
        <v>0</v>
      </c>
      <c r="Y211" s="56">
        <v>0</v>
      </c>
      <c r="Z211" s="33">
        <f t="shared" si="226"/>
        <v>0</v>
      </c>
      <c r="AA211" s="33">
        <f t="shared" si="227"/>
        <v>0</v>
      </c>
      <c r="AB211" s="146">
        <v>10</v>
      </c>
      <c r="AC211" s="117">
        <f t="shared" si="233"/>
        <v>10</v>
      </c>
      <c r="AD211" s="10">
        <v>0</v>
      </c>
      <c r="AE211" s="10">
        <v>0</v>
      </c>
      <c r="AF211" s="117">
        <f t="shared" si="234"/>
        <v>0</v>
      </c>
      <c r="AG211" s="118">
        <f t="shared" si="235"/>
        <v>0</v>
      </c>
      <c r="AH211" s="80">
        <f t="shared" si="236"/>
        <v>10</v>
      </c>
      <c r="AI211" s="127">
        <f t="shared" si="249"/>
        <v>10</v>
      </c>
      <c r="AJ211" s="111">
        <v>0</v>
      </c>
      <c r="AK211" s="111">
        <v>0</v>
      </c>
      <c r="AL211" s="112">
        <f t="shared" ca="1" si="208"/>
        <v>0</v>
      </c>
      <c r="AM211" s="112">
        <f t="shared" si="209"/>
        <v>0</v>
      </c>
      <c r="AN211" s="80">
        <f t="shared" si="237"/>
        <v>10</v>
      </c>
      <c r="AO211" s="12">
        <f t="shared" si="238"/>
        <v>10</v>
      </c>
      <c r="AP211" s="10">
        <v>0</v>
      </c>
      <c r="AQ211" s="10">
        <v>0</v>
      </c>
      <c r="AR211" s="12">
        <f t="shared" si="239"/>
        <v>0</v>
      </c>
      <c r="AS211" s="12">
        <f t="shared" si="240"/>
        <v>0</v>
      </c>
      <c r="AT211" s="13">
        <f t="shared" si="241"/>
        <v>10</v>
      </c>
      <c r="AU211" s="12">
        <f t="shared" si="242"/>
        <v>10</v>
      </c>
      <c r="AV211" s="10">
        <v>0</v>
      </c>
      <c r="AW211" s="10">
        <v>0</v>
      </c>
      <c r="AX211" s="12">
        <f t="shared" si="243"/>
        <v>0</v>
      </c>
      <c r="AY211" s="12">
        <f t="shared" si="244"/>
        <v>0</v>
      </c>
      <c r="AZ211" s="32">
        <f t="shared" si="245"/>
        <v>10</v>
      </c>
      <c r="BA211" s="12">
        <f t="shared" si="246"/>
        <v>10</v>
      </c>
      <c r="BB211" s="10">
        <v>0</v>
      </c>
      <c r="BC211" s="10">
        <v>0</v>
      </c>
      <c r="BD211" s="12">
        <f t="shared" si="247"/>
        <v>0</v>
      </c>
      <c r="BE211" s="12">
        <f t="shared" si="248"/>
        <v>0</v>
      </c>
      <c r="BF211" s="48">
        <v>10</v>
      </c>
      <c r="BG211" s="12">
        <f t="shared" si="228"/>
        <v>10</v>
      </c>
      <c r="BH211" s="10">
        <v>0</v>
      </c>
      <c r="BI211" s="10">
        <v>0</v>
      </c>
      <c r="BJ211" s="33">
        <f t="shared" si="250"/>
        <v>0</v>
      </c>
      <c r="BK211" s="33">
        <f t="shared" si="251"/>
        <v>0</v>
      </c>
      <c r="BL211" s="48">
        <v>10</v>
      </c>
      <c r="BM211" s="12">
        <f t="shared" si="229"/>
        <v>10</v>
      </c>
      <c r="BN211" s="10">
        <v>0</v>
      </c>
      <c r="BO211" s="10">
        <v>0</v>
      </c>
      <c r="BP211" s="33">
        <f t="shared" si="252"/>
        <v>0</v>
      </c>
      <c r="BQ211" s="33">
        <f t="shared" si="253"/>
        <v>0</v>
      </c>
      <c r="BR211" s="48">
        <v>10</v>
      </c>
      <c r="BS211" s="12">
        <f t="shared" si="230"/>
        <v>10</v>
      </c>
      <c r="BT211" s="10">
        <v>0</v>
      </c>
      <c r="BU211" s="10">
        <v>0</v>
      </c>
      <c r="BV211" s="33">
        <f t="shared" si="254"/>
        <v>0</v>
      </c>
      <c r="BW211" s="33">
        <f t="shared" si="255"/>
        <v>0</v>
      </c>
      <c r="BX211" s="48">
        <v>10</v>
      </c>
      <c r="BY211" s="12">
        <f t="shared" si="231"/>
        <v>10</v>
      </c>
      <c r="BZ211" s="10">
        <v>0</v>
      </c>
      <c r="CA211" s="10">
        <v>0</v>
      </c>
      <c r="CB211" s="33">
        <f t="shared" si="256"/>
        <v>0</v>
      </c>
      <c r="CC211" s="33">
        <f t="shared" si="257"/>
        <v>0</v>
      </c>
      <c r="CD211" s="48">
        <v>10</v>
      </c>
      <c r="CE211" s="12">
        <f t="shared" si="232"/>
        <v>10</v>
      </c>
    </row>
    <row r="212" spans="1:84" ht="80.25" customHeight="1">
      <c r="A212" s="148" t="s">
        <v>677</v>
      </c>
      <c r="B212" s="155" t="s">
        <v>678</v>
      </c>
      <c r="C212" s="174" t="s">
        <v>679</v>
      </c>
      <c r="D212" s="157">
        <v>2012</v>
      </c>
      <c r="E212" s="154"/>
      <c r="F212" s="154"/>
      <c r="G212" s="154"/>
      <c r="H212" s="165">
        <v>9</v>
      </c>
      <c r="I212" s="159">
        <v>1</v>
      </c>
      <c r="J212" s="56">
        <v>0</v>
      </c>
      <c r="K212" s="33">
        <f t="shared" si="219"/>
        <v>0</v>
      </c>
      <c r="L212" s="10">
        <v>0</v>
      </c>
      <c r="M212" s="10">
        <v>0</v>
      </c>
      <c r="N212" s="33">
        <f t="shared" si="220"/>
        <v>0</v>
      </c>
      <c r="O212" s="33">
        <f t="shared" si="221"/>
        <v>0</v>
      </c>
      <c r="P212" s="56">
        <v>0</v>
      </c>
      <c r="Q212" s="33">
        <f t="shared" si="222"/>
        <v>0</v>
      </c>
      <c r="R212" s="56">
        <v>0</v>
      </c>
      <c r="S212" s="56">
        <v>0</v>
      </c>
      <c r="T212" s="33">
        <f t="shared" si="223"/>
        <v>0</v>
      </c>
      <c r="U212" s="33">
        <f t="shared" si="224"/>
        <v>0</v>
      </c>
      <c r="V212" s="56">
        <v>0</v>
      </c>
      <c r="W212" s="33">
        <f t="shared" si="225"/>
        <v>0</v>
      </c>
      <c r="X212" s="56">
        <v>0</v>
      </c>
      <c r="Y212" s="56">
        <v>0</v>
      </c>
      <c r="Z212" s="33">
        <f t="shared" si="226"/>
        <v>0</v>
      </c>
      <c r="AA212" s="33">
        <f t="shared" si="227"/>
        <v>0</v>
      </c>
      <c r="AB212" s="146">
        <v>9</v>
      </c>
      <c r="AC212" s="117">
        <f t="shared" si="233"/>
        <v>9</v>
      </c>
      <c r="AD212" s="10">
        <v>0</v>
      </c>
      <c r="AE212" s="10">
        <v>0</v>
      </c>
      <c r="AF212" s="117">
        <f t="shared" si="234"/>
        <v>0</v>
      </c>
      <c r="AG212" s="118">
        <f t="shared" si="235"/>
        <v>0</v>
      </c>
      <c r="AH212" s="80">
        <f t="shared" si="236"/>
        <v>9</v>
      </c>
      <c r="AI212" s="127">
        <f t="shared" si="249"/>
        <v>9</v>
      </c>
      <c r="AJ212" s="111">
        <v>0</v>
      </c>
      <c r="AK212" s="111">
        <v>0</v>
      </c>
      <c r="AL212" s="112">
        <f t="shared" ca="1" si="208"/>
        <v>0</v>
      </c>
      <c r="AM212" s="112">
        <f t="shared" si="209"/>
        <v>0</v>
      </c>
      <c r="AN212" s="80">
        <f t="shared" si="237"/>
        <v>9</v>
      </c>
      <c r="AO212" s="12">
        <f t="shared" si="238"/>
        <v>9</v>
      </c>
      <c r="AP212" s="10">
        <v>0</v>
      </c>
      <c r="AQ212" s="10">
        <v>0</v>
      </c>
      <c r="AR212" s="12">
        <f t="shared" si="239"/>
        <v>0</v>
      </c>
      <c r="AS212" s="12">
        <f t="shared" si="240"/>
        <v>0</v>
      </c>
      <c r="AT212" s="13">
        <f t="shared" si="241"/>
        <v>9</v>
      </c>
      <c r="AU212" s="12">
        <f t="shared" si="242"/>
        <v>9</v>
      </c>
      <c r="AV212" s="10">
        <v>0</v>
      </c>
      <c r="AW212" s="10">
        <v>0</v>
      </c>
      <c r="AX212" s="12">
        <f t="shared" si="243"/>
        <v>0</v>
      </c>
      <c r="AY212" s="12">
        <f t="shared" si="244"/>
        <v>0</v>
      </c>
      <c r="AZ212" s="32">
        <f t="shared" si="245"/>
        <v>9</v>
      </c>
      <c r="BA212" s="12">
        <f t="shared" si="246"/>
        <v>9</v>
      </c>
      <c r="BB212" s="10">
        <v>0</v>
      </c>
      <c r="BC212" s="10">
        <v>0</v>
      </c>
      <c r="BD212" s="12">
        <f t="shared" si="247"/>
        <v>0</v>
      </c>
      <c r="BE212" s="12">
        <f t="shared" si="248"/>
        <v>0</v>
      </c>
      <c r="BF212" s="48">
        <v>9</v>
      </c>
      <c r="BG212" s="12">
        <f t="shared" si="228"/>
        <v>9</v>
      </c>
      <c r="BH212" s="10">
        <v>0</v>
      </c>
      <c r="BI212" s="10">
        <v>0</v>
      </c>
      <c r="BJ212" s="33">
        <f t="shared" si="250"/>
        <v>0</v>
      </c>
      <c r="BK212" s="33">
        <f t="shared" si="251"/>
        <v>0</v>
      </c>
      <c r="BL212" s="48">
        <v>9</v>
      </c>
      <c r="BM212" s="12">
        <f t="shared" si="229"/>
        <v>9</v>
      </c>
      <c r="BN212" s="10">
        <v>0</v>
      </c>
      <c r="BO212" s="10">
        <v>0</v>
      </c>
      <c r="BP212" s="33">
        <f t="shared" si="252"/>
        <v>0</v>
      </c>
      <c r="BQ212" s="33">
        <f t="shared" si="253"/>
        <v>0</v>
      </c>
      <c r="BR212" s="48">
        <v>9</v>
      </c>
      <c r="BS212" s="12">
        <f t="shared" si="230"/>
        <v>9</v>
      </c>
      <c r="BT212" s="10">
        <v>0</v>
      </c>
      <c r="BU212" s="10">
        <v>0</v>
      </c>
      <c r="BV212" s="33">
        <f t="shared" si="254"/>
        <v>0</v>
      </c>
      <c r="BW212" s="33">
        <f t="shared" si="255"/>
        <v>0</v>
      </c>
      <c r="BX212" s="48">
        <v>9</v>
      </c>
      <c r="BY212" s="12">
        <f t="shared" si="231"/>
        <v>9</v>
      </c>
      <c r="BZ212" s="10">
        <v>0</v>
      </c>
      <c r="CA212" s="10">
        <v>0</v>
      </c>
      <c r="CB212" s="33">
        <f t="shared" si="256"/>
        <v>0</v>
      </c>
      <c r="CC212" s="33">
        <f t="shared" si="257"/>
        <v>0</v>
      </c>
      <c r="CD212" s="48">
        <v>9</v>
      </c>
      <c r="CE212" s="12">
        <f t="shared" si="232"/>
        <v>9</v>
      </c>
    </row>
    <row r="213" spans="1:84" ht="80.25" customHeight="1">
      <c r="A213" s="148" t="s">
        <v>680</v>
      </c>
      <c r="B213" s="155" t="s">
        <v>681</v>
      </c>
      <c r="C213" s="173" t="s">
        <v>682</v>
      </c>
      <c r="D213" s="156">
        <v>2005</v>
      </c>
      <c r="E213" s="154"/>
      <c r="F213" s="154"/>
      <c r="G213" s="154"/>
      <c r="H213" s="165">
        <v>2</v>
      </c>
      <c r="I213" s="159">
        <v>1</v>
      </c>
      <c r="J213" s="56">
        <v>0</v>
      </c>
      <c r="K213" s="33">
        <f t="shared" si="219"/>
        <v>0</v>
      </c>
      <c r="L213" s="10">
        <v>0</v>
      </c>
      <c r="M213" s="10">
        <v>0</v>
      </c>
      <c r="N213" s="33">
        <f t="shared" si="220"/>
        <v>0</v>
      </c>
      <c r="O213" s="33">
        <f t="shared" si="221"/>
        <v>0</v>
      </c>
      <c r="P213" s="56">
        <v>0</v>
      </c>
      <c r="Q213" s="33">
        <f t="shared" si="222"/>
        <v>0</v>
      </c>
      <c r="R213" s="56">
        <v>0</v>
      </c>
      <c r="S213" s="56">
        <v>0</v>
      </c>
      <c r="T213" s="33">
        <f t="shared" si="223"/>
        <v>0</v>
      </c>
      <c r="U213" s="33">
        <f t="shared" si="224"/>
        <v>0</v>
      </c>
      <c r="V213" s="56">
        <v>0</v>
      </c>
      <c r="W213" s="33">
        <f t="shared" si="225"/>
        <v>0</v>
      </c>
      <c r="X213" s="56">
        <v>0</v>
      </c>
      <c r="Y213" s="56">
        <v>0</v>
      </c>
      <c r="Z213" s="33">
        <f t="shared" si="226"/>
        <v>0</v>
      </c>
      <c r="AA213" s="33">
        <f t="shared" si="227"/>
        <v>0</v>
      </c>
      <c r="AB213" s="146">
        <v>2</v>
      </c>
      <c r="AC213" s="117">
        <f t="shared" si="233"/>
        <v>2</v>
      </c>
      <c r="AD213" s="10">
        <v>0</v>
      </c>
      <c r="AE213" s="10">
        <v>0</v>
      </c>
      <c r="AF213" s="117">
        <f t="shared" si="234"/>
        <v>0</v>
      </c>
      <c r="AG213" s="118">
        <f t="shared" si="235"/>
        <v>0</v>
      </c>
      <c r="AH213" s="80">
        <f t="shared" si="236"/>
        <v>2</v>
      </c>
      <c r="AI213" s="127">
        <f t="shared" si="249"/>
        <v>2</v>
      </c>
      <c r="AJ213" s="111">
        <v>0</v>
      </c>
      <c r="AK213" s="111">
        <v>0</v>
      </c>
      <c r="AL213" s="112">
        <f t="shared" ca="1" si="208"/>
        <v>0</v>
      </c>
      <c r="AM213" s="112">
        <f t="shared" si="209"/>
        <v>0</v>
      </c>
      <c r="AN213" s="80">
        <f t="shared" si="237"/>
        <v>2</v>
      </c>
      <c r="AO213" s="12">
        <f t="shared" si="238"/>
        <v>2</v>
      </c>
      <c r="AP213" s="10">
        <v>0</v>
      </c>
      <c r="AQ213" s="10">
        <v>0</v>
      </c>
      <c r="AR213" s="12">
        <f t="shared" si="239"/>
        <v>0</v>
      </c>
      <c r="AS213" s="12">
        <f t="shared" si="240"/>
        <v>0</v>
      </c>
      <c r="AT213" s="13">
        <f t="shared" si="241"/>
        <v>2</v>
      </c>
      <c r="AU213" s="12">
        <f t="shared" si="242"/>
        <v>2</v>
      </c>
      <c r="AV213" s="10">
        <v>0</v>
      </c>
      <c r="AW213" s="10">
        <v>0</v>
      </c>
      <c r="AX213" s="12">
        <f t="shared" si="243"/>
        <v>0</v>
      </c>
      <c r="AY213" s="12">
        <f t="shared" si="244"/>
        <v>0</v>
      </c>
      <c r="AZ213" s="32">
        <f t="shared" si="245"/>
        <v>2</v>
      </c>
      <c r="BA213" s="12">
        <f t="shared" si="246"/>
        <v>2</v>
      </c>
      <c r="BB213" s="10">
        <v>0</v>
      </c>
      <c r="BC213" s="10">
        <v>0</v>
      </c>
      <c r="BD213" s="12">
        <f t="shared" si="247"/>
        <v>0</v>
      </c>
      <c r="BE213" s="12">
        <f t="shared" si="248"/>
        <v>0</v>
      </c>
      <c r="BF213" s="48">
        <v>2</v>
      </c>
      <c r="BG213" s="12">
        <f t="shared" si="228"/>
        <v>2</v>
      </c>
      <c r="BH213" s="10">
        <v>0</v>
      </c>
      <c r="BI213" s="10">
        <v>0</v>
      </c>
      <c r="BJ213" s="33">
        <f t="shared" si="250"/>
        <v>0</v>
      </c>
      <c r="BK213" s="33">
        <f t="shared" si="251"/>
        <v>0</v>
      </c>
      <c r="BL213" s="48">
        <v>2</v>
      </c>
      <c r="BM213" s="12">
        <f t="shared" si="229"/>
        <v>2</v>
      </c>
      <c r="BN213" s="10">
        <v>0</v>
      </c>
      <c r="BO213" s="10">
        <v>0</v>
      </c>
      <c r="BP213" s="33">
        <f t="shared" si="252"/>
        <v>0</v>
      </c>
      <c r="BQ213" s="33">
        <f t="shared" si="253"/>
        <v>0</v>
      </c>
      <c r="BR213" s="48">
        <v>2</v>
      </c>
      <c r="BS213" s="12">
        <f t="shared" si="230"/>
        <v>2</v>
      </c>
      <c r="BT213" s="10">
        <v>0</v>
      </c>
      <c r="BU213" s="10">
        <v>0</v>
      </c>
      <c r="BV213" s="33">
        <f t="shared" si="254"/>
        <v>0</v>
      </c>
      <c r="BW213" s="33">
        <f t="shared" si="255"/>
        <v>0</v>
      </c>
      <c r="BX213" s="48">
        <v>2</v>
      </c>
      <c r="BY213" s="12">
        <f t="shared" si="231"/>
        <v>2</v>
      </c>
      <c r="BZ213" s="10">
        <v>0</v>
      </c>
      <c r="CA213" s="10">
        <v>0</v>
      </c>
      <c r="CB213" s="33">
        <f t="shared" si="256"/>
        <v>0</v>
      </c>
      <c r="CC213" s="33">
        <f t="shared" si="257"/>
        <v>0</v>
      </c>
      <c r="CD213" s="48">
        <v>2</v>
      </c>
      <c r="CE213" s="12">
        <f t="shared" si="232"/>
        <v>2</v>
      </c>
    </row>
    <row r="214" spans="1:84" ht="80.25" customHeight="1">
      <c r="A214" s="148" t="s">
        <v>683</v>
      </c>
      <c r="B214" s="155" t="s">
        <v>684</v>
      </c>
      <c r="C214" s="173" t="s">
        <v>685</v>
      </c>
      <c r="D214" s="156">
        <v>2006</v>
      </c>
      <c r="E214" s="154"/>
      <c r="F214" s="154"/>
      <c r="G214" s="154"/>
      <c r="H214" s="165">
        <v>10</v>
      </c>
      <c r="I214" s="159">
        <v>1</v>
      </c>
      <c r="J214" s="56">
        <v>0</v>
      </c>
      <c r="K214" s="33">
        <f t="shared" si="219"/>
        <v>0</v>
      </c>
      <c r="L214" s="10">
        <v>0</v>
      </c>
      <c r="M214" s="10">
        <v>0</v>
      </c>
      <c r="N214" s="33">
        <f t="shared" si="220"/>
        <v>0</v>
      </c>
      <c r="O214" s="33">
        <f t="shared" si="221"/>
        <v>0</v>
      </c>
      <c r="P214" s="56">
        <v>0</v>
      </c>
      <c r="Q214" s="33">
        <f t="shared" si="222"/>
        <v>0</v>
      </c>
      <c r="R214" s="56">
        <v>0</v>
      </c>
      <c r="S214" s="56">
        <v>0</v>
      </c>
      <c r="T214" s="33">
        <f t="shared" si="223"/>
        <v>0</v>
      </c>
      <c r="U214" s="33">
        <f t="shared" si="224"/>
        <v>0</v>
      </c>
      <c r="V214" s="56">
        <v>0</v>
      </c>
      <c r="W214" s="33">
        <f t="shared" si="225"/>
        <v>0</v>
      </c>
      <c r="X214" s="56">
        <v>0</v>
      </c>
      <c r="Y214" s="56">
        <v>0</v>
      </c>
      <c r="Z214" s="33">
        <f t="shared" si="226"/>
        <v>0</v>
      </c>
      <c r="AA214" s="33">
        <f t="shared" si="227"/>
        <v>0</v>
      </c>
      <c r="AB214" s="146">
        <v>10</v>
      </c>
      <c r="AC214" s="117">
        <f t="shared" si="233"/>
        <v>10</v>
      </c>
      <c r="AD214" s="10">
        <v>0</v>
      </c>
      <c r="AE214" s="10">
        <v>0</v>
      </c>
      <c r="AF214" s="117">
        <f t="shared" si="234"/>
        <v>0</v>
      </c>
      <c r="AG214" s="118">
        <f t="shared" si="235"/>
        <v>0</v>
      </c>
      <c r="AH214" s="80">
        <f t="shared" si="236"/>
        <v>10</v>
      </c>
      <c r="AI214" s="127">
        <f t="shared" si="249"/>
        <v>10</v>
      </c>
      <c r="AJ214" s="111">
        <v>0</v>
      </c>
      <c r="AK214" s="111">
        <v>0</v>
      </c>
      <c r="AL214" s="112">
        <f t="shared" ca="1" si="208"/>
        <v>0</v>
      </c>
      <c r="AM214" s="112">
        <f t="shared" si="209"/>
        <v>0</v>
      </c>
      <c r="AN214" s="80">
        <f t="shared" si="237"/>
        <v>10</v>
      </c>
      <c r="AO214" s="12">
        <f t="shared" si="238"/>
        <v>10</v>
      </c>
      <c r="AP214" s="10">
        <v>0</v>
      </c>
      <c r="AQ214" s="10">
        <v>0</v>
      </c>
      <c r="AR214" s="12">
        <f t="shared" si="239"/>
        <v>0</v>
      </c>
      <c r="AS214" s="12">
        <f t="shared" si="240"/>
        <v>0</v>
      </c>
      <c r="AT214" s="13">
        <f t="shared" si="241"/>
        <v>10</v>
      </c>
      <c r="AU214" s="12">
        <f t="shared" si="242"/>
        <v>10</v>
      </c>
      <c r="AV214" s="10">
        <v>0</v>
      </c>
      <c r="AW214" s="10">
        <v>0</v>
      </c>
      <c r="AX214" s="12">
        <f t="shared" si="243"/>
        <v>0</v>
      </c>
      <c r="AY214" s="12">
        <f t="shared" si="244"/>
        <v>0</v>
      </c>
      <c r="AZ214" s="32">
        <f t="shared" si="245"/>
        <v>10</v>
      </c>
      <c r="BA214" s="12">
        <f t="shared" si="246"/>
        <v>10</v>
      </c>
      <c r="BB214" s="10">
        <v>0</v>
      </c>
      <c r="BC214" s="10">
        <v>0</v>
      </c>
      <c r="BD214" s="12">
        <f t="shared" si="247"/>
        <v>0</v>
      </c>
      <c r="BE214" s="12">
        <f t="shared" si="248"/>
        <v>0</v>
      </c>
      <c r="BF214" s="48">
        <v>10</v>
      </c>
      <c r="BG214" s="12">
        <f t="shared" si="228"/>
        <v>10</v>
      </c>
      <c r="BH214" s="10">
        <v>0</v>
      </c>
      <c r="BI214" s="10">
        <v>0</v>
      </c>
      <c r="BJ214" s="33">
        <f t="shared" si="250"/>
        <v>0</v>
      </c>
      <c r="BK214" s="33">
        <f t="shared" si="251"/>
        <v>0</v>
      </c>
      <c r="BL214" s="48">
        <v>10</v>
      </c>
      <c r="BM214" s="12">
        <f t="shared" si="229"/>
        <v>10</v>
      </c>
      <c r="BN214" s="10">
        <v>0</v>
      </c>
      <c r="BO214" s="10">
        <v>0</v>
      </c>
      <c r="BP214" s="33">
        <f t="shared" si="252"/>
        <v>0</v>
      </c>
      <c r="BQ214" s="33">
        <f t="shared" si="253"/>
        <v>0</v>
      </c>
      <c r="BR214" s="48">
        <v>10</v>
      </c>
      <c r="BS214" s="12">
        <f t="shared" si="230"/>
        <v>10</v>
      </c>
      <c r="BT214" s="10">
        <v>0</v>
      </c>
      <c r="BU214" s="10">
        <v>0</v>
      </c>
      <c r="BV214" s="33">
        <f t="shared" si="254"/>
        <v>0</v>
      </c>
      <c r="BW214" s="33">
        <f t="shared" si="255"/>
        <v>0</v>
      </c>
      <c r="BX214" s="48">
        <v>10</v>
      </c>
      <c r="BY214" s="12">
        <f t="shared" si="231"/>
        <v>10</v>
      </c>
      <c r="BZ214" s="10">
        <v>0</v>
      </c>
      <c r="CA214" s="10">
        <v>0</v>
      </c>
      <c r="CB214" s="33">
        <f t="shared" si="256"/>
        <v>0</v>
      </c>
      <c r="CC214" s="33">
        <f t="shared" si="257"/>
        <v>0</v>
      </c>
      <c r="CD214" s="48">
        <v>10</v>
      </c>
      <c r="CE214" s="12">
        <f t="shared" si="232"/>
        <v>10</v>
      </c>
    </row>
    <row r="215" spans="1:84" ht="80.25" customHeight="1">
      <c r="A215" s="148" t="s">
        <v>686</v>
      </c>
      <c r="B215" s="155" t="s">
        <v>687</v>
      </c>
      <c r="C215" s="173" t="s">
        <v>688</v>
      </c>
      <c r="D215" s="156">
        <v>1997</v>
      </c>
      <c r="E215" s="154"/>
      <c r="F215" s="154"/>
      <c r="G215" s="154"/>
      <c r="H215" s="165">
        <v>2</v>
      </c>
      <c r="I215" s="159">
        <v>1</v>
      </c>
      <c r="J215" s="56">
        <v>0</v>
      </c>
      <c r="K215" s="33">
        <f t="shared" si="219"/>
        <v>0</v>
      </c>
      <c r="L215" s="10">
        <v>0</v>
      </c>
      <c r="M215" s="10">
        <v>0</v>
      </c>
      <c r="N215" s="33">
        <f t="shared" si="220"/>
        <v>0</v>
      </c>
      <c r="O215" s="33">
        <f t="shared" si="221"/>
        <v>0</v>
      </c>
      <c r="P215" s="56">
        <v>0</v>
      </c>
      <c r="Q215" s="33">
        <f t="shared" si="222"/>
        <v>0</v>
      </c>
      <c r="R215" s="56">
        <v>0</v>
      </c>
      <c r="S215" s="56">
        <v>0</v>
      </c>
      <c r="T215" s="33">
        <f t="shared" si="223"/>
        <v>0</v>
      </c>
      <c r="U215" s="33">
        <f t="shared" si="224"/>
        <v>0</v>
      </c>
      <c r="V215" s="56">
        <v>0</v>
      </c>
      <c r="W215" s="33">
        <f t="shared" si="225"/>
        <v>0</v>
      </c>
      <c r="X215" s="56">
        <v>0</v>
      </c>
      <c r="Y215" s="56">
        <v>0</v>
      </c>
      <c r="Z215" s="33">
        <f t="shared" si="226"/>
        <v>0</v>
      </c>
      <c r="AA215" s="33">
        <f t="shared" si="227"/>
        <v>0</v>
      </c>
      <c r="AB215" s="146">
        <v>2</v>
      </c>
      <c r="AC215" s="117">
        <f t="shared" si="233"/>
        <v>2</v>
      </c>
      <c r="AD215" s="10">
        <v>0</v>
      </c>
      <c r="AE215" s="10">
        <v>0</v>
      </c>
      <c r="AF215" s="117">
        <f t="shared" si="234"/>
        <v>0</v>
      </c>
      <c r="AG215" s="118">
        <f t="shared" si="235"/>
        <v>0</v>
      </c>
      <c r="AH215" s="80">
        <f t="shared" si="236"/>
        <v>2</v>
      </c>
      <c r="AI215" s="127">
        <f t="shared" si="249"/>
        <v>2</v>
      </c>
      <c r="AJ215" s="111">
        <v>0</v>
      </c>
      <c r="AK215" s="111">
        <v>0</v>
      </c>
      <c r="AL215" s="112">
        <f t="shared" ca="1" si="208"/>
        <v>0</v>
      </c>
      <c r="AM215" s="112">
        <f t="shared" si="209"/>
        <v>0</v>
      </c>
      <c r="AN215" s="80">
        <f t="shared" si="237"/>
        <v>2</v>
      </c>
      <c r="AO215" s="12">
        <f t="shared" si="238"/>
        <v>2</v>
      </c>
      <c r="AP215" s="10">
        <v>0</v>
      </c>
      <c r="AQ215" s="10">
        <v>0</v>
      </c>
      <c r="AR215" s="12">
        <f t="shared" si="239"/>
        <v>0</v>
      </c>
      <c r="AS215" s="12">
        <f t="shared" si="240"/>
        <v>0</v>
      </c>
      <c r="AT215" s="13">
        <f t="shared" si="241"/>
        <v>2</v>
      </c>
      <c r="AU215" s="12">
        <f t="shared" si="242"/>
        <v>2</v>
      </c>
      <c r="AV215" s="10">
        <v>0</v>
      </c>
      <c r="AW215" s="10">
        <v>0</v>
      </c>
      <c r="AX215" s="12">
        <f t="shared" si="243"/>
        <v>0</v>
      </c>
      <c r="AY215" s="12">
        <f t="shared" si="244"/>
        <v>0</v>
      </c>
      <c r="AZ215" s="32">
        <f t="shared" si="245"/>
        <v>2</v>
      </c>
      <c r="BA215" s="12">
        <f t="shared" si="246"/>
        <v>2</v>
      </c>
      <c r="BB215" s="10">
        <v>0</v>
      </c>
      <c r="BC215" s="10">
        <v>0</v>
      </c>
      <c r="BD215" s="12">
        <f t="shared" si="247"/>
        <v>0</v>
      </c>
      <c r="BE215" s="12">
        <f t="shared" si="248"/>
        <v>0</v>
      </c>
      <c r="BF215" s="48">
        <v>2</v>
      </c>
      <c r="BG215" s="12">
        <f t="shared" si="228"/>
        <v>2</v>
      </c>
      <c r="BH215" s="10">
        <v>0</v>
      </c>
      <c r="BI215" s="10">
        <v>0</v>
      </c>
      <c r="BJ215" s="33">
        <f t="shared" si="250"/>
        <v>0</v>
      </c>
      <c r="BK215" s="33">
        <f t="shared" si="251"/>
        <v>0</v>
      </c>
      <c r="BL215" s="48">
        <v>2</v>
      </c>
      <c r="BM215" s="12">
        <f t="shared" si="229"/>
        <v>2</v>
      </c>
      <c r="BN215" s="10">
        <v>0</v>
      </c>
      <c r="BO215" s="10">
        <v>0</v>
      </c>
      <c r="BP215" s="33">
        <f t="shared" si="252"/>
        <v>0</v>
      </c>
      <c r="BQ215" s="33">
        <f t="shared" si="253"/>
        <v>0</v>
      </c>
      <c r="BR215" s="48">
        <v>2</v>
      </c>
      <c r="BS215" s="12">
        <f t="shared" si="230"/>
        <v>2</v>
      </c>
      <c r="BT215" s="10">
        <v>0</v>
      </c>
      <c r="BU215" s="10">
        <v>0</v>
      </c>
      <c r="BV215" s="33">
        <f t="shared" si="254"/>
        <v>0</v>
      </c>
      <c r="BW215" s="33">
        <f t="shared" si="255"/>
        <v>0</v>
      </c>
      <c r="BX215" s="48">
        <v>2</v>
      </c>
      <c r="BY215" s="12">
        <f t="shared" si="231"/>
        <v>2</v>
      </c>
      <c r="BZ215" s="10">
        <v>0</v>
      </c>
      <c r="CA215" s="10">
        <v>0</v>
      </c>
      <c r="CB215" s="33">
        <f t="shared" si="256"/>
        <v>0</v>
      </c>
      <c r="CC215" s="33">
        <f t="shared" si="257"/>
        <v>0</v>
      </c>
      <c r="CD215" s="48">
        <v>2</v>
      </c>
      <c r="CE215" s="12">
        <f t="shared" si="232"/>
        <v>2</v>
      </c>
    </row>
    <row r="216" spans="1:84" ht="80.25" customHeight="1">
      <c r="A216" s="148" t="s">
        <v>689</v>
      </c>
      <c r="B216" s="155" t="s">
        <v>690</v>
      </c>
      <c r="C216" s="174" t="s">
        <v>691</v>
      </c>
      <c r="D216" s="157">
        <v>2009</v>
      </c>
      <c r="E216" s="154"/>
      <c r="F216" s="154"/>
      <c r="G216" s="154"/>
      <c r="H216" s="165">
        <v>7</v>
      </c>
      <c r="I216" s="159">
        <v>1</v>
      </c>
      <c r="J216" s="56">
        <v>0</v>
      </c>
      <c r="K216" s="33">
        <f t="shared" si="219"/>
        <v>0</v>
      </c>
      <c r="L216" s="10">
        <v>0</v>
      </c>
      <c r="M216" s="10">
        <v>0</v>
      </c>
      <c r="N216" s="33">
        <f t="shared" si="220"/>
        <v>0</v>
      </c>
      <c r="O216" s="33">
        <f t="shared" si="221"/>
        <v>0</v>
      </c>
      <c r="P216" s="56">
        <v>0</v>
      </c>
      <c r="Q216" s="33">
        <f t="shared" si="222"/>
        <v>0</v>
      </c>
      <c r="R216" s="56">
        <v>0</v>
      </c>
      <c r="S216" s="56">
        <v>0</v>
      </c>
      <c r="T216" s="33">
        <f t="shared" si="223"/>
        <v>0</v>
      </c>
      <c r="U216" s="33">
        <f t="shared" si="224"/>
        <v>0</v>
      </c>
      <c r="V216" s="56">
        <v>0</v>
      </c>
      <c r="W216" s="33">
        <f t="shared" si="225"/>
        <v>0</v>
      </c>
      <c r="X216" s="56">
        <v>0</v>
      </c>
      <c r="Y216" s="56">
        <v>0</v>
      </c>
      <c r="Z216" s="33">
        <f t="shared" si="226"/>
        <v>0</v>
      </c>
      <c r="AA216" s="33">
        <f t="shared" si="227"/>
        <v>0</v>
      </c>
      <c r="AB216" s="146">
        <v>7</v>
      </c>
      <c r="AC216" s="117">
        <f t="shared" si="233"/>
        <v>7</v>
      </c>
      <c r="AD216" s="10">
        <v>0</v>
      </c>
      <c r="AE216" s="10">
        <v>0</v>
      </c>
      <c r="AF216" s="117">
        <f t="shared" si="234"/>
        <v>0</v>
      </c>
      <c r="AG216" s="118">
        <f t="shared" si="235"/>
        <v>0</v>
      </c>
      <c r="AH216" s="80">
        <f t="shared" si="236"/>
        <v>7</v>
      </c>
      <c r="AI216" s="127">
        <f t="shared" si="249"/>
        <v>7</v>
      </c>
      <c r="AJ216" s="111">
        <v>0</v>
      </c>
      <c r="AK216" s="111">
        <v>0</v>
      </c>
      <c r="AL216" s="112">
        <f t="shared" ca="1" si="208"/>
        <v>0</v>
      </c>
      <c r="AM216" s="112">
        <f t="shared" si="209"/>
        <v>0</v>
      </c>
      <c r="AN216" s="80">
        <f t="shared" si="237"/>
        <v>7</v>
      </c>
      <c r="AO216" s="12">
        <f t="shared" si="238"/>
        <v>7</v>
      </c>
      <c r="AP216" s="10">
        <v>0</v>
      </c>
      <c r="AQ216" s="10">
        <v>0</v>
      </c>
      <c r="AR216" s="12">
        <f t="shared" si="239"/>
        <v>0</v>
      </c>
      <c r="AS216" s="12">
        <f t="shared" si="240"/>
        <v>0</v>
      </c>
      <c r="AT216" s="13">
        <f t="shared" si="241"/>
        <v>7</v>
      </c>
      <c r="AU216" s="12">
        <f t="shared" si="242"/>
        <v>7</v>
      </c>
      <c r="AV216" s="10">
        <v>0</v>
      </c>
      <c r="AW216" s="10">
        <v>0</v>
      </c>
      <c r="AX216" s="12">
        <f t="shared" si="243"/>
        <v>0</v>
      </c>
      <c r="AY216" s="12">
        <f t="shared" si="244"/>
        <v>0</v>
      </c>
      <c r="AZ216" s="32">
        <f t="shared" si="245"/>
        <v>7</v>
      </c>
      <c r="BA216" s="12">
        <f t="shared" si="246"/>
        <v>7</v>
      </c>
      <c r="BB216" s="10">
        <v>0</v>
      </c>
      <c r="BC216" s="10">
        <v>0</v>
      </c>
      <c r="BD216" s="12">
        <f t="shared" si="247"/>
        <v>0</v>
      </c>
      <c r="BE216" s="12">
        <f t="shared" si="248"/>
        <v>0</v>
      </c>
      <c r="BF216" s="48">
        <v>7</v>
      </c>
      <c r="BG216" s="12">
        <f t="shared" si="228"/>
        <v>7</v>
      </c>
      <c r="BH216" s="10">
        <v>0</v>
      </c>
      <c r="BI216" s="10">
        <v>0</v>
      </c>
      <c r="BJ216" s="33">
        <f t="shared" si="250"/>
        <v>0</v>
      </c>
      <c r="BK216" s="33">
        <f t="shared" si="251"/>
        <v>0</v>
      </c>
      <c r="BL216" s="48">
        <v>7</v>
      </c>
      <c r="BM216" s="12">
        <f t="shared" si="229"/>
        <v>7</v>
      </c>
      <c r="BN216" s="10">
        <v>0</v>
      </c>
      <c r="BO216" s="10">
        <v>0</v>
      </c>
      <c r="BP216" s="33">
        <f t="shared" si="252"/>
        <v>0</v>
      </c>
      <c r="BQ216" s="33">
        <f t="shared" si="253"/>
        <v>0</v>
      </c>
      <c r="BR216" s="48">
        <v>7</v>
      </c>
      <c r="BS216" s="12">
        <f t="shared" si="230"/>
        <v>7</v>
      </c>
      <c r="BT216" s="10">
        <v>0</v>
      </c>
      <c r="BU216" s="10">
        <v>0</v>
      </c>
      <c r="BV216" s="33">
        <f t="shared" si="254"/>
        <v>0</v>
      </c>
      <c r="BW216" s="33">
        <f t="shared" si="255"/>
        <v>0</v>
      </c>
      <c r="BX216" s="48">
        <v>7</v>
      </c>
      <c r="BY216" s="12">
        <f t="shared" si="231"/>
        <v>7</v>
      </c>
      <c r="BZ216" s="10">
        <v>0</v>
      </c>
      <c r="CA216" s="10">
        <v>0</v>
      </c>
      <c r="CB216" s="33">
        <f t="shared" si="256"/>
        <v>0</v>
      </c>
      <c r="CC216" s="33">
        <f t="shared" si="257"/>
        <v>0</v>
      </c>
      <c r="CD216" s="48">
        <v>7</v>
      </c>
      <c r="CE216" s="12">
        <f t="shared" si="232"/>
        <v>7</v>
      </c>
    </row>
    <row r="217" spans="1:84" ht="80.25" customHeight="1">
      <c r="A217" s="148" t="s">
        <v>692</v>
      </c>
      <c r="B217" s="155" t="s">
        <v>693</v>
      </c>
      <c r="C217" s="174" t="s">
        <v>694</v>
      </c>
      <c r="D217" s="157">
        <v>2005</v>
      </c>
      <c r="E217" s="154"/>
      <c r="F217" s="154"/>
      <c r="G217" s="154"/>
      <c r="H217" s="165">
        <v>9</v>
      </c>
      <c r="I217" s="159">
        <v>1</v>
      </c>
      <c r="J217" s="56">
        <v>0</v>
      </c>
      <c r="K217" s="33">
        <f t="shared" si="219"/>
        <v>0</v>
      </c>
      <c r="L217" s="10">
        <v>0</v>
      </c>
      <c r="M217" s="10">
        <v>0</v>
      </c>
      <c r="N217" s="33">
        <f t="shared" si="220"/>
        <v>0</v>
      </c>
      <c r="O217" s="33">
        <f t="shared" si="221"/>
        <v>0</v>
      </c>
      <c r="P217" s="56">
        <v>0</v>
      </c>
      <c r="Q217" s="33">
        <f t="shared" si="222"/>
        <v>0</v>
      </c>
      <c r="R217" s="56">
        <v>0</v>
      </c>
      <c r="S217" s="56">
        <v>0</v>
      </c>
      <c r="T217" s="33">
        <f t="shared" si="223"/>
        <v>0</v>
      </c>
      <c r="U217" s="33">
        <f t="shared" si="224"/>
        <v>0</v>
      </c>
      <c r="V217" s="56">
        <v>0</v>
      </c>
      <c r="W217" s="33">
        <f t="shared" si="225"/>
        <v>0</v>
      </c>
      <c r="X217" s="56">
        <v>0</v>
      </c>
      <c r="Y217" s="56">
        <v>0</v>
      </c>
      <c r="Z217" s="33">
        <f t="shared" si="226"/>
        <v>0</v>
      </c>
      <c r="AA217" s="33">
        <f t="shared" si="227"/>
        <v>0</v>
      </c>
      <c r="AB217" s="146">
        <v>9</v>
      </c>
      <c r="AC217" s="117">
        <f t="shared" si="233"/>
        <v>9</v>
      </c>
      <c r="AD217" s="10">
        <v>0</v>
      </c>
      <c r="AE217" s="10">
        <v>0</v>
      </c>
      <c r="AF217" s="117">
        <f t="shared" si="234"/>
        <v>0</v>
      </c>
      <c r="AG217" s="118">
        <f t="shared" si="235"/>
        <v>0</v>
      </c>
      <c r="AH217" s="80">
        <f t="shared" si="236"/>
        <v>9</v>
      </c>
      <c r="AI217" s="127">
        <f t="shared" si="249"/>
        <v>9</v>
      </c>
      <c r="AJ217" s="111">
        <v>0</v>
      </c>
      <c r="AK217" s="111">
        <v>0</v>
      </c>
      <c r="AL217" s="112">
        <f t="shared" ca="1" si="208"/>
        <v>0</v>
      </c>
      <c r="AM217" s="112">
        <f t="shared" si="209"/>
        <v>0</v>
      </c>
      <c r="AN217" s="80">
        <f t="shared" si="237"/>
        <v>9</v>
      </c>
      <c r="AO217" s="12">
        <f t="shared" si="238"/>
        <v>9</v>
      </c>
      <c r="AP217" s="10">
        <v>0</v>
      </c>
      <c r="AQ217" s="10">
        <v>0</v>
      </c>
      <c r="AR217" s="12">
        <f t="shared" si="239"/>
        <v>0</v>
      </c>
      <c r="AS217" s="12">
        <f t="shared" si="240"/>
        <v>0</v>
      </c>
      <c r="AT217" s="13">
        <f t="shared" si="241"/>
        <v>9</v>
      </c>
      <c r="AU217" s="12">
        <f t="shared" si="242"/>
        <v>9</v>
      </c>
      <c r="AV217" s="10">
        <v>0</v>
      </c>
      <c r="AW217" s="10">
        <v>0</v>
      </c>
      <c r="AX217" s="12">
        <f t="shared" si="243"/>
        <v>0</v>
      </c>
      <c r="AY217" s="12">
        <f t="shared" si="244"/>
        <v>0</v>
      </c>
      <c r="AZ217" s="32">
        <f t="shared" si="245"/>
        <v>9</v>
      </c>
      <c r="BA217" s="12">
        <f t="shared" si="246"/>
        <v>9</v>
      </c>
      <c r="BB217" s="10">
        <v>0</v>
      </c>
      <c r="BC217" s="10">
        <v>0</v>
      </c>
      <c r="BD217" s="12">
        <f t="shared" si="247"/>
        <v>0</v>
      </c>
      <c r="BE217" s="12">
        <f t="shared" si="248"/>
        <v>0</v>
      </c>
      <c r="BF217" s="48">
        <v>9</v>
      </c>
      <c r="BG217" s="12">
        <f t="shared" si="228"/>
        <v>9</v>
      </c>
      <c r="BH217" s="10">
        <v>0</v>
      </c>
      <c r="BI217" s="10">
        <v>0</v>
      </c>
      <c r="BJ217" s="33">
        <f t="shared" si="250"/>
        <v>0</v>
      </c>
      <c r="BK217" s="33">
        <f t="shared" si="251"/>
        <v>0</v>
      </c>
      <c r="BL217" s="48">
        <v>9</v>
      </c>
      <c r="BM217" s="12">
        <f t="shared" si="229"/>
        <v>9</v>
      </c>
      <c r="BN217" s="10">
        <v>0</v>
      </c>
      <c r="BO217" s="10">
        <v>0</v>
      </c>
      <c r="BP217" s="33">
        <f t="shared" si="252"/>
        <v>0</v>
      </c>
      <c r="BQ217" s="33">
        <f t="shared" si="253"/>
        <v>0</v>
      </c>
      <c r="BR217" s="48">
        <v>9</v>
      </c>
      <c r="BS217" s="12">
        <f t="shared" si="230"/>
        <v>9</v>
      </c>
      <c r="BT217" s="10">
        <v>0</v>
      </c>
      <c r="BU217" s="10">
        <v>0</v>
      </c>
      <c r="BV217" s="33">
        <f t="shared" si="254"/>
        <v>0</v>
      </c>
      <c r="BW217" s="33">
        <f t="shared" si="255"/>
        <v>0</v>
      </c>
      <c r="BX217" s="48">
        <v>9</v>
      </c>
      <c r="BY217" s="12">
        <f t="shared" si="231"/>
        <v>9</v>
      </c>
      <c r="BZ217" s="10">
        <v>0</v>
      </c>
      <c r="CA217" s="10">
        <v>0</v>
      </c>
      <c r="CB217" s="33">
        <f t="shared" si="256"/>
        <v>0</v>
      </c>
      <c r="CC217" s="33">
        <f t="shared" si="257"/>
        <v>0</v>
      </c>
      <c r="CD217" s="48">
        <v>9</v>
      </c>
      <c r="CE217" s="12">
        <f t="shared" si="232"/>
        <v>9</v>
      </c>
    </row>
    <row r="218" spans="1:84" ht="80.25" customHeight="1">
      <c r="A218" s="148" t="s">
        <v>695</v>
      </c>
      <c r="B218" s="155" t="s">
        <v>696</v>
      </c>
      <c r="C218" s="173" t="s">
        <v>697</v>
      </c>
      <c r="D218" s="156">
        <v>2009</v>
      </c>
      <c r="E218" s="154"/>
      <c r="F218" s="154"/>
      <c r="G218" s="154"/>
      <c r="H218" s="165">
        <v>9</v>
      </c>
      <c r="I218" s="159">
        <v>1</v>
      </c>
      <c r="J218" s="56">
        <v>0</v>
      </c>
      <c r="K218" s="33">
        <f t="shared" si="219"/>
        <v>0</v>
      </c>
      <c r="L218" s="10">
        <v>0</v>
      </c>
      <c r="M218" s="10">
        <v>0</v>
      </c>
      <c r="N218" s="33">
        <f t="shared" si="220"/>
        <v>0</v>
      </c>
      <c r="O218" s="33">
        <f t="shared" si="221"/>
        <v>0</v>
      </c>
      <c r="P218" s="56">
        <v>0</v>
      </c>
      <c r="Q218" s="33">
        <f t="shared" si="222"/>
        <v>0</v>
      </c>
      <c r="R218" s="56">
        <v>0</v>
      </c>
      <c r="S218" s="56">
        <v>0</v>
      </c>
      <c r="T218" s="33">
        <f t="shared" si="223"/>
        <v>0</v>
      </c>
      <c r="U218" s="33">
        <f t="shared" si="224"/>
        <v>0</v>
      </c>
      <c r="V218" s="56">
        <v>0</v>
      </c>
      <c r="W218" s="33">
        <f t="shared" si="225"/>
        <v>0</v>
      </c>
      <c r="X218" s="56">
        <v>0</v>
      </c>
      <c r="Y218" s="56">
        <v>0</v>
      </c>
      <c r="Z218" s="33">
        <f t="shared" si="226"/>
        <v>0</v>
      </c>
      <c r="AA218" s="33">
        <f t="shared" si="227"/>
        <v>0</v>
      </c>
      <c r="AB218" s="146">
        <v>9</v>
      </c>
      <c r="AC218" s="117">
        <f t="shared" si="233"/>
        <v>9</v>
      </c>
      <c r="AD218" s="10">
        <v>0</v>
      </c>
      <c r="AE218" s="10">
        <v>0</v>
      </c>
      <c r="AF218" s="117">
        <f t="shared" si="234"/>
        <v>0</v>
      </c>
      <c r="AG218" s="118">
        <f t="shared" si="235"/>
        <v>0</v>
      </c>
      <c r="AH218" s="80">
        <f t="shared" si="236"/>
        <v>9</v>
      </c>
      <c r="AI218" s="127">
        <f t="shared" si="249"/>
        <v>9</v>
      </c>
      <c r="AJ218" s="111">
        <v>0</v>
      </c>
      <c r="AK218" s="111">
        <v>0</v>
      </c>
      <c r="AL218" s="112">
        <f t="shared" ca="1" si="208"/>
        <v>0</v>
      </c>
      <c r="AM218" s="112">
        <f t="shared" si="209"/>
        <v>0</v>
      </c>
      <c r="AN218" s="80">
        <f t="shared" si="237"/>
        <v>9</v>
      </c>
      <c r="AO218" s="12">
        <f t="shared" si="238"/>
        <v>9</v>
      </c>
      <c r="AP218" s="10">
        <v>0</v>
      </c>
      <c r="AQ218" s="10">
        <v>0</v>
      </c>
      <c r="AR218" s="12">
        <f t="shared" si="239"/>
        <v>0</v>
      </c>
      <c r="AS218" s="12">
        <f t="shared" si="240"/>
        <v>0</v>
      </c>
      <c r="AT218" s="13">
        <f t="shared" si="241"/>
        <v>9</v>
      </c>
      <c r="AU218" s="12">
        <f t="shared" si="242"/>
        <v>9</v>
      </c>
      <c r="AV218" s="10">
        <v>0</v>
      </c>
      <c r="AW218" s="10">
        <v>0</v>
      </c>
      <c r="AX218" s="12">
        <f t="shared" si="243"/>
        <v>0</v>
      </c>
      <c r="AY218" s="12">
        <f t="shared" si="244"/>
        <v>0</v>
      </c>
      <c r="AZ218" s="32">
        <f t="shared" si="245"/>
        <v>9</v>
      </c>
      <c r="BA218" s="12">
        <f t="shared" si="246"/>
        <v>9</v>
      </c>
      <c r="BB218" s="10">
        <v>0</v>
      </c>
      <c r="BC218" s="10">
        <v>0</v>
      </c>
      <c r="BD218" s="12">
        <f t="shared" si="247"/>
        <v>0</v>
      </c>
      <c r="BE218" s="12">
        <f t="shared" si="248"/>
        <v>0</v>
      </c>
      <c r="BF218" s="48">
        <v>9</v>
      </c>
      <c r="BG218" s="12">
        <f t="shared" si="228"/>
        <v>9</v>
      </c>
      <c r="BH218" s="10">
        <v>0</v>
      </c>
      <c r="BI218" s="10">
        <v>0</v>
      </c>
      <c r="BJ218" s="33">
        <f t="shared" si="250"/>
        <v>0</v>
      </c>
      <c r="BK218" s="33">
        <f t="shared" si="251"/>
        <v>0</v>
      </c>
      <c r="BL218" s="48">
        <v>9</v>
      </c>
      <c r="BM218" s="12">
        <f t="shared" si="229"/>
        <v>9</v>
      </c>
      <c r="BN218" s="10">
        <v>0</v>
      </c>
      <c r="BO218" s="10">
        <v>0</v>
      </c>
      <c r="BP218" s="33">
        <f t="shared" si="252"/>
        <v>0</v>
      </c>
      <c r="BQ218" s="33">
        <f t="shared" si="253"/>
        <v>0</v>
      </c>
      <c r="BR218" s="48">
        <v>9</v>
      </c>
      <c r="BS218" s="12">
        <f t="shared" si="230"/>
        <v>9</v>
      </c>
      <c r="BT218" s="10">
        <v>0</v>
      </c>
      <c r="BU218" s="10">
        <v>0</v>
      </c>
      <c r="BV218" s="33">
        <f t="shared" si="254"/>
        <v>0</v>
      </c>
      <c r="BW218" s="33">
        <f t="shared" si="255"/>
        <v>0</v>
      </c>
      <c r="BX218" s="48">
        <v>9</v>
      </c>
      <c r="BY218" s="12">
        <f t="shared" si="231"/>
        <v>9</v>
      </c>
      <c r="BZ218" s="10">
        <v>0</v>
      </c>
      <c r="CA218" s="10">
        <v>0</v>
      </c>
      <c r="CB218" s="33">
        <f t="shared" si="256"/>
        <v>0</v>
      </c>
      <c r="CC218" s="33">
        <f t="shared" si="257"/>
        <v>0</v>
      </c>
      <c r="CD218" s="48">
        <v>9</v>
      </c>
      <c r="CE218" s="12">
        <f t="shared" si="232"/>
        <v>9</v>
      </c>
    </row>
    <row r="219" spans="1:84" ht="80.25" customHeight="1">
      <c r="A219" s="148" t="s">
        <v>698</v>
      </c>
      <c r="B219" s="155" t="s">
        <v>699</v>
      </c>
      <c r="C219" s="174" t="s">
        <v>700</v>
      </c>
      <c r="D219" s="157">
        <v>2017</v>
      </c>
      <c r="E219" s="154"/>
      <c r="F219" s="154"/>
      <c r="G219" s="154"/>
      <c r="H219" s="165">
        <v>254</v>
      </c>
      <c r="I219" s="162">
        <v>1</v>
      </c>
      <c r="J219" s="56">
        <v>0</v>
      </c>
      <c r="K219" s="33">
        <f t="shared" si="219"/>
        <v>0</v>
      </c>
      <c r="L219" s="10">
        <v>0</v>
      </c>
      <c r="M219" s="10">
        <v>0</v>
      </c>
      <c r="N219" s="33">
        <f t="shared" si="220"/>
        <v>0</v>
      </c>
      <c r="O219" s="41">
        <f t="shared" si="221"/>
        <v>0</v>
      </c>
      <c r="P219" s="58">
        <v>0</v>
      </c>
      <c r="Q219" s="41">
        <f t="shared" si="222"/>
        <v>0</v>
      </c>
      <c r="R219" s="56">
        <v>0</v>
      </c>
      <c r="S219" s="56">
        <v>0</v>
      </c>
      <c r="T219" s="33">
        <f t="shared" si="223"/>
        <v>0</v>
      </c>
      <c r="U219" s="41">
        <f t="shared" si="224"/>
        <v>0</v>
      </c>
      <c r="V219" s="56">
        <v>0</v>
      </c>
      <c r="W219" s="41">
        <f t="shared" si="225"/>
        <v>0</v>
      </c>
      <c r="X219" s="56">
        <v>0</v>
      </c>
      <c r="Y219" s="56">
        <v>0</v>
      </c>
      <c r="Z219" s="33">
        <f t="shared" si="226"/>
        <v>0</v>
      </c>
      <c r="AA219" s="41">
        <f t="shared" si="227"/>
        <v>0</v>
      </c>
      <c r="AB219" s="147">
        <v>254</v>
      </c>
      <c r="AC219" s="117">
        <f t="shared" si="233"/>
        <v>254</v>
      </c>
      <c r="AD219" s="64">
        <v>0</v>
      </c>
      <c r="AE219" s="64">
        <v>0</v>
      </c>
      <c r="AF219" s="117">
        <f t="shared" si="234"/>
        <v>0</v>
      </c>
      <c r="AG219" s="118">
        <f t="shared" si="235"/>
        <v>0</v>
      </c>
      <c r="AH219" s="80">
        <f t="shared" si="236"/>
        <v>254</v>
      </c>
      <c r="AI219" s="127">
        <f t="shared" si="249"/>
        <v>254</v>
      </c>
      <c r="AJ219" s="111">
        <v>0</v>
      </c>
      <c r="AK219" s="111">
        <v>0</v>
      </c>
      <c r="AL219" s="112">
        <f t="shared" ca="1" si="208"/>
        <v>0</v>
      </c>
      <c r="AM219" s="112">
        <f t="shared" si="209"/>
        <v>0</v>
      </c>
      <c r="AN219" s="80">
        <f t="shared" si="237"/>
        <v>254</v>
      </c>
      <c r="AO219" s="12">
        <f t="shared" si="238"/>
        <v>254</v>
      </c>
      <c r="AP219" s="10">
        <v>0</v>
      </c>
      <c r="AQ219" s="10">
        <v>0</v>
      </c>
      <c r="AR219" s="12">
        <f t="shared" si="239"/>
        <v>0</v>
      </c>
      <c r="AS219" s="12">
        <f t="shared" si="240"/>
        <v>0</v>
      </c>
      <c r="AT219" s="13">
        <f t="shared" si="241"/>
        <v>254</v>
      </c>
      <c r="AU219" s="12">
        <f t="shared" si="242"/>
        <v>254</v>
      </c>
      <c r="AV219" s="10">
        <v>0</v>
      </c>
      <c r="AW219" s="10">
        <v>0</v>
      </c>
      <c r="AX219" s="12">
        <f t="shared" si="243"/>
        <v>0</v>
      </c>
      <c r="AY219" s="12">
        <f t="shared" si="244"/>
        <v>0</v>
      </c>
      <c r="AZ219" s="32">
        <f t="shared" si="245"/>
        <v>254</v>
      </c>
      <c r="BA219" s="12">
        <f t="shared" si="246"/>
        <v>254</v>
      </c>
      <c r="BB219" s="10">
        <v>0</v>
      </c>
      <c r="BC219" s="10">
        <v>0</v>
      </c>
      <c r="BD219" s="12">
        <f t="shared" si="247"/>
        <v>0</v>
      </c>
      <c r="BE219" s="12">
        <f t="shared" si="248"/>
        <v>0</v>
      </c>
      <c r="BF219" s="49">
        <v>254</v>
      </c>
      <c r="BG219" s="12">
        <f t="shared" si="228"/>
        <v>254</v>
      </c>
      <c r="BH219" s="10">
        <v>0</v>
      </c>
      <c r="BI219" s="10">
        <v>0</v>
      </c>
      <c r="BJ219" s="41">
        <f t="shared" si="250"/>
        <v>0</v>
      </c>
      <c r="BK219" s="41">
        <f t="shared" si="251"/>
        <v>0</v>
      </c>
      <c r="BL219" s="49">
        <v>254</v>
      </c>
      <c r="BM219" s="12">
        <f t="shared" si="229"/>
        <v>254</v>
      </c>
      <c r="BN219" s="10">
        <v>0</v>
      </c>
      <c r="BO219" s="10">
        <v>0</v>
      </c>
      <c r="BP219" s="41">
        <f t="shared" si="252"/>
        <v>0</v>
      </c>
      <c r="BQ219" s="41">
        <f t="shared" si="253"/>
        <v>0</v>
      </c>
      <c r="BR219" s="49">
        <v>254</v>
      </c>
      <c r="BS219" s="12">
        <f t="shared" si="230"/>
        <v>254</v>
      </c>
      <c r="BT219" s="10">
        <v>0</v>
      </c>
      <c r="BU219" s="10">
        <v>0</v>
      </c>
      <c r="BV219" s="41">
        <f t="shared" si="254"/>
        <v>0</v>
      </c>
      <c r="BW219" s="41">
        <f t="shared" si="255"/>
        <v>0</v>
      </c>
      <c r="BX219" s="49">
        <v>254</v>
      </c>
      <c r="BY219" s="12">
        <f t="shared" si="231"/>
        <v>254</v>
      </c>
      <c r="BZ219" s="10">
        <v>0</v>
      </c>
      <c r="CA219" s="10">
        <v>0</v>
      </c>
      <c r="CB219" s="41">
        <f t="shared" si="256"/>
        <v>0</v>
      </c>
      <c r="CC219" s="41">
        <f t="shared" si="257"/>
        <v>0</v>
      </c>
      <c r="CD219" s="49">
        <v>254</v>
      </c>
      <c r="CE219" s="12">
        <f t="shared" si="232"/>
        <v>254</v>
      </c>
    </row>
    <row r="220" spans="1:84" s="42" customFormat="1" ht="80.25" customHeight="1">
      <c r="A220" s="148" t="s">
        <v>701</v>
      </c>
      <c r="B220" s="155" t="s">
        <v>702</v>
      </c>
      <c r="C220" s="173" t="s">
        <v>703</v>
      </c>
      <c r="D220" s="156">
        <v>2010</v>
      </c>
      <c r="E220" s="154"/>
      <c r="F220" s="154"/>
      <c r="G220" s="154"/>
      <c r="H220" s="166">
        <v>3</v>
      </c>
      <c r="I220" s="163">
        <v>1</v>
      </c>
      <c r="J220" s="69">
        <v>0</v>
      </c>
      <c r="K220" s="41">
        <f t="shared" si="219"/>
        <v>0</v>
      </c>
      <c r="L220" s="70">
        <v>0</v>
      </c>
      <c r="M220" s="70">
        <v>0</v>
      </c>
      <c r="N220" s="65">
        <f t="shared" si="220"/>
        <v>0</v>
      </c>
      <c r="O220" s="66">
        <f t="shared" si="221"/>
        <v>0</v>
      </c>
      <c r="P220" s="59">
        <v>0</v>
      </c>
      <c r="Q220" s="66">
        <f t="shared" si="222"/>
        <v>0</v>
      </c>
      <c r="R220" s="58">
        <v>0</v>
      </c>
      <c r="S220" s="58">
        <v>0</v>
      </c>
      <c r="T220" s="65">
        <f t="shared" si="223"/>
        <v>0</v>
      </c>
      <c r="U220" s="66">
        <f t="shared" si="224"/>
        <v>0</v>
      </c>
      <c r="V220" s="58">
        <v>0</v>
      </c>
      <c r="W220" s="66">
        <f t="shared" si="225"/>
        <v>0</v>
      </c>
      <c r="X220" s="58">
        <v>0</v>
      </c>
      <c r="Y220" s="58">
        <v>0</v>
      </c>
      <c r="Z220" s="65">
        <f t="shared" si="226"/>
        <v>0</v>
      </c>
      <c r="AA220" s="66">
        <f t="shared" si="227"/>
        <v>0</v>
      </c>
      <c r="AB220" s="97">
        <v>3</v>
      </c>
      <c r="AC220" s="168">
        <f t="shared" si="233"/>
        <v>3</v>
      </c>
      <c r="AD220" s="167">
        <v>0</v>
      </c>
      <c r="AE220" s="167">
        <v>0</v>
      </c>
      <c r="AF220" s="169">
        <f t="shared" si="234"/>
        <v>0</v>
      </c>
      <c r="AG220" s="118">
        <f t="shared" si="235"/>
        <v>0</v>
      </c>
      <c r="AH220" s="80">
        <f t="shared" si="236"/>
        <v>3</v>
      </c>
      <c r="AI220" s="128">
        <f t="shared" si="249"/>
        <v>3</v>
      </c>
      <c r="AJ220" s="111">
        <v>0</v>
      </c>
      <c r="AK220" s="111">
        <v>0</v>
      </c>
      <c r="AL220" s="112">
        <f t="shared" ca="1" si="208"/>
        <v>0</v>
      </c>
      <c r="AM220" s="112">
        <f t="shared" si="209"/>
        <v>0</v>
      </c>
      <c r="AN220" s="80">
        <f t="shared" si="237"/>
        <v>3</v>
      </c>
      <c r="AO220" s="12">
        <f t="shared" si="238"/>
        <v>3</v>
      </c>
      <c r="AP220" s="10">
        <v>0</v>
      </c>
      <c r="AQ220" s="10">
        <v>0</v>
      </c>
      <c r="AR220" s="12">
        <f t="shared" si="239"/>
        <v>0</v>
      </c>
      <c r="AS220" s="12">
        <f t="shared" si="240"/>
        <v>0</v>
      </c>
      <c r="AT220" s="13">
        <f t="shared" si="241"/>
        <v>3</v>
      </c>
      <c r="AU220" s="12">
        <f t="shared" si="242"/>
        <v>3</v>
      </c>
      <c r="AV220" s="10">
        <v>0</v>
      </c>
      <c r="AW220" s="10">
        <v>0</v>
      </c>
      <c r="AX220" s="12">
        <f t="shared" si="243"/>
        <v>0</v>
      </c>
      <c r="AY220" s="12">
        <f t="shared" si="244"/>
        <v>0</v>
      </c>
      <c r="AZ220" s="32">
        <f t="shared" si="245"/>
        <v>3</v>
      </c>
      <c r="BA220" s="12">
        <f t="shared" si="246"/>
        <v>3</v>
      </c>
      <c r="BB220" s="10">
        <v>0</v>
      </c>
      <c r="BC220" s="10">
        <v>0</v>
      </c>
      <c r="BD220" s="12">
        <f t="shared" si="247"/>
        <v>0</v>
      </c>
      <c r="BE220" s="12">
        <f t="shared" si="248"/>
        <v>0</v>
      </c>
      <c r="BF220" s="50">
        <v>3</v>
      </c>
      <c r="BG220" s="68">
        <f t="shared" si="228"/>
        <v>3</v>
      </c>
      <c r="BH220" s="70">
        <v>0</v>
      </c>
      <c r="BI220" s="70">
        <v>0</v>
      </c>
      <c r="BJ220" s="67">
        <f t="shared" si="250"/>
        <v>0</v>
      </c>
      <c r="BK220" s="67">
        <f t="shared" si="251"/>
        <v>0</v>
      </c>
      <c r="BL220" s="50">
        <v>3</v>
      </c>
      <c r="BM220" s="68">
        <f t="shared" si="229"/>
        <v>3</v>
      </c>
      <c r="BN220" s="70">
        <v>0</v>
      </c>
      <c r="BO220" s="70">
        <v>0</v>
      </c>
      <c r="BP220" s="67">
        <f t="shared" si="252"/>
        <v>0</v>
      </c>
      <c r="BQ220" s="67">
        <f t="shared" si="253"/>
        <v>0</v>
      </c>
      <c r="BR220" s="50">
        <v>3</v>
      </c>
      <c r="BS220" s="68">
        <f t="shared" si="230"/>
        <v>3</v>
      </c>
      <c r="BT220" s="70">
        <v>0</v>
      </c>
      <c r="BU220" s="70">
        <v>0</v>
      </c>
      <c r="BV220" s="67">
        <f t="shared" si="254"/>
        <v>0</v>
      </c>
      <c r="BW220" s="67">
        <f t="shared" si="255"/>
        <v>0</v>
      </c>
      <c r="BX220" s="50">
        <v>3</v>
      </c>
      <c r="BY220" s="68">
        <f t="shared" si="231"/>
        <v>3</v>
      </c>
      <c r="BZ220" s="70">
        <v>0</v>
      </c>
      <c r="CA220" s="70">
        <v>0</v>
      </c>
      <c r="CB220" s="67">
        <f t="shared" si="256"/>
        <v>0</v>
      </c>
      <c r="CC220" s="43">
        <f t="shared" si="257"/>
        <v>0</v>
      </c>
      <c r="CD220" s="50">
        <v>3</v>
      </c>
      <c r="CE220" s="71">
        <f t="shared" si="232"/>
        <v>3</v>
      </c>
    </row>
    <row r="221" spans="1:84" ht="80.25" customHeight="1">
      <c r="A221" s="148" t="s">
        <v>704</v>
      </c>
      <c r="B221" s="148" t="s">
        <v>705</v>
      </c>
      <c r="C221" s="151" t="s">
        <v>706</v>
      </c>
      <c r="D221" s="156" t="s">
        <v>63</v>
      </c>
      <c r="E221" s="149"/>
      <c r="F221" s="149"/>
      <c r="G221" s="149"/>
      <c r="H221" s="170">
        <v>121</v>
      </c>
      <c r="I221" s="159">
        <v>1</v>
      </c>
      <c r="J221" s="56"/>
      <c r="K221" s="12"/>
      <c r="L221" s="10"/>
      <c r="M221" s="10"/>
      <c r="N221" s="12"/>
      <c r="O221" s="12"/>
      <c r="P221" s="13"/>
      <c r="Q221" s="12"/>
      <c r="R221" s="10"/>
      <c r="S221" s="56"/>
      <c r="T221" s="12"/>
      <c r="U221" s="12"/>
      <c r="V221" s="56"/>
      <c r="W221" s="12"/>
      <c r="X221" s="10"/>
      <c r="Y221" s="10"/>
      <c r="Z221" s="12"/>
      <c r="AA221" s="12"/>
      <c r="AB221" s="18" t="s">
        <v>421</v>
      </c>
      <c r="AC221" s="168">
        <f t="shared" si="233"/>
        <v>121</v>
      </c>
      <c r="AD221" s="167">
        <v>0</v>
      </c>
      <c r="AE221" s="167">
        <v>0</v>
      </c>
      <c r="AF221" s="169">
        <f t="shared" ref="AF221:AF257" si="258">AE221*I221</f>
        <v>0</v>
      </c>
      <c r="AG221" s="118">
        <f t="shared" ref="AG221:AG257" si="259">AD221*I221</f>
        <v>0</v>
      </c>
      <c r="AH221" s="80">
        <f t="shared" ref="AH221:AH257" si="260">SUM(AB221-AD221+AE221)</f>
        <v>121</v>
      </c>
      <c r="AI221" s="128">
        <f t="shared" ref="AI221:AI257" si="261">AH221*I221</f>
        <v>121</v>
      </c>
      <c r="AJ221" s="111">
        <v>0</v>
      </c>
      <c r="AK221" s="111">
        <v>0</v>
      </c>
      <c r="AL221" s="112">
        <f t="shared" ref="AL221:AL257" ca="1" si="262">AL221*I221</f>
        <v>0</v>
      </c>
      <c r="AM221" s="112">
        <f t="shared" ref="AM221:AM257" si="263">-AJ221*I221</f>
        <v>0</v>
      </c>
      <c r="AN221" s="80">
        <f t="shared" ref="AN221:AN257" si="264">AH221-AJ221+AK221</f>
        <v>121</v>
      </c>
      <c r="AO221" s="12">
        <f t="shared" ref="AO221:AO257" si="265">AN221*I221</f>
        <v>121</v>
      </c>
      <c r="AP221" s="10">
        <v>0</v>
      </c>
      <c r="AQ221" s="10">
        <v>0</v>
      </c>
      <c r="AR221" s="12">
        <f t="shared" ref="AR221:AR257" si="266">AQ221*I221</f>
        <v>0</v>
      </c>
      <c r="AS221" s="12">
        <f t="shared" ref="AS221:AS257" si="267">AP221*I221</f>
        <v>0</v>
      </c>
      <c r="AT221" s="13">
        <f t="shared" ref="AT221:AT257" si="268">AN221-AP221+AQ221</f>
        <v>121</v>
      </c>
      <c r="AU221" s="12">
        <f t="shared" ref="AU221:AU257" si="269">AT221*I221</f>
        <v>121</v>
      </c>
      <c r="AV221" s="10">
        <v>0</v>
      </c>
      <c r="AW221" s="10">
        <v>0</v>
      </c>
      <c r="AX221" s="12">
        <f t="shared" ref="AX221:AX257" si="270">AW221*I221</f>
        <v>0</v>
      </c>
      <c r="AY221" s="12">
        <f t="shared" ref="AY221:AY257" si="271">AV221*I221</f>
        <v>0</v>
      </c>
      <c r="AZ221" s="32">
        <f t="shared" ref="AZ221:AZ257" si="272">AT221-AV221+AW221</f>
        <v>121</v>
      </c>
      <c r="BA221" s="12">
        <f t="shared" ref="BA221:BA257" si="273">AZ221*I221</f>
        <v>121</v>
      </c>
      <c r="BB221" s="10">
        <v>0</v>
      </c>
      <c r="BC221" s="10">
        <v>0</v>
      </c>
      <c r="BD221" s="12">
        <f t="shared" ref="BD221:BD257" si="274">BC221*I221</f>
        <v>0</v>
      </c>
      <c r="BE221" s="12">
        <f t="shared" ref="BE221:BE257" si="275">BB221*I221</f>
        <v>0</v>
      </c>
      <c r="BF221" s="32">
        <f t="shared" ref="BF221" si="276">AZ221-BB221+BC221</f>
        <v>121</v>
      </c>
      <c r="BG221" s="68">
        <f t="shared" ref="BG221:BG257" si="277">AN221*I221</f>
        <v>121</v>
      </c>
      <c r="BH221" s="70">
        <v>0</v>
      </c>
      <c r="BI221" s="70">
        <v>0</v>
      </c>
      <c r="BJ221" s="67">
        <f t="shared" ref="BJ221:BJ257" si="278">BI221*AM221</f>
        <v>0</v>
      </c>
      <c r="BK221" s="67">
        <f t="shared" ref="BK221:BK257" si="279">BJ221*AN221</f>
        <v>0</v>
      </c>
      <c r="BL221" s="32">
        <f t="shared" ref="BL221" si="280">BF221-BH221+BI221</f>
        <v>121</v>
      </c>
      <c r="BM221" s="68">
        <f t="shared" ref="BM221:BM257" si="281">AN221*I221</f>
        <v>121</v>
      </c>
      <c r="BN221" s="70">
        <v>0</v>
      </c>
      <c r="BO221" s="70">
        <v>0</v>
      </c>
      <c r="BP221" s="67">
        <f t="shared" ref="BP221:BP257" si="282">BO221*AS221</f>
        <v>0</v>
      </c>
      <c r="BQ221" s="67">
        <f t="shared" ref="BQ221:BQ257" si="283">BP221*AT221</f>
        <v>0</v>
      </c>
      <c r="BR221" s="32">
        <f t="shared" ref="BR221" si="284">BL221-BN221+BO221</f>
        <v>121</v>
      </c>
      <c r="BS221" s="68">
        <f t="shared" ref="BS221:BS257" si="285">AN221*I221</f>
        <v>121</v>
      </c>
      <c r="BT221" s="70">
        <v>0</v>
      </c>
      <c r="BU221" s="70">
        <v>0</v>
      </c>
      <c r="BV221" s="67">
        <f t="shared" ref="BV221:BV257" si="286">BU221*AY221</f>
        <v>0</v>
      </c>
      <c r="BW221" s="67">
        <f t="shared" ref="BW221:BW257" si="287">BV221*AZ221</f>
        <v>0</v>
      </c>
      <c r="BX221" s="32">
        <f t="shared" ref="BX221" si="288">BR221-BT221+BU221</f>
        <v>121</v>
      </c>
      <c r="BY221" s="68">
        <f t="shared" ref="BY221:BY257" si="289">AN221*I221</f>
        <v>121</v>
      </c>
      <c r="BZ221" s="70">
        <v>0</v>
      </c>
      <c r="CA221" s="70">
        <v>0</v>
      </c>
      <c r="CB221" s="67">
        <f t="shared" ref="CB221:CB257" si="290">CA221*BE221</f>
        <v>0</v>
      </c>
      <c r="CC221" s="43">
        <f t="shared" ref="CC221:CC257" si="291">CB221*BF221</f>
        <v>0</v>
      </c>
      <c r="CD221" s="32">
        <f t="shared" ref="CD221" si="292">BX221-BZ221+CA221</f>
        <v>121</v>
      </c>
      <c r="CE221" s="71">
        <f t="shared" ref="CE221:CE257" si="293">AN221*I221</f>
        <v>121</v>
      </c>
    </row>
    <row r="222" spans="1:84" ht="63.75" customHeight="1">
      <c r="A222" s="148" t="s">
        <v>707</v>
      </c>
      <c r="B222" s="148" t="s">
        <v>708</v>
      </c>
      <c r="C222" s="151" t="s">
        <v>709</v>
      </c>
      <c r="D222" s="156" t="s">
        <v>58</v>
      </c>
      <c r="E222" s="149"/>
      <c r="F222" s="149"/>
      <c r="G222" s="149"/>
      <c r="H222" s="170">
        <v>2</v>
      </c>
      <c r="I222" s="159">
        <v>1</v>
      </c>
      <c r="J222" s="56"/>
      <c r="K222" s="12"/>
      <c r="L222" s="10"/>
      <c r="M222" s="10"/>
      <c r="N222" s="12"/>
      <c r="O222" s="12"/>
      <c r="P222" s="56"/>
      <c r="Q222" s="12"/>
      <c r="R222" s="10"/>
      <c r="S222" s="56"/>
      <c r="T222" s="12"/>
      <c r="U222" s="12"/>
      <c r="V222" s="56"/>
      <c r="W222" s="12"/>
      <c r="X222" s="10"/>
      <c r="Y222" s="10"/>
      <c r="Z222" s="12"/>
      <c r="AA222" s="12"/>
      <c r="AB222" s="18" t="s">
        <v>38</v>
      </c>
      <c r="AC222" s="168">
        <f t="shared" si="233"/>
        <v>2</v>
      </c>
      <c r="AD222" s="167">
        <v>0</v>
      </c>
      <c r="AE222" s="167">
        <v>0</v>
      </c>
      <c r="AF222" s="169">
        <f t="shared" si="258"/>
        <v>0</v>
      </c>
      <c r="AG222" s="118">
        <f t="shared" si="259"/>
        <v>0</v>
      </c>
      <c r="AH222" s="80">
        <f t="shared" si="260"/>
        <v>2</v>
      </c>
      <c r="AI222" s="128">
        <f t="shared" si="261"/>
        <v>2</v>
      </c>
      <c r="AJ222" s="111">
        <v>0</v>
      </c>
      <c r="AK222" s="111">
        <v>0</v>
      </c>
      <c r="AL222" s="112">
        <f t="shared" ca="1" si="262"/>
        <v>0</v>
      </c>
      <c r="AM222" s="112">
        <f t="shared" si="263"/>
        <v>0</v>
      </c>
      <c r="AN222" s="80">
        <f t="shared" si="264"/>
        <v>2</v>
      </c>
      <c r="AO222" s="12">
        <f t="shared" si="265"/>
        <v>2</v>
      </c>
      <c r="AP222" s="10">
        <v>0</v>
      </c>
      <c r="AQ222" s="10">
        <v>0</v>
      </c>
      <c r="AR222" s="12">
        <f t="shared" si="266"/>
        <v>0</v>
      </c>
      <c r="AS222" s="12">
        <f t="shared" si="267"/>
        <v>0</v>
      </c>
      <c r="AT222" s="13">
        <f t="shared" si="268"/>
        <v>2</v>
      </c>
      <c r="AU222" s="12">
        <f t="shared" si="269"/>
        <v>2</v>
      </c>
      <c r="AV222" s="10">
        <v>0</v>
      </c>
      <c r="AW222" s="10">
        <v>0</v>
      </c>
      <c r="AX222" s="12">
        <f t="shared" si="270"/>
        <v>0</v>
      </c>
      <c r="AY222" s="12">
        <f t="shared" si="271"/>
        <v>0</v>
      </c>
      <c r="AZ222" s="32">
        <f t="shared" si="272"/>
        <v>2</v>
      </c>
      <c r="BA222" s="12">
        <f t="shared" si="273"/>
        <v>2</v>
      </c>
      <c r="BB222" s="10">
        <v>0</v>
      </c>
      <c r="BC222" s="10">
        <v>0</v>
      </c>
      <c r="BD222" s="12">
        <f t="shared" si="274"/>
        <v>0</v>
      </c>
      <c r="BE222" s="12">
        <f t="shared" si="275"/>
        <v>0</v>
      </c>
      <c r="BF222" s="32">
        <f t="shared" ref="BF222:BF226" si="294">AZ222-BB222+BC222</f>
        <v>2</v>
      </c>
      <c r="BG222" s="68">
        <f t="shared" si="277"/>
        <v>2</v>
      </c>
      <c r="BH222" s="70">
        <v>0</v>
      </c>
      <c r="BI222" s="70">
        <v>0</v>
      </c>
      <c r="BJ222" s="67">
        <f t="shared" si="278"/>
        <v>0</v>
      </c>
      <c r="BK222" s="67">
        <f t="shared" si="279"/>
        <v>0</v>
      </c>
      <c r="BL222" s="32">
        <f t="shared" ref="BL222:BL226" si="295">BF222-BH222+BI222</f>
        <v>2</v>
      </c>
      <c r="BM222" s="68">
        <f t="shared" si="281"/>
        <v>2</v>
      </c>
      <c r="BN222" s="70">
        <v>0</v>
      </c>
      <c r="BO222" s="70">
        <v>0</v>
      </c>
      <c r="BP222" s="67">
        <f t="shared" si="282"/>
        <v>0</v>
      </c>
      <c r="BQ222" s="67">
        <f t="shared" si="283"/>
        <v>0</v>
      </c>
      <c r="BR222" s="32">
        <f t="shared" ref="BR222:BR226" si="296">BL222-BN222+BO222</f>
        <v>2</v>
      </c>
      <c r="BS222" s="68">
        <f t="shared" si="285"/>
        <v>2</v>
      </c>
      <c r="BT222" s="70">
        <v>0</v>
      </c>
      <c r="BU222" s="70">
        <v>0</v>
      </c>
      <c r="BV222" s="67">
        <f t="shared" si="286"/>
        <v>0</v>
      </c>
      <c r="BW222" s="67">
        <f t="shared" si="287"/>
        <v>0</v>
      </c>
      <c r="BX222" s="32">
        <f t="shared" ref="BX222:BX226" si="297">BR222-BT222+BU222</f>
        <v>2</v>
      </c>
      <c r="BY222" s="68">
        <f t="shared" si="289"/>
        <v>2</v>
      </c>
      <c r="BZ222" s="70">
        <v>0</v>
      </c>
      <c r="CA222" s="70">
        <v>0</v>
      </c>
      <c r="CB222" s="67">
        <f t="shared" si="290"/>
        <v>0</v>
      </c>
      <c r="CC222" s="43">
        <f t="shared" si="291"/>
        <v>0</v>
      </c>
      <c r="CD222" s="32">
        <f t="shared" ref="CD222:CD226" si="298">BX222-BZ222+CA222</f>
        <v>2</v>
      </c>
      <c r="CE222" s="71">
        <f t="shared" si="293"/>
        <v>2</v>
      </c>
    </row>
    <row r="223" spans="1:84" ht="57" customHeight="1">
      <c r="A223" s="148" t="s">
        <v>189</v>
      </c>
      <c r="B223" s="148" t="s">
        <v>710</v>
      </c>
      <c r="C223" s="151" t="s">
        <v>711</v>
      </c>
      <c r="D223" s="148" t="s">
        <v>54</v>
      </c>
      <c r="E223" s="149"/>
      <c r="F223" s="149"/>
      <c r="G223" s="149"/>
      <c r="H223" s="170">
        <v>2</v>
      </c>
      <c r="I223" s="159">
        <v>1</v>
      </c>
      <c r="J223" s="56"/>
      <c r="K223" s="12"/>
      <c r="L223" s="10"/>
      <c r="M223" s="10"/>
      <c r="N223" s="12"/>
      <c r="O223" s="12"/>
      <c r="P223" s="56"/>
      <c r="Q223" s="12"/>
      <c r="R223" s="10"/>
      <c r="S223" s="56"/>
      <c r="T223" s="12"/>
      <c r="U223" s="12"/>
      <c r="V223" s="56"/>
      <c r="W223" s="12"/>
      <c r="X223" s="10"/>
      <c r="Y223" s="10"/>
      <c r="Z223" s="12"/>
      <c r="AA223" s="12"/>
      <c r="AB223" s="18" t="s">
        <v>38</v>
      </c>
      <c r="AC223" s="168">
        <f t="shared" si="233"/>
        <v>2</v>
      </c>
      <c r="AD223" s="167">
        <v>0</v>
      </c>
      <c r="AE223" s="167">
        <v>0</v>
      </c>
      <c r="AF223" s="169">
        <f t="shared" si="258"/>
        <v>0</v>
      </c>
      <c r="AG223" s="118">
        <f t="shared" si="259"/>
        <v>0</v>
      </c>
      <c r="AH223" s="80">
        <f t="shared" si="260"/>
        <v>2</v>
      </c>
      <c r="AI223" s="128">
        <f t="shared" si="261"/>
        <v>2</v>
      </c>
      <c r="AJ223" s="111">
        <v>0</v>
      </c>
      <c r="AK223" s="111">
        <v>0</v>
      </c>
      <c r="AL223" s="112">
        <f t="shared" ca="1" si="262"/>
        <v>0</v>
      </c>
      <c r="AM223" s="112">
        <f t="shared" si="263"/>
        <v>0</v>
      </c>
      <c r="AN223" s="80">
        <f t="shared" si="264"/>
        <v>2</v>
      </c>
      <c r="AO223" s="12">
        <f t="shared" si="265"/>
        <v>2</v>
      </c>
      <c r="AP223" s="10">
        <v>0</v>
      </c>
      <c r="AQ223" s="10">
        <v>0</v>
      </c>
      <c r="AR223" s="12">
        <f t="shared" si="266"/>
        <v>0</v>
      </c>
      <c r="AS223" s="12">
        <f t="shared" si="267"/>
        <v>0</v>
      </c>
      <c r="AT223" s="13">
        <f t="shared" si="268"/>
        <v>2</v>
      </c>
      <c r="AU223" s="12">
        <f t="shared" si="269"/>
        <v>2</v>
      </c>
      <c r="AV223" s="10">
        <v>0</v>
      </c>
      <c r="AW223" s="10">
        <v>0</v>
      </c>
      <c r="AX223" s="12">
        <f t="shared" si="270"/>
        <v>0</v>
      </c>
      <c r="AY223" s="12">
        <f t="shared" si="271"/>
        <v>0</v>
      </c>
      <c r="AZ223" s="32">
        <f t="shared" si="272"/>
        <v>2</v>
      </c>
      <c r="BA223" s="12">
        <f t="shared" si="273"/>
        <v>2</v>
      </c>
      <c r="BB223" s="10">
        <v>0</v>
      </c>
      <c r="BC223" s="10">
        <v>0</v>
      </c>
      <c r="BD223" s="12">
        <f t="shared" si="274"/>
        <v>0</v>
      </c>
      <c r="BE223" s="12">
        <f t="shared" si="275"/>
        <v>0</v>
      </c>
      <c r="BF223" s="32">
        <f t="shared" si="294"/>
        <v>2</v>
      </c>
      <c r="BG223" s="68">
        <f t="shared" si="277"/>
        <v>2</v>
      </c>
      <c r="BH223" s="70">
        <v>0</v>
      </c>
      <c r="BI223" s="70">
        <v>0</v>
      </c>
      <c r="BJ223" s="67">
        <f t="shared" si="278"/>
        <v>0</v>
      </c>
      <c r="BK223" s="67">
        <f t="shared" si="279"/>
        <v>0</v>
      </c>
      <c r="BL223" s="32">
        <f t="shared" si="295"/>
        <v>2</v>
      </c>
      <c r="BM223" s="68">
        <f t="shared" si="281"/>
        <v>2</v>
      </c>
      <c r="BN223" s="70">
        <v>0</v>
      </c>
      <c r="BO223" s="70">
        <v>0</v>
      </c>
      <c r="BP223" s="67">
        <f t="shared" si="282"/>
        <v>0</v>
      </c>
      <c r="BQ223" s="67">
        <f t="shared" si="283"/>
        <v>0</v>
      </c>
      <c r="BR223" s="32">
        <f t="shared" si="296"/>
        <v>2</v>
      </c>
      <c r="BS223" s="68">
        <f t="shared" si="285"/>
        <v>2</v>
      </c>
      <c r="BT223" s="70">
        <v>0</v>
      </c>
      <c r="BU223" s="70">
        <v>0</v>
      </c>
      <c r="BV223" s="67">
        <f t="shared" si="286"/>
        <v>0</v>
      </c>
      <c r="BW223" s="67">
        <f t="shared" si="287"/>
        <v>0</v>
      </c>
      <c r="BX223" s="32">
        <f t="shared" si="297"/>
        <v>2</v>
      </c>
      <c r="BY223" s="68">
        <f t="shared" si="289"/>
        <v>2</v>
      </c>
      <c r="BZ223" s="70">
        <v>0</v>
      </c>
      <c r="CA223" s="70">
        <v>0</v>
      </c>
      <c r="CB223" s="67">
        <f t="shared" si="290"/>
        <v>0</v>
      </c>
      <c r="CC223" s="43">
        <f t="shared" si="291"/>
        <v>0</v>
      </c>
      <c r="CD223" s="32">
        <f t="shared" si="298"/>
        <v>2</v>
      </c>
      <c r="CE223" s="71">
        <f t="shared" si="293"/>
        <v>2</v>
      </c>
    </row>
    <row r="224" spans="1:84" ht="80.25" customHeight="1">
      <c r="A224" s="148" t="s">
        <v>712</v>
      </c>
      <c r="B224" s="148" t="s">
        <v>713</v>
      </c>
      <c r="C224" s="151" t="s">
        <v>714</v>
      </c>
      <c r="D224" s="148" t="s">
        <v>41</v>
      </c>
      <c r="E224" s="149"/>
      <c r="F224" s="149"/>
      <c r="G224" s="149"/>
      <c r="H224" s="170">
        <v>2</v>
      </c>
      <c r="I224" s="159">
        <v>1</v>
      </c>
      <c r="J224" s="56"/>
      <c r="K224" s="12"/>
      <c r="L224" s="10"/>
      <c r="M224" s="10"/>
      <c r="N224" s="12"/>
      <c r="O224" s="12"/>
      <c r="P224" s="56"/>
      <c r="Q224" s="12"/>
      <c r="R224" s="10"/>
      <c r="S224" s="56"/>
      <c r="T224" s="12"/>
      <c r="U224" s="12"/>
      <c r="V224" s="56"/>
      <c r="W224" s="12"/>
      <c r="X224" s="10"/>
      <c r="Y224" s="10"/>
      <c r="Z224" s="12"/>
      <c r="AA224" s="12"/>
      <c r="AB224" s="18" t="s">
        <v>38</v>
      </c>
      <c r="AC224" s="168">
        <f t="shared" si="233"/>
        <v>2</v>
      </c>
      <c r="AD224" s="167">
        <v>0</v>
      </c>
      <c r="AE224" s="167">
        <v>0</v>
      </c>
      <c r="AF224" s="169">
        <f t="shared" si="258"/>
        <v>0</v>
      </c>
      <c r="AG224" s="118">
        <f t="shared" si="259"/>
        <v>0</v>
      </c>
      <c r="AH224" s="80">
        <f t="shared" si="260"/>
        <v>2</v>
      </c>
      <c r="AI224" s="128">
        <f t="shared" si="261"/>
        <v>2</v>
      </c>
      <c r="AJ224" s="111">
        <v>0</v>
      </c>
      <c r="AK224" s="111">
        <v>0</v>
      </c>
      <c r="AL224" s="112">
        <f t="shared" ca="1" si="262"/>
        <v>0</v>
      </c>
      <c r="AM224" s="112">
        <f t="shared" si="263"/>
        <v>0</v>
      </c>
      <c r="AN224" s="80">
        <f t="shared" si="264"/>
        <v>2</v>
      </c>
      <c r="AO224" s="12">
        <f t="shared" si="265"/>
        <v>2</v>
      </c>
      <c r="AP224" s="10">
        <v>0</v>
      </c>
      <c r="AQ224" s="10">
        <v>0</v>
      </c>
      <c r="AR224" s="12">
        <f t="shared" si="266"/>
        <v>0</v>
      </c>
      <c r="AS224" s="12">
        <f t="shared" si="267"/>
        <v>0</v>
      </c>
      <c r="AT224" s="13">
        <f t="shared" si="268"/>
        <v>2</v>
      </c>
      <c r="AU224" s="12">
        <f t="shared" si="269"/>
        <v>2</v>
      </c>
      <c r="AV224" s="10">
        <v>0</v>
      </c>
      <c r="AW224" s="10">
        <v>0</v>
      </c>
      <c r="AX224" s="12">
        <f t="shared" si="270"/>
        <v>0</v>
      </c>
      <c r="AY224" s="12">
        <f t="shared" si="271"/>
        <v>0</v>
      </c>
      <c r="AZ224" s="32">
        <f t="shared" si="272"/>
        <v>2</v>
      </c>
      <c r="BA224" s="12">
        <f t="shared" si="273"/>
        <v>2</v>
      </c>
      <c r="BB224" s="10">
        <v>0</v>
      </c>
      <c r="BC224" s="10">
        <v>0</v>
      </c>
      <c r="BD224" s="12">
        <f t="shared" si="274"/>
        <v>0</v>
      </c>
      <c r="BE224" s="12">
        <f t="shared" si="275"/>
        <v>0</v>
      </c>
      <c r="BF224" s="32">
        <f t="shared" si="294"/>
        <v>2</v>
      </c>
      <c r="BG224" s="68">
        <f t="shared" si="277"/>
        <v>2</v>
      </c>
      <c r="BH224" s="70">
        <v>0</v>
      </c>
      <c r="BI224" s="70">
        <v>0</v>
      </c>
      <c r="BJ224" s="67">
        <f t="shared" si="278"/>
        <v>0</v>
      </c>
      <c r="BK224" s="67">
        <f t="shared" si="279"/>
        <v>0</v>
      </c>
      <c r="BL224" s="32">
        <f t="shared" si="295"/>
        <v>2</v>
      </c>
      <c r="BM224" s="68">
        <f t="shared" si="281"/>
        <v>2</v>
      </c>
      <c r="BN224" s="70">
        <v>0</v>
      </c>
      <c r="BO224" s="70">
        <v>0</v>
      </c>
      <c r="BP224" s="67">
        <f t="shared" si="282"/>
        <v>0</v>
      </c>
      <c r="BQ224" s="67">
        <f t="shared" si="283"/>
        <v>0</v>
      </c>
      <c r="BR224" s="32">
        <f t="shared" si="296"/>
        <v>2</v>
      </c>
      <c r="BS224" s="68">
        <f t="shared" si="285"/>
        <v>2</v>
      </c>
      <c r="BT224" s="70">
        <v>0</v>
      </c>
      <c r="BU224" s="70">
        <v>0</v>
      </c>
      <c r="BV224" s="67">
        <f t="shared" si="286"/>
        <v>0</v>
      </c>
      <c r="BW224" s="67">
        <f t="shared" si="287"/>
        <v>0</v>
      </c>
      <c r="BX224" s="32">
        <f t="shared" si="297"/>
        <v>2</v>
      </c>
      <c r="BY224" s="68">
        <f t="shared" si="289"/>
        <v>2</v>
      </c>
      <c r="BZ224" s="70">
        <v>0</v>
      </c>
      <c r="CA224" s="70">
        <v>0</v>
      </c>
      <c r="CB224" s="67">
        <f t="shared" si="290"/>
        <v>0</v>
      </c>
      <c r="CC224" s="43">
        <f t="shared" si="291"/>
        <v>0</v>
      </c>
      <c r="CD224" s="32">
        <f t="shared" si="298"/>
        <v>2</v>
      </c>
      <c r="CE224" s="71">
        <f t="shared" si="293"/>
        <v>2</v>
      </c>
      <c r="CF224" s="1"/>
    </row>
    <row r="225" spans="1:83" ht="80.25" customHeight="1">
      <c r="A225" s="148" t="s">
        <v>715</v>
      </c>
      <c r="B225" s="148" t="s">
        <v>716</v>
      </c>
      <c r="C225" s="151" t="s">
        <v>717</v>
      </c>
      <c r="D225" s="148" t="s">
        <v>181</v>
      </c>
      <c r="E225" s="149"/>
      <c r="F225" s="149"/>
      <c r="G225" s="149"/>
      <c r="H225" s="170">
        <v>2</v>
      </c>
      <c r="I225" s="159">
        <v>1</v>
      </c>
      <c r="J225" s="56"/>
      <c r="K225" s="12"/>
      <c r="L225" s="10"/>
      <c r="M225" s="10"/>
      <c r="N225" s="12"/>
      <c r="O225" s="12"/>
      <c r="P225" s="56"/>
      <c r="Q225" s="12"/>
      <c r="R225" s="10"/>
      <c r="S225" s="56"/>
      <c r="T225" s="12"/>
      <c r="U225" s="12"/>
      <c r="V225" s="56"/>
      <c r="W225" s="12"/>
      <c r="X225" s="10"/>
      <c r="Y225" s="10"/>
      <c r="Z225" s="12"/>
      <c r="AA225" s="12"/>
      <c r="AB225" s="18" t="s">
        <v>38</v>
      </c>
      <c r="AC225" s="168">
        <f t="shared" si="233"/>
        <v>2</v>
      </c>
      <c r="AD225" s="167">
        <v>0</v>
      </c>
      <c r="AE225" s="167">
        <v>0</v>
      </c>
      <c r="AF225" s="169">
        <f t="shared" si="258"/>
        <v>0</v>
      </c>
      <c r="AG225" s="118">
        <f t="shared" si="259"/>
        <v>0</v>
      </c>
      <c r="AH225" s="80">
        <f t="shared" si="260"/>
        <v>2</v>
      </c>
      <c r="AI225" s="128">
        <f t="shared" si="261"/>
        <v>2</v>
      </c>
      <c r="AJ225" s="111">
        <v>0</v>
      </c>
      <c r="AK225" s="111">
        <v>0</v>
      </c>
      <c r="AL225" s="112">
        <f t="shared" ca="1" si="262"/>
        <v>0</v>
      </c>
      <c r="AM225" s="112">
        <f t="shared" si="263"/>
        <v>0</v>
      </c>
      <c r="AN225" s="80">
        <f t="shared" si="264"/>
        <v>2</v>
      </c>
      <c r="AO225" s="12">
        <f t="shared" si="265"/>
        <v>2</v>
      </c>
      <c r="AP225" s="10">
        <v>0</v>
      </c>
      <c r="AQ225" s="10">
        <v>0</v>
      </c>
      <c r="AR225" s="12">
        <f t="shared" si="266"/>
        <v>0</v>
      </c>
      <c r="AS225" s="12">
        <f t="shared" si="267"/>
        <v>0</v>
      </c>
      <c r="AT225" s="13">
        <f t="shared" si="268"/>
        <v>2</v>
      </c>
      <c r="AU225" s="12">
        <f t="shared" si="269"/>
        <v>2</v>
      </c>
      <c r="AV225" s="10">
        <v>0</v>
      </c>
      <c r="AW225" s="10">
        <v>0</v>
      </c>
      <c r="AX225" s="12">
        <f t="shared" si="270"/>
        <v>0</v>
      </c>
      <c r="AY225" s="12">
        <f t="shared" si="271"/>
        <v>0</v>
      </c>
      <c r="AZ225" s="32">
        <f t="shared" si="272"/>
        <v>2</v>
      </c>
      <c r="BA225" s="12">
        <f t="shared" si="273"/>
        <v>2</v>
      </c>
      <c r="BB225" s="10">
        <v>0</v>
      </c>
      <c r="BC225" s="10">
        <v>0</v>
      </c>
      <c r="BD225" s="12">
        <f t="shared" si="274"/>
        <v>0</v>
      </c>
      <c r="BE225" s="12">
        <f t="shared" si="275"/>
        <v>0</v>
      </c>
      <c r="BF225" s="32">
        <f t="shared" si="294"/>
        <v>2</v>
      </c>
      <c r="BG225" s="68">
        <f t="shared" si="277"/>
        <v>2</v>
      </c>
      <c r="BH225" s="70">
        <v>0</v>
      </c>
      <c r="BI225" s="70">
        <v>0</v>
      </c>
      <c r="BJ225" s="67">
        <f t="shared" si="278"/>
        <v>0</v>
      </c>
      <c r="BK225" s="67">
        <f t="shared" si="279"/>
        <v>0</v>
      </c>
      <c r="BL225" s="32">
        <f t="shared" si="295"/>
        <v>2</v>
      </c>
      <c r="BM225" s="68">
        <f t="shared" si="281"/>
        <v>2</v>
      </c>
      <c r="BN225" s="70">
        <v>0</v>
      </c>
      <c r="BO225" s="70">
        <v>0</v>
      </c>
      <c r="BP225" s="67">
        <f t="shared" si="282"/>
        <v>0</v>
      </c>
      <c r="BQ225" s="67">
        <f t="shared" si="283"/>
        <v>0</v>
      </c>
      <c r="BR225" s="32">
        <f t="shared" si="296"/>
        <v>2</v>
      </c>
      <c r="BS225" s="68">
        <f t="shared" si="285"/>
        <v>2</v>
      </c>
      <c r="BT225" s="70">
        <v>0</v>
      </c>
      <c r="BU225" s="70">
        <v>0</v>
      </c>
      <c r="BV225" s="67">
        <f t="shared" si="286"/>
        <v>0</v>
      </c>
      <c r="BW225" s="67">
        <f t="shared" si="287"/>
        <v>0</v>
      </c>
      <c r="BX225" s="32">
        <f t="shared" si="297"/>
        <v>2</v>
      </c>
      <c r="BY225" s="68">
        <f t="shared" si="289"/>
        <v>2</v>
      </c>
      <c r="BZ225" s="70">
        <v>0</v>
      </c>
      <c r="CA225" s="70">
        <v>0</v>
      </c>
      <c r="CB225" s="67">
        <f t="shared" si="290"/>
        <v>0</v>
      </c>
      <c r="CC225" s="43">
        <f t="shared" si="291"/>
        <v>0</v>
      </c>
      <c r="CD225" s="32">
        <f t="shared" si="298"/>
        <v>2</v>
      </c>
      <c r="CE225" s="71">
        <f t="shared" si="293"/>
        <v>2</v>
      </c>
    </row>
    <row r="226" spans="1:83" ht="80.25" customHeight="1">
      <c r="A226" s="148" t="s">
        <v>718</v>
      </c>
      <c r="B226" s="148" t="s">
        <v>719</v>
      </c>
      <c r="C226" s="151" t="s">
        <v>720</v>
      </c>
      <c r="D226" s="148" t="s">
        <v>46</v>
      </c>
      <c r="E226" s="150"/>
      <c r="F226" s="150"/>
      <c r="G226" s="150"/>
      <c r="H226" s="170">
        <v>2</v>
      </c>
      <c r="I226" s="159">
        <v>1</v>
      </c>
      <c r="J226" s="56"/>
      <c r="K226" s="33"/>
      <c r="L226" s="10"/>
      <c r="M226" s="10"/>
      <c r="N226" s="33"/>
      <c r="O226" s="33"/>
      <c r="P226" s="56"/>
      <c r="Q226" s="33"/>
      <c r="R226" s="10"/>
      <c r="S226" s="56"/>
      <c r="T226" s="33"/>
      <c r="U226" s="33"/>
      <c r="V226" s="56"/>
      <c r="W226" s="33"/>
      <c r="X226" s="10"/>
      <c r="Y226" s="10"/>
      <c r="Z226" s="33"/>
      <c r="AA226" s="33"/>
      <c r="AB226" s="18" t="s">
        <v>38</v>
      </c>
      <c r="AC226" s="168">
        <f t="shared" si="233"/>
        <v>2</v>
      </c>
      <c r="AD226" s="167">
        <v>0</v>
      </c>
      <c r="AE226" s="167">
        <v>0</v>
      </c>
      <c r="AF226" s="169">
        <f t="shared" si="258"/>
        <v>0</v>
      </c>
      <c r="AG226" s="118">
        <f t="shared" si="259"/>
        <v>0</v>
      </c>
      <c r="AH226" s="80">
        <f t="shared" si="260"/>
        <v>2</v>
      </c>
      <c r="AI226" s="128">
        <f t="shared" si="261"/>
        <v>2</v>
      </c>
      <c r="AJ226" s="111">
        <v>0</v>
      </c>
      <c r="AK226" s="111">
        <v>0</v>
      </c>
      <c r="AL226" s="112">
        <f t="shared" ca="1" si="262"/>
        <v>0</v>
      </c>
      <c r="AM226" s="112">
        <f t="shared" si="263"/>
        <v>0</v>
      </c>
      <c r="AN226" s="80">
        <f t="shared" si="264"/>
        <v>2</v>
      </c>
      <c r="AO226" s="12">
        <f t="shared" si="265"/>
        <v>2</v>
      </c>
      <c r="AP226" s="10">
        <v>0</v>
      </c>
      <c r="AQ226" s="10">
        <v>0</v>
      </c>
      <c r="AR226" s="12">
        <f t="shared" si="266"/>
        <v>0</v>
      </c>
      <c r="AS226" s="12">
        <f t="shared" si="267"/>
        <v>0</v>
      </c>
      <c r="AT226" s="13">
        <f t="shared" si="268"/>
        <v>2</v>
      </c>
      <c r="AU226" s="12">
        <f t="shared" si="269"/>
        <v>2</v>
      </c>
      <c r="AV226" s="10">
        <v>0</v>
      </c>
      <c r="AW226" s="10">
        <v>0</v>
      </c>
      <c r="AX226" s="12">
        <f t="shared" si="270"/>
        <v>0</v>
      </c>
      <c r="AY226" s="12">
        <f t="shared" si="271"/>
        <v>0</v>
      </c>
      <c r="AZ226" s="32">
        <f t="shared" si="272"/>
        <v>2</v>
      </c>
      <c r="BA226" s="12">
        <f t="shared" si="273"/>
        <v>2</v>
      </c>
      <c r="BB226" s="10">
        <v>0</v>
      </c>
      <c r="BC226" s="10">
        <v>0</v>
      </c>
      <c r="BD226" s="12">
        <f t="shared" si="274"/>
        <v>0</v>
      </c>
      <c r="BE226" s="12">
        <f t="shared" si="275"/>
        <v>0</v>
      </c>
      <c r="BF226" s="32">
        <f t="shared" si="294"/>
        <v>2</v>
      </c>
      <c r="BG226" s="68">
        <f t="shared" si="277"/>
        <v>2</v>
      </c>
      <c r="BH226" s="70">
        <v>0</v>
      </c>
      <c r="BI226" s="70">
        <v>0</v>
      </c>
      <c r="BJ226" s="67">
        <f t="shared" si="278"/>
        <v>0</v>
      </c>
      <c r="BK226" s="67">
        <f t="shared" si="279"/>
        <v>0</v>
      </c>
      <c r="BL226" s="32">
        <f t="shared" si="295"/>
        <v>2</v>
      </c>
      <c r="BM226" s="68">
        <f t="shared" si="281"/>
        <v>2</v>
      </c>
      <c r="BN226" s="70">
        <v>0</v>
      </c>
      <c r="BO226" s="70">
        <v>0</v>
      </c>
      <c r="BP226" s="67">
        <f t="shared" si="282"/>
        <v>0</v>
      </c>
      <c r="BQ226" s="67">
        <f t="shared" si="283"/>
        <v>0</v>
      </c>
      <c r="BR226" s="32">
        <f t="shared" si="296"/>
        <v>2</v>
      </c>
      <c r="BS226" s="68">
        <f t="shared" si="285"/>
        <v>2</v>
      </c>
      <c r="BT226" s="70">
        <v>0</v>
      </c>
      <c r="BU226" s="70">
        <v>0</v>
      </c>
      <c r="BV226" s="67">
        <f t="shared" si="286"/>
        <v>0</v>
      </c>
      <c r="BW226" s="67">
        <f t="shared" si="287"/>
        <v>0</v>
      </c>
      <c r="BX226" s="32">
        <f t="shared" si="297"/>
        <v>2</v>
      </c>
      <c r="BY226" s="68">
        <f t="shared" si="289"/>
        <v>2</v>
      </c>
      <c r="BZ226" s="70">
        <v>0</v>
      </c>
      <c r="CA226" s="70">
        <v>0</v>
      </c>
      <c r="CB226" s="67">
        <f t="shared" si="290"/>
        <v>0</v>
      </c>
      <c r="CC226" s="43">
        <f t="shared" si="291"/>
        <v>0</v>
      </c>
      <c r="CD226" s="32">
        <f t="shared" si="298"/>
        <v>2</v>
      </c>
      <c r="CE226" s="71">
        <f t="shared" si="293"/>
        <v>2</v>
      </c>
    </row>
    <row r="227" spans="1:83" ht="80.25" customHeight="1">
      <c r="A227" s="148" t="s">
        <v>721</v>
      </c>
      <c r="B227" s="148" t="s">
        <v>722</v>
      </c>
      <c r="C227" s="151" t="s">
        <v>723</v>
      </c>
      <c r="D227" s="148" t="s">
        <v>171</v>
      </c>
      <c r="E227" s="149"/>
      <c r="F227" s="149"/>
      <c r="G227" s="149"/>
      <c r="H227" s="170">
        <v>2</v>
      </c>
      <c r="I227" s="159">
        <v>1</v>
      </c>
      <c r="J227" s="56"/>
      <c r="K227" s="12"/>
      <c r="L227" s="10"/>
      <c r="M227" s="10"/>
      <c r="N227" s="12"/>
      <c r="O227" s="12"/>
      <c r="P227" s="56"/>
      <c r="Q227" s="12"/>
      <c r="R227" s="10"/>
      <c r="S227" s="56"/>
      <c r="T227" s="12"/>
      <c r="U227" s="12"/>
      <c r="V227" s="56"/>
      <c r="W227" s="12"/>
      <c r="X227" s="10"/>
      <c r="Y227" s="10"/>
      <c r="Z227" s="12"/>
      <c r="AA227" s="12"/>
      <c r="AB227" s="18" t="s">
        <v>38</v>
      </c>
      <c r="AC227" s="168">
        <f t="shared" si="233"/>
        <v>2</v>
      </c>
      <c r="AD227" s="167">
        <v>0</v>
      </c>
      <c r="AE227" s="167">
        <v>0</v>
      </c>
      <c r="AF227" s="169">
        <f t="shared" si="258"/>
        <v>0</v>
      </c>
      <c r="AG227" s="118">
        <f t="shared" si="259"/>
        <v>0</v>
      </c>
      <c r="AH227" s="80">
        <f t="shared" si="260"/>
        <v>2</v>
      </c>
      <c r="AI227" s="128">
        <f t="shared" si="261"/>
        <v>2</v>
      </c>
      <c r="AJ227" s="111">
        <v>0</v>
      </c>
      <c r="AK227" s="111">
        <v>0</v>
      </c>
      <c r="AL227" s="112">
        <f t="shared" ca="1" si="262"/>
        <v>0</v>
      </c>
      <c r="AM227" s="112">
        <f t="shared" si="263"/>
        <v>0</v>
      </c>
      <c r="AN227" s="80">
        <f t="shared" si="264"/>
        <v>2</v>
      </c>
      <c r="AO227" s="12">
        <f t="shared" si="265"/>
        <v>2</v>
      </c>
      <c r="AP227" s="10">
        <v>0</v>
      </c>
      <c r="AQ227" s="10">
        <v>0</v>
      </c>
      <c r="AR227" s="12">
        <f t="shared" si="266"/>
        <v>0</v>
      </c>
      <c r="AS227" s="12">
        <f t="shared" si="267"/>
        <v>0</v>
      </c>
      <c r="AT227" s="13">
        <f t="shared" si="268"/>
        <v>2</v>
      </c>
      <c r="AU227" s="12">
        <f t="shared" si="269"/>
        <v>2</v>
      </c>
      <c r="AV227" s="10">
        <v>0</v>
      </c>
      <c r="AW227" s="10">
        <v>0</v>
      </c>
      <c r="AX227" s="12">
        <f t="shared" si="270"/>
        <v>0</v>
      </c>
      <c r="AY227" s="12">
        <f t="shared" si="271"/>
        <v>0</v>
      </c>
      <c r="AZ227" s="32">
        <f t="shared" si="272"/>
        <v>2</v>
      </c>
      <c r="BA227" s="12">
        <f t="shared" si="273"/>
        <v>2</v>
      </c>
      <c r="BB227" s="10">
        <v>0</v>
      </c>
      <c r="BC227" s="10">
        <v>0</v>
      </c>
      <c r="BD227" s="12">
        <f t="shared" si="274"/>
        <v>0</v>
      </c>
      <c r="BE227" s="12">
        <f t="shared" si="275"/>
        <v>0</v>
      </c>
      <c r="BF227" s="32">
        <f t="shared" ref="BF227" si="299">AZ227-BB227+BC227</f>
        <v>2</v>
      </c>
      <c r="BG227" s="68">
        <f t="shared" si="277"/>
        <v>2</v>
      </c>
      <c r="BH227" s="70">
        <v>0</v>
      </c>
      <c r="BI227" s="70">
        <v>0</v>
      </c>
      <c r="BJ227" s="67">
        <f t="shared" si="278"/>
        <v>0</v>
      </c>
      <c r="BK227" s="67">
        <f t="shared" si="279"/>
        <v>0</v>
      </c>
      <c r="BL227" s="32">
        <f t="shared" ref="BL227" si="300">BF227-BH227+BI227</f>
        <v>2</v>
      </c>
      <c r="BM227" s="68">
        <f t="shared" si="281"/>
        <v>2</v>
      </c>
      <c r="BN227" s="70">
        <v>0</v>
      </c>
      <c r="BO227" s="70">
        <v>0</v>
      </c>
      <c r="BP227" s="67">
        <f t="shared" si="282"/>
        <v>0</v>
      </c>
      <c r="BQ227" s="67">
        <f t="shared" si="283"/>
        <v>0</v>
      </c>
      <c r="BR227" s="32">
        <f t="shared" ref="BR227" si="301">BL227-BN227+BO227</f>
        <v>2</v>
      </c>
      <c r="BS227" s="68">
        <f t="shared" si="285"/>
        <v>2</v>
      </c>
      <c r="BT227" s="70">
        <v>0</v>
      </c>
      <c r="BU227" s="70">
        <v>0</v>
      </c>
      <c r="BV227" s="67">
        <f t="shared" si="286"/>
        <v>0</v>
      </c>
      <c r="BW227" s="67">
        <f t="shared" si="287"/>
        <v>0</v>
      </c>
      <c r="BX227" s="32">
        <f t="shared" ref="BX227" si="302">BR227-BT227+BU227</f>
        <v>2</v>
      </c>
      <c r="BY227" s="68">
        <f t="shared" si="289"/>
        <v>2</v>
      </c>
      <c r="BZ227" s="70">
        <v>0</v>
      </c>
      <c r="CA227" s="70">
        <v>0</v>
      </c>
      <c r="CB227" s="67">
        <f t="shared" si="290"/>
        <v>0</v>
      </c>
      <c r="CC227" s="43">
        <f t="shared" si="291"/>
        <v>0</v>
      </c>
      <c r="CD227" s="32">
        <f t="shared" ref="CD227" si="303">BX227-BZ227+CA227</f>
        <v>2</v>
      </c>
      <c r="CE227" s="71">
        <f t="shared" si="293"/>
        <v>2</v>
      </c>
    </row>
    <row r="228" spans="1:83" ht="80.25" customHeight="1">
      <c r="A228" s="148" t="s">
        <v>724</v>
      </c>
      <c r="B228" s="148" t="s">
        <v>725</v>
      </c>
      <c r="C228" s="151" t="s">
        <v>726</v>
      </c>
      <c r="D228" s="148" t="s">
        <v>727</v>
      </c>
      <c r="E228" s="181"/>
      <c r="F228" s="181"/>
      <c r="G228" s="181"/>
      <c r="H228" s="170">
        <v>2</v>
      </c>
      <c r="I228" s="159">
        <v>1</v>
      </c>
      <c r="J228" s="56"/>
      <c r="K228" s="12"/>
      <c r="L228" s="10"/>
      <c r="M228" s="10"/>
      <c r="N228" s="12"/>
      <c r="O228" s="12"/>
      <c r="P228" s="56"/>
      <c r="Q228" s="12"/>
      <c r="R228" s="10"/>
      <c r="S228" s="56"/>
      <c r="T228" s="12"/>
      <c r="U228" s="12"/>
      <c r="V228" s="56"/>
      <c r="W228" s="12"/>
      <c r="X228" s="10"/>
      <c r="Y228" s="10"/>
      <c r="Z228" s="12"/>
      <c r="AA228" s="12"/>
      <c r="AB228" s="18" t="s">
        <v>38</v>
      </c>
      <c r="AC228" s="168">
        <f t="shared" si="233"/>
        <v>2</v>
      </c>
      <c r="AD228" s="167">
        <v>0</v>
      </c>
      <c r="AE228" s="167">
        <v>0</v>
      </c>
      <c r="AF228" s="169">
        <f t="shared" si="258"/>
        <v>0</v>
      </c>
      <c r="AG228" s="118">
        <f t="shared" si="259"/>
        <v>0</v>
      </c>
      <c r="AH228" s="80">
        <f t="shared" si="260"/>
        <v>2</v>
      </c>
      <c r="AI228" s="128">
        <f t="shared" si="261"/>
        <v>2</v>
      </c>
      <c r="AJ228" s="111">
        <v>0</v>
      </c>
      <c r="AK228" s="111">
        <v>0</v>
      </c>
      <c r="AL228" s="112">
        <f t="shared" ca="1" si="262"/>
        <v>0</v>
      </c>
      <c r="AM228" s="112">
        <f t="shared" si="263"/>
        <v>0</v>
      </c>
      <c r="AN228" s="80">
        <f t="shared" si="264"/>
        <v>2</v>
      </c>
      <c r="AO228" s="12">
        <f t="shared" si="265"/>
        <v>2</v>
      </c>
      <c r="AP228" s="10">
        <v>0</v>
      </c>
      <c r="AQ228" s="10">
        <v>0</v>
      </c>
      <c r="AR228" s="12">
        <f t="shared" si="266"/>
        <v>0</v>
      </c>
      <c r="AS228" s="12">
        <f t="shared" si="267"/>
        <v>0</v>
      </c>
      <c r="AT228" s="13">
        <f t="shared" si="268"/>
        <v>2</v>
      </c>
      <c r="AU228" s="12">
        <f t="shared" si="269"/>
        <v>2</v>
      </c>
      <c r="AV228" s="10">
        <v>0</v>
      </c>
      <c r="AW228" s="10">
        <v>0</v>
      </c>
      <c r="AX228" s="12">
        <f t="shared" si="270"/>
        <v>0</v>
      </c>
      <c r="AY228" s="12">
        <f t="shared" si="271"/>
        <v>0</v>
      </c>
      <c r="AZ228" s="32">
        <f t="shared" si="272"/>
        <v>2</v>
      </c>
      <c r="BA228" s="12">
        <f t="shared" si="273"/>
        <v>2</v>
      </c>
      <c r="BB228" s="10">
        <v>0</v>
      </c>
      <c r="BC228" s="10">
        <v>0</v>
      </c>
      <c r="BD228" s="12">
        <f t="shared" si="274"/>
        <v>0</v>
      </c>
      <c r="BE228" s="12">
        <f t="shared" si="275"/>
        <v>0</v>
      </c>
      <c r="BF228" s="32">
        <f t="shared" ref="BF228" si="304">AZ228-BB228+BC228</f>
        <v>2</v>
      </c>
      <c r="BG228" s="68">
        <f t="shared" si="277"/>
        <v>2</v>
      </c>
      <c r="BH228" s="70">
        <v>0</v>
      </c>
      <c r="BI228" s="70">
        <v>0</v>
      </c>
      <c r="BJ228" s="67">
        <f t="shared" si="278"/>
        <v>0</v>
      </c>
      <c r="BK228" s="67">
        <f t="shared" si="279"/>
        <v>0</v>
      </c>
      <c r="BL228" s="32">
        <f t="shared" ref="BL228" si="305">BF228-BH228+BI228</f>
        <v>2</v>
      </c>
      <c r="BM228" s="68">
        <f t="shared" si="281"/>
        <v>2</v>
      </c>
      <c r="BN228" s="70">
        <v>0</v>
      </c>
      <c r="BO228" s="70">
        <v>0</v>
      </c>
      <c r="BP228" s="67">
        <f t="shared" si="282"/>
        <v>0</v>
      </c>
      <c r="BQ228" s="67">
        <f t="shared" si="283"/>
        <v>0</v>
      </c>
      <c r="BR228" s="32">
        <f t="shared" ref="BR228" si="306">BL228-BN228+BO228</f>
        <v>2</v>
      </c>
      <c r="BS228" s="68">
        <f t="shared" si="285"/>
        <v>2</v>
      </c>
      <c r="BT228" s="70">
        <v>0</v>
      </c>
      <c r="BU228" s="70">
        <v>0</v>
      </c>
      <c r="BV228" s="67">
        <f t="shared" si="286"/>
        <v>0</v>
      </c>
      <c r="BW228" s="67">
        <f t="shared" si="287"/>
        <v>0</v>
      </c>
      <c r="BX228" s="32">
        <f t="shared" ref="BX228" si="307">BR228-BT228+BU228</f>
        <v>2</v>
      </c>
      <c r="BY228" s="68">
        <f t="shared" si="289"/>
        <v>2</v>
      </c>
      <c r="BZ228" s="70">
        <v>0</v>
      </c>
      <c r="CA228" s="70">
        <v>0</v>
      </c>
      <c r="CB228" s="67">
        <f t="shared" si="290"/>
        <v>0</v>
      </c>
      <c r="CC228" s="43">
        <f t="shared" si="291"/>
        <v>0</v>
      </c>
      <c r="CD228" s="32">
        <f t="shared" ref="CD228" si="308">BX228-BZ228+CA228</f>
        <v>2</v>
      </c>
      <c r="CE228" s="71">
        <f t="shared" si="293"/>
        <v>2</v>
      </c>
    </row>
    <row r="229" spans="1:83" ht="49.5" customHeight="1">
      <c r="A229" s="148" t="s">
        <v>728</v>
      </c>
      <c r="B229" s="148" t="s">
        <v>729</v>
      </c>
      <c r="C229" s="151" t="s">
        <v>730</v>
      </c>
      <c r="D229" s="148" t="s">
        <v>731</v>
      </c>
      <c r="E229" s="181"/>
      <c r="F229" s="181"/>
      <c r="G229" s="181"/>
      <c r="H229" s="170">
        <v>2</v>
      </c>
      <c r="I229" s="159">
        <v>1</v>
      </c>
      <c r="J229" s="56"/>
      <c r="K229" s="12"/>
      <c r="L229" s="10"/>
      <c r="M229" s="10"/>
      <c r="N229" s="12"/>
      <c r="O229" s="12"/>
      <c r="P229" s="56"/>
      <c r="Q229" s="12"/>
      <c r="R229" s="10"/>
      <c r="S229" s="56"/>
      <c r="T229" s="12"/>
      <c r="U229" s="12"/>
      <c r="V229" s="56"/>
      <c r="W229" s="12"/>
      <c r="X229" s="10"/>
      <c r="Y229" s="10"/>
      <c r="Z229" s="12"/>
      <c r="AA229" s="12"/>
      <c r="AB229" s="18" t="s">
        <v>38</v>
      </c>
      <c r="AC229" s="168">
        <f t="shared" si="233"/>
        <v>2</v>
      </c>
      <c r="AD229" s="167">
        <v>0</v>
      </c>
      <c r="AE229" s="167">
        <v>0</v>
      </c>
      <c r="AF229" s="169">
        <f t="shared" si="258"/>
        <v>0</v>
      </c>
      <c r="AG229" s="118">
        <f t="shared" si="259"/>
        <v>0</v>
      </c>
      <c r="AH229" s="80">
        <f t="shared" si="260"/>
        <v>2</v>
      </c>
      <c r="AI229" s="128">
        <f t="shared" si="261"/>
        <v>2</v>
      </c>
      <c r="AJ229" s="111">
        <v>0</v>
      </c>
      <c r="AK229" s="111">
        <v>0</v>
      </c>
      <c r="AL229" s="112">
        <f t="shared" ca="1" si="262"/>
        <v>0</v>
      </c>
      <c r="AM229" s="112">
        <f t="shared" si="263"/>
        <v>0</v>
      </c>
      <c r="AN229" s="80">
        <f t="shared" si="264"/>
        <v>2</v>
      </c>
      <c r="AO229" s="12">
        <f t="shared" si="265"/>
        <v>2</v>
      </c>
      <c r="AP229" s="10">
        <v>0</v>
      </c>
      <c r="AQ229" s="10">
        <v>0</v>
      </c>
      <c r="AR229" s="12">
        <f t="shared" si="266"/>
        <v>0</v>
      </c>
      <c r="AS229" s="12">
        <f t="shared" si="267"/>
        <v>0</v>
      </c>
      <c r="AT229" s="13">
        <f t="shared" si="268"/>
        <v>2</v>
      </c>
      <c r="AU229" s="12">
        <f t="shared" si="269"/>
        <v>2</v>
      </c>
      <c r="AV229" s="10">
        <v>0</v>
      </c>
      <c r="AW229" s="10">
        <v>0</v>
      </c>
      <c r="AX229" s="12">
        <f t="shared" si="270"/>
        <v>0</v>
      </c>
      <c r="AY229" s="12">
        <f t="shared" si="271"/>
        <v>0</v>
      </c>
      <c r="AZ229" s="32">
        <f t="shared" si="272"/>
        <v>2</v>
      </c>
      <c r="BA229" s="12">
        <f t="shared" si="273"/>
        <v>2</v>
      </c>
      <c r="BB229" s="10">
        <v>0</v>
      </c>
      <c r="BC229" s="10">
        <v>0</v>
      </c>
      <c r="BD229" s="12">
        <f t="shared" si="274"/>
        <v>0</v>
      </c>
      <c r="BE229" s="12">
        <f t="shared" si="275"/>
        <v>0</v>
      </c>
      <c r="BF229" s="32">
        <f t="shared" ref="BF229" si="309">AZ229-BB229+BC229</f>
        <v>2</v>
      </c>
      <c r="BG229" s="68">
        <f t="shared" si="277"/>
        <v>2</v>
      </c>
      <c r="BH229" s="70">
        <v>0</v>
      </c>
      <c r="BI229" s="70">
        <v>0</v>
      </c>
      <c r="BJ229" s="67">
        <f t="shared" si="278"/>
        <v>0</v>
      </c>
      <c r="BK229" s="67">
        <f t="shared" si="279"/>
        <v>0</v>
      </c>
      <c r="BL229" s="32">
        <f t="shared" ref="BL229" si="310">BF229-BH229+BI229</f>
        <v>2</v>
      </c>
      <c r="BM229" s="68">
        <f t="shared" si="281"/>
        <v>2</v>
      </c>
      <c r="BN229" s="70">
        <v>0</v>
      </c>
      <c r="BO229" s="70">
        <v>0</v>
      </c>
      <c r="BP229" s="67">
        <f t="shared" si="282"/>
        <v>0</v>
      </c>
      <c r="BQ229" s="67">
        <f t="shared" si="283"/>
        <v>0</v>
      </c>
      <c r="BR229" s="32">
        <f t="shared" ref="BR229" si="311">BL229-BN229+BO229</f>
        <v>2</v>
      </c>
      <c r="BS229" s="68">
        <f t="shared" si="285"/>
        <v>2</v>
      </c>
      <c r="BT229" s="70">
        <v>0</v>
      </c>
      <c r="BU229" s="70">
        <v>0</v>
      </c>
      <c r="BV229" s="67">
        <f t="shared" si="286"/>
        <v>0</v>
      </c>
      <c r="BW229" s="67">
        <f t="shared" si="287"/>
        <v>0</v>
      </c>
      <c r="BX229" s="32">
        <f t="shared" ref="BX229" si="312">BR229-BT229+BU229</f>
        <v>2</v>
      </c>
      <c r="BY229" s="68">
        <f t="shared" si="289"/>
        <v>2</v>
      </c>
      <c r="BZ229" s="70">
        <v>0</v>
      </c>
      <c r="CA229" s="70">
        <v>0</v>
      </c>
      <c r="CB229" s="67">
        <f t="shared" si="290"/>
        <v>0</v>
      </c>
      <c r="CC229" s="43">
        <f t="shared" si="291"/>
        <v>0</v>
      </c>
      <c r="CD229" s="32">
        <f t="shared" ref="CD229" si="313">BX229-BZ229+CA229</f>
        <v>2</v>
      </c>
      <c r="CE229" s="71">
        <f t="shared" si="293"/>
        <v>2</v>
      </c>
    </row>
    <row r="230" spans="1:83" ht="57.95">
      <c r="A230" s="148" t="s">
        <v>732</v>
      </c>
      <c r="B230" s="148" t="s">
        <v>733</v>
      </c>
      <c r="C230" s="151" t="s">
        <v>734</v>
      </c>
      <c r="D230" s="148" t="s">
        <v>46</v>
      </c>
      <c r="E230" s="149"/>
      <c r="F230" s="149"/>
      <c r="G230" s="149"/>
      <c r="H230" s="170">
        <v>1</v>
      </c>
      <c r="I230" s="159">
        <v>1</v>
      </c>
      <c r="J230" s="56"/>
      <c r="K230" s="12"/>
      <c r="L230" s="10"/>
      <c r="M230" s="10"/>
      <c r="N230" s="12"/>
      <c r="O230" s="12"/>
      <c r="P230" s="56"/>
      <c r="Q230" s="12"/>
      <c r="R230" s="10"/>
      <c r="S230" s="56"/>
      <c r="T230" s="12"/>
      <c r="U230" s="12"/>
      <c r="V230" s="56"/>
      <c r="W230" s="12"/>
      <c r="X230" s="10"/>
      <c r="Y230" s="10"/>
      <c r="Z230" s="12"/>
      <c r="AA230" s="12"/>
      <c r="AB230" s="18" t="s">
        <v>33</v>
      </c>
      <c r="AC230" s="168">
        <f t="shared" si="233"/>
        <v>1</v>
      </c>
      <c r="AD230" s="167">
        <v>0</v>
      </c>
      <c r="AE230" s="167">
        <v>0</v>
      </c>
      <c r="AF230" s="169">
        <f t="shared" si="258"/>
        <v>0</v>
      </c>
      <c r="AG230" s="118">
        <f t="shared" si="259"/>
        <v>0</v>
      </c>
      <c r="AH230" s="80">
        <f t="shared" si="260"/>
        <v>1</v>
      </c>
      <c r="AI230" s="128">
        <f t="shared" si="261"/>
        <v>1</v>
      </c>
      <c r="AJ230" s="111">
        <v>0</v>
      </c>
      <c r="AK230" s="111">
        <v>0</v>
      </c>
      <c r="AL230" s="112">
        <f t="shared" ca="1" si="262"/>
        <v>0</v>
      </c>
      <c r="AM230" s="112">
        <f t="shared" si="263"/>
        <v>0</v>
      </c>
      <c r="AN230" s="80">
        <f t="shared" si="264"/>
        <v>1</v>
      </c>
      <c r="AO230" s="12">
        <f t="shared" si="265"/>
        <v>1</v>
      </c>
      <c r="AP230" s="10">
        <v>0</v>
      </c>
      <c r="AQ230" s="10">
        <v>0</v>
      </c>
      <c r="AR230" s="12">
        <f t="shared" si="266"/>
        <v>0</v>
      </c>
      <c r="AS230" s="12">
        <f t="shared" si="267"/>
        <v>0</v>
      </c>
      <c r="AT230" s="13">
        <f t="shared" si="268"/>
        <v>1</v>
      </c>
      <c r="AU230" s="12">
        <f t="shared" si="269"/>
        <v>1</v>
      </c>
      <c r="AV230" s="10">
        <v>0</v>
      </c>
      <c r="AW230" s="10">
        <v>0</v>
      </c>
      <c r="AX230" s="12">
        <f t="shared" si="270"/>
        <v>0</v>
      </c>
      <c r="AY230" s="12">
        <f t="shared" si="271"/>
        <v>0</v>
      </c>
      <c r="AZ230" s="32">
        <f t="shared" si="272"/>
        <v>1</v>
      </c>
      <c r="BA230" s="12">
        <f t="shared" si="273"/>
        <v>1</v>
      </c>
      <c r="BB230" s="10">
        <v>0</v>
      </c>
      <c r="BC230" s="10">
        <v>0</v>
      </c>
      <c r="BD230" s="12">
        <f t="shared" si="274"/>
        <v>0</v>
      </c>
      <c r="BE230" s="12">
        <f t="shared" si="275"/>
        <v>0</v>
      </c>
      <c r="BF230" s="32">
        <f t="shared" ref="BF230" si="314">AZ230-BB230+BC230</f>
        <v>1</v>
      </c>
      <c r="BG230" s="68">
        <f t="shared" si="277"/>
        <v>1</v>
      </c>
      <c r="BH230" s="70">
        <v>0</v>
      </c>
      <c r="BI230" s="70">
        <v>0</v>
      </c>
      <c r="BJ230" s="67">
        <f t="shared" si="278"/>
        <v>0</v>
      </c>
      <c r="BK230" s="67">
        <f t="shared" si="279"/>
        <v>0</v>
      </c>
      <c r="BL230" s="32">
        <f t="shared" ref="BL230" si="315">BF230-BH230+BI230</f>
        <v>1</v>
      </c>
      <c r="BM230" s="68">
        <f t="shared" si="281"/>
        <v>1</v>
      </c>
      <c r="BN230" s="70">
        <v>0</v>
      </c>
      <c r="BO230" s="70">
        <v>0</v>
      </c>
      <c r="BP230" s="67">
        <f t="shared" si="282"/>
        <v>0</v>
      </c>
      <c r="BQ230" s="67">
        <f t="shared" si="283"/>
        <v>0</v>
      </c>
      <c r="BR230" s="32">
        <f t="shared" ref="BR230" si="316">BL230-BN230+BO230</f>
        <v>1</v>
      </c>
      <c r="BS230" s="68">
        <f t="shared" si="285"/>
        <v>1</v>
      </c>
      <c r="BT230" s="70">
        <v>0</v>
      </c>
      <c r="BU230" s="70">
        <v>0</v>
      </c>
      <c r="BV230" s="67">
        <f t="shared" si="286"/>
        <v>0</v>
      </c>
      <c r="BW230" s="67">
        <f t="shared" si="287"/>
        <v>0</v>
      </c>
      <c r="BX230" s="32">
        <f t="shared" ref="BX230" si="317">BR230-BT230+BU230</f>
        <v>1</v>
      </c>
      <c r="BY230" s="68">
        <f t="shared" si="289"/>
        <v>1</v>
      </c>
      <c r="BZ230" s="70">
        <v>0</v>
      </c>
      <c r="CA230" s="70">
        <v>0</v>
      </c>
      <c r="CB230" s="67">
        <f t="shared" si="290"/>
        <v>0</v>
      </c>
      <c r="CC230" s="43">
        <f t="shared" si="291"/>
        <v>0</v>
      </c>
      <c r="CD230" s="32">
        <f t="shared" ref="CD230" si="318">BX230-BZ230+CA230</f>
        <v>1</v>
      </c>
      <c r="CE230" s="71">
        <f t="shared" si="293"/>
        <v>1</v>
      </c>
    </row>
    <row r="231" spans="1:83" ht="57.95">
      <c r="A231" s="148" t="s">
        <v>735</v>
      </c>
      <c r="B231" s="148" t="s">
        <v>736</v>
      </c>
      <c r="C231" s="151" t="s">
        <v>737</v>
      </c>
      <c r="D231" s="148" t="s">
        <v>565</v>
      </c>
      <c r="E231" s="149"/>
      <c r="F231" s="149"/>
      <c r="G231" s="149"/>
      <c r="H231" s="170">
        <v>1</v>
      </c>
      <c r="I231" s="159">
        <v>1</v>
      </c>
      <c r="J231" s="56"/>
      <c r="K231" s="12"/>
      <c r="L231" s="10"/>
      <c r="M231" s="10"/>
      <c r="N231" s="12"/>
      <c r="O231" s="12"/>
      <c r="P231" s="56"/>
      <c r="Q231" s="12"/>
      <c r="R231" s="10"/>
      <c r="S231" s="56"/>
      <c r="T231" s="12"/>
      <c r="U231" s="12"/>
      <c r="V231" s="56"/>
      <c r="W231" s="12"/>
      <c r="X231" s="10"/>
      <c r="Y231" s="10"/>
      <c r="Z231" s="12"/>
      <c r="AA231" s="12"/>
      <c r="AB231" s="18" t="s">
        <v>33</v>
      </c>
      <c r="AC231" s="168">
        <f t="shared" si="233"/>
        <v>1</v>
      </c>
      <c r="AD231" s="167">
        <v>0</v>
      </c>
      <c r="AE231" s="167">
        <v>0</v>
      </c>
      <c r="AF231" s="169">
        <f t="shared" si="258"/>
        <v>0</v>
      </c>
      <c r="AG231" s="118">
        <f t="shared" si="259"/>
        <v>0</v>
      </c>
      <c r="AH231" s="80">
        <f t="shared" si="260"/>
        <v>1</v>
      </c>
      <c r="AI231" s="128">
        <f t="shared" si="261"/>
        <v>1</v>
      </c>
      <c r="AJ231" s="111">
        <v>0</v>
      </c>
      <c r="AK231" s="111">
        <v>0</v>
      </c>
      <c r="AL231" s="112">
        <f t="shared" ca="1" si="262"/>
        <v>0</v>
      </c>
      <c r="AM231" s="112">
        <f t="shared" si="263"/>
        <v>0</v>
      </c>
      <c r="AN231" s="80">
        <f t="shared" si="264"/>
        <v>1</v>
      </c>
      <c r="AO231" s="12">
        <f t="shared" si="265"/>
        <v>1</v>
      </c>
      <c r="AP231" s="10">
        <v>0</v>
      </c>
      <c r="AQ231" s="10">
        <v>0</v>
      </c>
      <c r="AR231" s="12">
        <f t="shared" si="266"/>
        <v>0</v>
      </c>
      <c r="AS231" s="12">
        <f t="shared" si="267"/>
        <v>0</v>
      </c>
      <c r="AT231" s="13">
        <f t="shared" si="268"/>
        <v>1</v>
      </c>
      <c r="AU231" s="12">
        <f t="shared" si="269"/>
        <v>1</v>
      </c>
      <c r="AV231" s="10">
        <v>0</v>
      </c>
      <c r="AW231" s="10">
        <v>0</v>
      </c>
      <c r="AX231" s="12">
        <f t="shared" si="270"/>
        <v>0</v>
      </c>
      <c r="AY231" s="12">
        <f t="shared" si="271"/>
        <v>0</v>
      </c>
      <c r="AZ231" s="32">
        <f t="shared" si="272"/>
        <v>1</v>
      </c>
      <c r="BA231" s="12">
        <f t="shared" si="273"/>
        <v>1</v>
      </c>
      <c r="BB231" s="10">
        <v>0</v>
      </c>
      <c r="BC231" s="10">
        <v>0</v>
      </c>
      <c r="BD231" s="12">
        <f t="shared" si="274"/>
        <v>0</v>
      </c>
      <c r="BE231" s="12">
        <f t="shared" si="275"/>
        <v>0</v>
      </c>
      <c r="BF231" s="32">
        <f t="shared" ref="BF231" si="319">AZ231-BB231+BC231</f>
        <v>1</v>
      </c>
      <c r="BG231" s="68">
        <f t="shared" si="277"/>
        <v>1</v>
      </c>
      <c r="BH231" s="70">
        <v>0</v>
      </c>
      <c r="BI231" s="70">
        <v>0</v>
      </c>
      <c r="BJ231" s="67">
        <f t="shared" si="278"/>
        <v>0</v>
      </c>
      <c r="BK231" s="67">
        <f t="shared" si="279"/>
        <v>0</v>
      </c>
      <c r="BL231" s="32">
        <f t="shared" ref="BL231" si="320">BF231-BH231+BI231</f>
        <v>1</v>
      </c>
      <c r="BM231" s="68">
        <f t="shared" si="281"/>
        <v>1</v>
      </c>
      <c r="BN231" s="70">
        <v>0</v>
      </c>
      <c r="BO231" s="70">
        <v>0</v>
      </c>
      <c r="BP231" s="67">
        <f t="shared" si="282"/>
        <v>0</v>
      </c>
      <c r="BQ231" s="67">
        <f t="shared" si="283"/>
        <v>0</v>
      </c>
      <c r="BR231" s="32">
        <f t="shared" ref="BR231" si="321">BL231-BN231+BO231</f>
        <v>1</v>
      </c>
      <c r="BS231" s="68">
        <f t="shared" si="285"/>
        <v>1</v>
      </c>
      <c r="BT231" s="70">
        <v>0</v>
      </c>
      <c r="BU231" s="70">
        <v>0</v>
      </c>
      <c r="BV231" s="67">
        <f t="shared" si="286"/>
        <v>0</v>
      </c>
      <c r="BW231" s="67">
        <f t="shared" si="287"/>
        <v>0</v>
      </c>
      <c r="BX231" s="32">
        <f t="shared" ref="BX231" si="322">BR231-BT231+BU231</f>
        <v>1</v>
      </c>
      <c r="BY231" s="68">
        <f t="shared" si="289"/>
        <v>1</v>
      </c>
      <c r="BZ231" s="70">
        <v>0</v>
      </c>
      <c r="CA231" s="70">
        <v>0</v>
      </c>
      <c r="CB231" s="67">
        <f t="shared" si="290"/>
        <v>0</v>
      </c>
      <c r="CC231" s="43">
        <f t="shared" si="291"/>
        <v>0</v>
      </c>
      <c r="CD231" s="32">
        <f t="shared" ref="CD231" si="323">BX231-BZ231+CA231</f>
        <v>1</v>
      </c>
      <c r="CE231" s="71">
        <f t="shared" si="293"/>
        <v>1</v>
      </c>
    </row>
    <row r="232" spans="1:83" ht="48" customHeight="1">
      <c r="A232" s="148" t="s">
        <v>738</v>
      </c>
      <c r="B232" s="148" t="s">
        <v>739</v>
      </c>
      <c r="C232" s="151" t="s">
        <v>740</v>
      </c>
      <c r="D232" s="148" t="s">
        <v>36</v>
      </c>
      <c r="E232" s="149"/>
      <c r="F232" s="149"/>
      <c r="G232" s="149"/>
      <c r="H232" s="170">
        <v>25</v>
      </c>
      <c r="I232" s="159">
        <v>1</v>
      </c>
      <c r="J232" s="56"/>
      <c r="K232" s="12"/>
      <c r="L232" s="10"/>
      <c r="M232" s="10"/>
      <c r="N232" s="12"/>
      <c r="O232" s="12"/>
      <c r="P232" s="56"/>
      <c r="Q232" s="12"/>
      <c r="R232" s="10"/>
      <c r="S232" s="56"/>
      <c r="T232" s="12"/>
      <c r="U232" s="12"/>
      <c r="V232" s="56"/>
      <c r="W232" s="12"/>
      <c r="X232" s="10"/>
      <c r="Y232" s="10"/>
      <c r="Z232" s="12"/>
      <c r="AA232" s="12"/>
      <c r="AB232" s="18" t="s">
        <v>137</v>
      </c>
      <c r="AC232" s="168">
        <f t="shared" si="233"/>
        <v>25</v>
      </c>
      <c r="AD232" s="167">
        <v>0</v>
      </c>
      <c r="AE232" s="167">
        <v>0</v>
      </c>
      <c r="AF232" s="169">
        <f t="shared" si="258"/>
        <v>0</v>
      </c>
      <c r="AG232" s="118">
        <f t="shared" si="259"/>
        <v>0</v>
      </c>
      <c r="AH232" s="80">
        <f t="shared" si="260"/>
        <v>25</v>
      </c>
      <c r="AI232" s="128">
        <f t="shared" si="261"/>
        <v>25</v>
      </c>
      <c r="AJ232" s="111">
        <v>0</v>
      </c>
      <c r="AK232" s="111">
        <v>0</v>
      </c>
      <c r="AL232" s="112">
        <f t="shared" ca="1" si="262"/>
        <v>0</v>
      </c>
      <c r="AM232" s="112">
        <f t="shared" si="263"/>
        <v>0</v>
      </c>
      <c r="AN232" s="80">
        <f t="shared" si="264"/>
        <v>25</v>
      </c>
      <c r="AO232" s="12">
        <f t="shared" si="265"/>
        <v>25</v>
      </c>
      <c r="AP232" s="10">
        <v>0</v>
      </c>
      <c r="AQ232" s="10">
        <v>0</v>
      </c>
      <c r="AR232" s="12">
        <f t="shared" si="266"/>
        <v>0</v>
      </c>
      <c r="AS232" s="12">
        <f t="shared" si="267"/>
        <v>0</v>
      </c>
      <c r="AT232" s="13">
        <f t="shared" si="268"/>
        <v>25</v>
      </c>
      <c r="AU232" s="12">
        <f t="shared" si="269"/>
        <v>25</v>
      </c>
      <c r="AV232" s="10">
        <v>0</v>
      </c>
      <c r="AW232" s="10">
        <v>0</v>
      </c>
      <c r="AX232" s="12">
        <f t="shared" si="270"/>
        <v>0</v>
      </c>
      <c r="AY232" s="12">
        <f t="shared" si="271"/>
        <v>0</v>
      </c>
      <c r="AZ232" s="32">
        <f t="shared" si="272"/>
        <v>25</v>
      </c>
      <c r="BA232" s="12">
        <f t="shared" si="273"/>
        <v>25</v>
      </c>
      <c r="BB232" s="10">
        <v>0</v>
      </c>
      <c r="BC232" s="10">
        <v>0</v>
      </c>
      <c r="BD232" s="12">
        <f t="shared" si="274"/>
        <v>0</v>
      </c>
      <c r="BE232" s="12">
        <f t="shared" si="275"/>
        <v>0</v>
      </c>
      <c r="BF232" s="32">
        <f t="shared" ref="BF232" si="324">AZ232-BB232+BC232</f>
        <v>25</v>
      </c>
      <c r="BG232" s="68">
        <f t="shared" si="277"/>
        <v>25</v>
      </c>
      <c r="BH232" s="70">
        <v>0</v>
      </c>
      <c r="BI232" s="70">
        <v>0</v>
      </c>
      <c r="BJ232" s="67">
        <f t="shared" si="278"/>
        <v>0</v>
      </c>
      <c r="BK232" s="67">
        <f t="shared" si="279"/>
        <v>0</v>
      </c>
      <c r="BL232" s="32">
        <f t="shared" ref="BL232" si="325">BF232-BH232+BI232</f>
        <v>25</v>
      </c>
      <c r="BM232" s="68">
        <f t="shared" si="281"/>
        <v>25</v>
      </c>
      <c r="BN232" s="70">
        <v>0</v>
      </c>
      <c r="BO232" s="70">
        <v>0</v>
      </c>
      <c r="BP232" s="67">
        <f t="shared" si="282"/>
        <v>0</v>
      </c>
      <c r="BQ232" s="67">
        <f t="shared" si="283"/>
        <v>0</v>
      </c>
      <c r="BR232" s="32">
        <f t="shared" ref="BR232" si="326">BL232-BN232+BO232</f>
        <v>25</v>
      </c>
      <c r="BS232" s="68">
        <f t="shared" si="285"/>
        <v>25</v>
      </c>
      <c r="BT232" s="70">
        <v>0</v>
      </c>
      <c r="BU232" s="70">
        <v>0</v>
      </c>
      <c r="BV232" s="67">
        <f t="shared" si="286"/>
        <v>0</v>
      </c>
      <c r="BW232" s="67">
        <f t="shared" si="287"/>
        <v>0</v>
      </c>
      <c r="BX232" s="32">
        <f t="shared" ref="BX232" si="327">BR232-BT232+BU232</f>
        <v>25</v>
      </c>
      <c r="BY232" s="68">
        <f t="shared" si="289"/>
        <v>25</v>
      </c>
      <c r="BZ232" s="70">
        <v>0</v>
      </c>
      <c r="CA232" s="70">
        <v>0</v>
      </c>
      <c r="CB232" s="67">
        <f t="shared" si="290"/>
        <v>0</v>
      </c>
      <c r="CC232" s="43">
        <f t="shared" si="291"/>
        <v>0</v>
      </c>
      <c r="CD232" s="32">
        <f t="shared" ref="CD232" si="328">BX232-BZ232+CA232</f>
        <v>25</v>
      </c>
      <c r="CE232" s="71">
        <f t="shared" si="293"/>
        <v>25</v>
      </c>
    </row>
    <row r="233" spans="1:83" ht="48" customHeight="1">
      <c r="A233" s="148" t="s">
        <v>741</v>
      </c>
      <c r="B233" s="148" t="s">
        <v>742</v>
      </c>
      <c r="C233" s="151" t="s">
        <v>743</v>
      </c>
      <c r="D233" s="148" t="s">
        <v>63</v>
      </c>
      <c r="E233" s="149"/>
      <c r="F233" s="149"/>
      <c r="G233" s="149"/>
      <c r="H233" s="170">
        <v>2</v>
      </c>
      <c r="I233" s="159">
        <v>1</v>
      </c>
      <c r="J233" s="56"/>
      <c r="K233" s="12"/>
      <c r="L233" s="10"/>
      <c r="M233" s="10"/>
      <c r="N233" s="12"/>
      <c r="O233" s="12"/>
      <c r="P233" s="56"/>
      <c r="Q233" s="12"/>
      <c r="R233" s="10"/>
      <c r="S233" s="56"/>
      <c r="T233" s="12"/>
      <c r="U233" s="12"/>
      <c r="V233" s="56"/>
      <c r="W233" s="12"/>
      <c r="X233" s="10"/>
      <c r="Y233" s="10"/>
      <c r="Z233" s="12"/>
      <c r="AA233" s="12"/>
      <c r="AB233" s="18" t="s">
        <v>38</v>
      </c>
      <c r="AC233" s="168">
        <f t="shared" si="233"/>
        <v>2</v>
      </c>
      <c r="AD233" s="167">
        <v>0</v>
      </c>
      <c r="AE233" s="167">
        <v>0</v>
      </c>
      <c r="AF233" s="169">
        <f t="shared" si="258"/>
        <v>0</v>
      </c>
      <c r="AG233" s="118">
        <f t="shared" si="259"/>
        <v>0</v>
      </c>
      <c r="AH233" s="80">
        <f t="shared" si="260"/>
        <v>2</v>
      </c>
      <c r="AI233" s="128">
        <f t="shared" si="261"/>
        <v>2</v>
      </c>
      <c r="AJ233" s="111">
        <v>0</v>
      </c>
      <c r="AK233" s="111">
        <v>0</v>
      </c>
      <c r="AL233" s="112">
        <f t="shared" ca="1" si="262"/>
        <v>0</v>
      </c>
      <c r="AM233" s="112">
        <f t="shared" si="263"/>
        <v>0</v>
      </c>
      <c r="AN233" s="80">
        <f t="shared" si="264"/>
        <v>2</v>
      </c>
      <c r="AO233" s="12">
        <f t="shared" si="265"/>
        <v>2</v>
      </c>
      <c r="AP233" s="10">
        <v>0</v>
      </c>
      <c r="AQ233" s="10">
        <v>0</v>
      </c>
      <c r="AR233" s="12">
        <f t="shared" si="266"/>
        <v>0</v>
      </c>
      <c r="AS233" s="12">
        <f t="shared" si="267"/>
        <v>0</v>
      </c>
      <c r="AT233" s="13">
        <f t="shared" si="268"/>
        <v>2</v>
      </c>
      <c r="AU233" s="12">
        <f t="shared" si="269"/>
        <v>2</v>
      </c>
      <c r="AV233" s="10">
        <v>0</v>
      </c>
      <c r="AW233" s="10">
        <v>0</v>
      </c>
      <c r="AX233" s="12">
        <f t="shared" si="270"/>
        <v>0</v>
      </c>
      <c r="AY233" s="12">
        <f t="shared" si="271"/>
        <v>0</v>
      </c>
      <c r="AZ233" s="32">
        <f t="shared" si="272"/>
        <v>2</v>
      </c>
      <c r="BA233" s="12">
        <f t="shared" si="273"/>
        <v>2</v>
      </c>
      <c r="BB233" s="10">
        <v>0</v>
      </c>
      <c r="BC233" s="10">
        <v>0</v>
      </c>
      <c r="BD233" s="12">
        <f t="shared" si="274"/>
        <v>0</v>
      </c>
      <c r="BE233" s="12">
        <f t="shared" si="275"/>
        <v>0</v>
      </c>
      <c r="BF233" s="32">
        <f t="shared" ref="BF233" si="329">AZ233-BB233+BC233</f>
        <v>2</v>
      </c>
      <c r="BG233" s="68">
        <f t="shared" si="277"/>
        <v>2</v>
      </c>
      <c r="BH233" s="70">
        <v>0</v>
      </c>
      <c r="BI233" s="70">
        <v>0</v>
      </c>
      <c r="BJ233" s="67">
        <f t="shared" si="278"/>
        <v>0</v>
      </c>
      <c r="BK233" s="67">
        <f t="shared" si="279"/>
        <v>0</v>
      </c>
      <c r="BL233" s="32">
        <f t="shared" ref="BL233" si="330">BF233-BH233+BI233</f>
        <v>2</v>
      </c>
      <c r="BM233" s="68">
        <f t="shared" si="281"/>
        <v>2</v>
      </c>
      <c r="BN233" s="70">
        <v>0</v>
      </c>
      <c r="BO233" s="70">
        <v>0</v>
      </c>
      <c r="BP233" s="67">
        <f t="shared" si="282"/>
        <v>0</v>
      </c>
      <c r="BQ233" s="67">
        <f t="shared" si="283"/>
        <v>0</v>
      </c>
      <c r="BR233" s="32">
        <f t="shared" ref="BR233" si="331">BL233-BN233+BO233</f>
        <v>2</v>
      </c>
      <c r="BS233" s="68">
        <f t="shared" si="285"/>
        <v>2</v>
      </c>
      <c r="BT233" s="70">
        <v>0</v>
      </c>
      <c r="BU233" s="70">
        <v>0</v>
      </c>
      <c r="BV233" s="67">
        <f t="shared" si="286"/>
        <v>0</v>
      </c>
      <c r="BW233" s="67">
        <f t="shared" si="287"/>
        <v>0</v>
      </c>
      <c r="BX233" s="32">
        <f t="shared" ref="BX233" si="332">BR233-BT233+BU233</f>
        <v>2</v>
      </c>
      <c r="BY233" s="68">
        <f t="shared" si="289"/>
        <v>2</v>
      </c>
      <c r="BZ233" s="70">
        <v>0</v>
      </c>
      <c r="CA233" s="70">
        <v>0</v>
      </c>
      <c r="CB233" s="67">
        <f t="shared" si="290"/>
        <v>0</v>
      </c>
      <c r="CC233" s="43">
        <f t="shared" si="291"/>
        <v>0</v>
      </c>
      <c r="CD233" s="32">
        <f t="shared" ref="CD233" si="333">BX233-BZ233+CA233</f>
        <v>2</v>
      </c>
      <c r="CE233" s="71">
        <f t="shared" si="293"/>
        <v>2</v>
      </c>
    </row>
    <row r="234" spans="1:83" ht="48" customHeight="1">
      <c r="A234" s="148" t="s">
        <v>744</v>
      </c>
      <c r="B234" s="148" t="s">
        <v>745</v>
      </c>
      <c r="C234" s="151" t="s">
        <v>746</v>
      </c>
      <c r="D234" s="148" t="s">
        <v>747</v>
      </c>
      <c r="E234" s="149"/>
      <c r="F234" s="149"/>
      <c r="G234" s="149"/>
      <c r="H234" s="170">
        <v>1</v>
      </c>
      <c r="I234" s="159">
        <v>1</v>
      </c>
      <c r="J234" s="56"/>
      <c r="K234" s="12"/>
      <c r="L234" s="10"/>
      <c r="M234" s="10"/>
      <c r="N234" s="12"/>
      <c r="O234" s="12"/>
      <c r="P234" s="56"/>
      <c r="Q234" s="12"/>
      <c r="R234" s="10"/>
      <c r="S234" s="56"/>
      <c r="T234" s="12"/>
      <c r="U234" s="12"/>
      <c r="V234" s="56"/>
      <c r="W234" s="12"/>
      <c r="X234" s="10"/>
      <c r="Y234" s="10"/>
      <c r="Z234" s="12"/>
      <c r="AA234" s="12"/>
      <c r="AB234" s="18" t="s">
        <v>33</v>
      </c>
      <c r="AC234" s="168">
        <f t="shared" si="233"/>
        <v>1</v>
      </c>
      <c r="AD234" s="167">
        <v>0</v>
      </c>
      <c r="AE234" s="167">
        <v>0</v>
      </c>
      <c r="AF234" s="169">
        <f t="shared" si="258"/>
        <v>0</v>
      </c>
      <c r="AG234" s="118">
        <f t="shared" si="259"/>
        <v>0</v>
      </c>
      <c r="AH234" s="80">
        <f t="shared" si="260"/>
        <v>1</v>
      </c>
      <c r="AI234" s="128">
        <f t="shared" si="261"/>
        <v>1</v>
      </c>
      <c r="AJ234" s="111">
        <v>0</v>
      </c>
      <c r="AK234" s="111">
        <v>0</v>
      </c>
      <c r="AL234" s="112">
        <f t="shared" ca="1" si="262"/>
        <v>0</v>
      </c>
      <c r="AM234" s="112">
        <f t="shared" si="263"/>
        <v>0</v>
      </c>
      <c r="AN234" s="80">
        <f t="shared" si="264"/>
        <v>1</v>
      </c>
      <c r="AO234" s="12">
        <f t="shared" si="265"/>
        <v>1</v>
      </c>
      <c r="AP234" s="10">
        <v>0</v>
      </c>
      <c r="AQ234" s="10">
        <v>0</v>
      </c>
      <c r="AR234" s="12">
        <f t="shared" si="266"/>
        <v>0</v>
      </c>
      <c r="AS234" s="12">
        <f t="shared" si="267"/>
        <v>0</v>
      </c>
      <c r="AT234" s="13">
        <f t="shared" si="268"/>
        <v>1</v>
      </c>
      <c r="AU234" s="12">
        <f t="shared" si="269"/>
        <v>1</v>
      </c>
      <c r="AV234" s="10">
        <v>0</v>
      </c>
      <c r="AW234" s="10">
        <v>0</v>
      </c>
      <c r="AX234" s="12">
        <f t="shared" si="270"/>
        <v>0</v>
      </c>
      <c r="AY234" s="12">
        <f t="shared" si="271"/>
        <v>0</v>
      </c>
      <c r="AZ234" s="32">
        <f t="shared" si="272"/>
        <v>1</v>
      </c>
      <c r="BA234" s="12">
        <f t="shared" si="273"/>
        <v>1</v>
      </c>
      <c r="BB234" s="10">
        <v>0</v>
      </c>
      <c r="BC234" s="10">
        <v>0</v>
      </c>
      <c r="BD234" s="12">
        <f t="shared" si="274"/>
        <v>0</v>
      </c>
      <c r="BE234" s="12">
        <f t="shared" si="275"/>
        <v>0</v>
      </c>
      <c r="BF234" s="32">
        <f t="shared" ref="BF234" si="334">AZ234-BB234+BC234</f>
        <v>1</v>
      </c>
      <c r="BG234" s="68">
        <f t="shared" si="277"/>
        <v>1</v>
      </c>
      <c r="BH234" s="70">
        <v>0</v>
      </c>
      <c r="BI234" s="70">
        <v>0</v>
      </c>
      <c r="BJ234" s="67">
        <f t="shared" si="278"/>
        <v>0</v>
      </c>
      <c r="BK234" s="67">
        <f t="shared" si="279"/>
        <v>0</v>
      </c>
      <c r="BL234" s="32">
        <f t="shared" ref="BL234" si="335">BF234-BH234+BI234</f>
        <v>1</v>
      </c>
      <c r="BM234" s="68">
        <f t="shared" si="281"/>
        <v>1</v>
      </c>
      <c r="BN234" s="70">
        <v>0</v>
      </c>
      <c r="BO234" s="70">
        <v>0</v>
      </c>
      <c r="BP234" s="67">
        <f t="shared" si="282"/>
        <v>0</v>
      </c>
      <c r="BQ234" s="67">
        <f t="shared" si="283"/>
        <v>0</v>
      </c>
      <c r="BR234" s="32">
        <f t="shared" ref="BR234" si="336">BL234-BN234+BO234</f>
        <v>1</v>
      </c>
      <c r="BS234" s="68">
        <f t="shared" si="285"/>
        <v>1</v>
      </c>
      <c r="BT234" s="70">
        <v>0</v>
      </c>
      <c r="BU234" s="70">
        <v>0</v>
      </c>
      <c r="BV234" s="67">
        <f t="shared" si="286"/>
        <v>0</v>
      </c>
      <c r="BW234" s="67">
        <f t="shared" si="287"/>
        <v>0</v>
      </c>
      <c r="BX234" s="32">
        <f t="shared" ref="BX234" si="337">BR234-BT234+BU234</f>
        <v>1</v>
      </c>
      <c r="BY234" s="68">
        <f t="shared" si="289"/>
        <v>1</v>
      </c>
      <c r="BZ234" s="70">
        <v>0</v>
      </c>
      <c r="CA234" s="70">
        <v>0</v>
      </c>
      <c r="CB234" s="67">
        <f t="shared" si="290"/>
        <v>0</v>
      </c>
      <c r="CC234" s="43">
        <f t="shared" si="291"/>
        <v>0</v>
      </c>
      <c r="CD234" s="32">
        <f t="shared" ref="CD234" si="338">BX234-BZ234+CA234</f>
        <v>1</v>
      </c>
      <c r="CE234" s="71">
        <f t="shared" si="293"/>
        <v>1</v>
      </c>
    </row>
    <row r="235" spans="1:83" ht="43.5">
      <c r="A235" s="148" t="s">
        <v>748</v>
      </c>
      <c r="B235" s="148" t="s">
        <v>749</v>
      </c>
      <c r="C235" s="151" t="s">
        <v>750</v>
      </c>
      <c r="D235" s="148" t="s">
        <v>751</v>
      </c>
      <c r="E235" s="149"/>
      <c r="F235" s="149"/>
      <c r="G235" s="149"/>
      <c r="H235" s="170">
        <v>10</v>
      </c>
      <c r="I235" s="159">
        <v>1</v>
      </c>
      <c r="J235" s="56"/>
      <c r="K235" s="12"/>
      <c r="L235" s="10"/>
      <c r="M235" s="10"/>
      <c r="N235" s="12"/>
      <c r="O235" s="12"/>
      <c r="P235" s="56"/>
      <c r="Q235" s="12"/>
      <c r="R235" s="10"/>
      <c r="S235" s="56"/>
      <c r="T235" s="12"/>
      <c r="U235" s="12"/>
      <c r="V235" s="56"/>
      <c r="W235" s="12"/>
      <c r="X235" s="10"/>
      <c r="Y235" s="10"/>
      <c r="Z235" s="12"/>
      <c r="AA235" s="12"/>
      <c r="AB235" s="18" t="s">
        <v>75</v>
      </c>
      <c r="AC235" s="168">
        <f t="shared" si="233"/>
        <v>10</v>
      </c>
      <c r="AD235" s="167">
        <v>0</v>
      </c>
      <c r="AE235" s="167">
        <v>0</v>
      </c>
      <c r="AF235" s="169">
        <f t="shared" si="258"/>
        <v>0</v>
      </c>
      <c r="AG235" s="118">
        <f t="shared" si="259"/>
        <v>0</v>
      </c>
      <c r="AH235" s="80">
        <f t="shared" si="260"/>
        <v>10</v>
      </c>
      <c r="AI235" s="128">
        <f t="shared" si="261"/>
        <v>10</v>
      </c>
      <c r="AJ235" s="111">
        <v>0</v>
      </c>
      <c r="AK235" s="111">
        <v>0</v>
      </c>
      <c r="AL235" s="112">
        <f t="shared" ca="1" si="262"/>
        <v>0</v>
      </c>
      <c r="AM235" s="112">
        <f t="shared" si="263"/>
        <v>0</v>
      </c>
      <c r="AN235" s="80">
        <f t="shared" si="264"/>
        <v>10</v>
      </c>
      <c r="AO235" s="12">
        <f t="shared" si="265"/>
        <v>10</v>
      </c>
      <c r="AP235" s="10">
        <v>0</v>
      </c>
      <c r="AQ235" s="10">
        <v>0</v>
      </c>
      <c r="AR235" s="12">
        <f t="shared" si="266"/>
        <v>0</v>
      </c>
      <c r="AS235" s="12">
        <f t="shared" si="267"/>
        <v>0</v>
      </c>
      <c r="AT235" s="13">
        <f t="shared" si="268"/>
        <v>10</v>
      </c>
      <c r="AU235" s="12">
        <f t="shared" si="269"/>
        <v>10</v>
      </c>
      <c r="AV235" s="10">
        <v>0</v>
      </c>
      <c r="AW235" s="10">
        <v>0</v>
      </c>
      <c r="AX235" s="12">
        <f t="shared" si="270"/>
        <v>0</v>
      </c>
      <c r="AY235" s="12">
        <f t="shared" si="271"/>
        <v>0</v>
      </c>
      <c r="AZ235" s="32">
        <f t="shared" si="272"/>
        <v>10</v>
      </c>
      <c r="BA235" s="12">
        <f t="shared" si="273"/>
        <v>10</v>
      </c>
      <c r="BB235" s="10">
        <v>0</v>
      </c>
      <c r="BC235" s="10">
        <v>0</v>
      </c>
      <c r="BD235" s="12">
        <f t="shared" si="274"/>
        <v>0</v>
      </c>
      <c r="BE235" s="12">
        <f t="shared" si="275"/>
        <v>0</v>
      </c>
      <c r="BF235" s="32">
        <f t="shared" ref="BF235" si="339">AZ235-BB235+BC235</f>
        <v>10</v>
      </c>
      <c r="BG235" s="68">
        <f t="shared" si="277"/>
        <v>10</v>
      </c>
      <c r="BH235" s="70">
        <v>0</v>
      </c>
      <c r="BI235" s="70">
        <v>0</v>
      </c>
      <c r="BJ235" s="67">
        <f t="shared" si="278"/>
        <v>0</v>
      </c>
      <c r="BK235" s="67">
        <f t="shared" si="279"/>
        <v>0</v>
      </c>
      <c r="BL235" s="32">
        <f t="shared" ref="BL235" si="340">BF235-BH235+BI235</f>
        <v>10</v>
      </c>
      <c r="BM235" s="68">
        <f t="shared" si="281"/>
        <v>10</v>
      </c>
      <c r="BN235" s="70">
        <v>0</v>
      </c>
      <c r="BO235" s="70">
        <v>0</v>
      </c>
      <c r="BP235" s="67">
        <f t="shared" si="282"/>
        <v>0</v>
      </c>
      <c r="BQ235" s="67">
        <f t="shared" si="283"/>
        <v>0</v>
      </c>
      <c r="BR235" s="32">
        <f t="shared" ref="BR235" si="341">BL235-BN235+BO235</f>
        <v>10</v>
      </c>
      <c r="BS235" s="68">
        <f t="shared" si="285"/>
        <v>10</v>
      </c>
      <c r="BT235" s="70">
        <v>0</v>
      </c>
      <c r="BU235" s="70">
        <v>0</v>
      </c>
      <c r="BV235" s="67">
        <f t="shared" si="286"/>
        <v>0</v>
      </c>
      <c r="BW235" s="67">
        <f t="shared" si="287"/>
        <v>0</v>
      </c>
      <c r="BX235" s="32">
        <f t="shared" ref="BX235" si="342">BR235-BT235+BU235</f>
        <v>10</v>
      </c>
      <c r="BY235" s="68">
        <f t="shared" si="289"/>
        <v>10</v>
      </c>
      <c r="BZ235" s="70">
        <v>0</v>
      </c>
      <c r="CA235" s="70">
        <v>0</v>
      </c>
      <c r="CB235" s="67">
        <f t="shared" si="290"/>
        <v>0</v>
      </c>
      <c r="CC235" s="43">
        <f t="shared" si="291"/>
        <v>0</v>
      </c>
      <c r="CD235" s="32">
        <f t="shared" ref="CD235" si="343">BX235-BZ235+CA235</f>
        <v>10</v>
      </c>
      <c r="CE235" s="71">
        <f t="shared" si="293"/>
        <v>10</v>
      </c>
    </row>
    <row r="236" spans="1:83" ht="48" customHeight="1">
      <c r="A236" s="148" t="s">
        <v>752</v>
      </c>
      <c r="B236" s="148" t="s">
        <v>753</v>
      </c>
      <c r="C236" s="151" t="s">
        <v>754</v>
      </c>
      <c r="D236" s="148" t="s">
        <v>78</v>
      </c>
      <c r="E236" s="149"/>
      <c r="F236" s="149"/>
      <c r="G236" s="149"/>
      <c r="H236" s="170">
        <v>1</v>
      </c>
      <c r="I236" s="159">
        <v>1</v>
      </c>
      <c r="J236" s="56"/>
      <c r="K236" s="12"/>
      <c r="L236" s="10"/>
      <c r="M236" s="10"/>
      <c r="N236" s="12"/>
      <c r="O236" s="12"/>
      <c r="P236" s="56"/>
      <c r="Q236" s="12"/>
      <c r="R236" s="10"/>
      <c r="S236" s="56"/>
      <c r="T236" s="12"/>
      <c r="U236" s="12"/>
      <c r="V236" s="56"/>
      <c r="W236" s="12"/>
      <c r="X236" s="10"/>
      <c r="Y236" s="10"/>
      <c r="Z236" s="12"/>
      <c r="AA236" s="12"/>
      <c r="AB236" s="18" t="s">
        <v>33</v>
      </c>
      <c r="AC236" s="168">
        <f t="shared" si="233"/>
        <v>1</v>
      </c>
      <c r="AD236" s="167">
        <v>0</v>
      </c>
      <c r="AE236" s="167">
        <v>0</v>
      </c>
      <c r="AF236" s="169">
        <f t="shared" si="258"/>
        <v>0</v>
      </c>
      <c r="AG236" s="118">
        <f t="shared" si="259"/>
        <v>0</v>
      </c>
      <c r="AH236" s="80">
        <f t="shared" si="260"/>
        <v>1</v>
      </c>
      <c r="AI236" s="128">
        <f t="shared" si="261"/>
        <v>1</v>
      </c>
      <c r="AJ236" s="111">
        <v>0</v>
      </c>
      <c r="AK236" s="111">
        <v>0</v>
      </c>
      <c r="AL236" s="112">
        <f t="shared" ca="1" si="262"/>
        <v>0</v>
      </c>
      <c r="AM236" s="112">
        <f t="shared" si="263"/>
        <v>0</v>
      </c>
      <c r="AN236" s="80">
        <f t="shared" si="264"/>
        <v>1</v>
      </c>
      <c r="AO236" s="12">
        <f t="shared" si="265"/>
        <v>1</v>
      </c>
      <c r="AP236" s="10">
        <v>0</v>
      </c>
      <c r="AQ236" s="10">
        <v>0</v>
      </c>
      <c r="AR236" s="12">
        <f t="shared" si="266"/>
        <v>0</v>
      </c>
      <c r="AS236" s="12">
        <f t="shared" si="267"/>
        <v>0</v>
      </c>
      <c r="AT236" s="13">
        <f t="shared" si="268"/>
        <v>1</v>
      </c>
      <c r="AU236" s="12">
        <f t="shared" si="269"/>
        <v>1</v>
      </c>
      <c r="AV236" s="10">
        <v>0</v>
      </c>
      <c r="AW236" s="10">
        <v>0</v>
      </c>
      <c r="AX236" s="12">
        <f t="shared" si="270"/>
        <v>0</v>
      </c>
      <c r="AY236" s="12">
        <f t="shared" si="271"/>
        <v>0</v>
      </c>
      <c r="AZ236" s="32">
        <f t="shared" si="272"/>
        <v>1</v>
      </c>
      <c r="BA236" s="12">
        <f t="shared" si="273"/>
        <v>1</v>
      </c>
      <c r="BB236" s="10">
        <v>0</v>
      </c>
      <c r="BC236" s="10">
        <v>0</v>
      </c>
      <c r="BD236" s="12">
        <f t="shared" si="274"/>
        <v>0</v>
      </c>
      <c r="BE236" s="12">
        <f t="shared" si="275"/>
        <v>0</v>
      </c>
      <c r="BF236" s="50">
        <v>3</v>
      </c>
      <c r="BG236" s="68">
        <f t="shared" si="277"/>
        <v>1</v>
      </c>
      <c r="BH236" s="70">
        <v>0</v>
      </c>
      <c r="BI236" s="70">
        <v>0</v>
      </c>
      <c r="BJ236" s="67">
        <f t="shared" si="278"/>
        <v>0</v>
      </c>
      <c r="BK236" s="67">
        <f t="shared" si="279"/>
        <v>0</v>
      </c>
      <c r="BL236" s="50">
        <v>3</v>
      </c>
      <c r="BM236" s="68">
        <f t="shared" si="281"/>
        <v>1</v>
      </c>
      <c r="BN236" s="70">
        <v>0</v>
      </c>
      <c r="BO236" s="70">
        <v>0</v>
      </c>
      <c r="BP236" s="67">
        <f t="shared" si="282"/>
        <v>0</v>
      </c>
      <c r="BQ236" s="67">
        <f t="shared" si="283"/>
        <v>0</v>
      </c>
      <c r="BR236" s="50">
        <v>3</v>
      </c>
      <c r="BS236" s="68">
        <f t="shared" si="285"/>
        <v>1</v>
      </c>
      <c r="BT236" s="70">
        <v>0</v>
      </c>
      <c r="BU236" s="70">
        <v>0</v>
      </c>
      <c r="BV236" s="67">
        <f t="shared" si="286"/>
        <v>0</v>
      </c>
      <c r="BW236" s="67">
        <f t="shared" si="287"/>
        <v>0</v>
      </c>
      <c r="BX236" s="50">
        <v>3</v>
      </c>
      <c r="BY236" s="68">
        <f t="shared" si="289"/>
        <v>1</v>
      </c>
      <c r="BZ236" s="70">
        <v>0</v>
      </c>
      <c r="CA236" s="70">
        <v>0</v>
      </c>
      <c r="CB236" s="67">
        <f t="shared" si="290"/>
        <v>0</v>
      </c>
      <c r="CC236" s="43">
        <f t="shared" si="291"/>
        <v>0</v>
      </c>
      <c r="CD236" s="50">
        <v>3</v>
      </c>
      <c r="CE236" s="71">
        <f t="shared" si="293"/>
        <v>1</v>
      </c>
    </row>
    <row r="237" spans="1:83" ht="48" customHeight="1">
      <c r="A237" s="148" t="s">
        <v>755</v>
      </c>
      <c r="B237" s="148" t="s">
        <v>756</v>
      </c>
      <c r="C237" s="151" t="s">
        <v>757</v>
      </c>
      <c r="D237" s="148" t="s">
        <v>78</v>
      </c>
      <c r="E237" s="149"/>
      <c r="F237" s="149"/>
      <c r="G237" s="149"/>
      <c r="H237" s="170">
        <v>1</v>
      </c>
      <c r="I237" s="159">
        <v>1</v>
      </c>
      <c r="J237" s="56"/>
      <c r="K237" s="12"/>
      <c r="L237" s="10"/>
      <c r="M237" s="10"/>
      <c r="N237" s="12"/>
      <c r="O237" s="12"/>
      <c r="P237" s="56"/>
      <c r="Q237" s="12"/>
      <c r="R237" s="10"/>
      <c r="S237" s="56"/>
      <c r="T237" s="12"/>
      <c r="U237" s="12"/>
      <c r="V237" s="56"/>
      <c r="W237" s="12"/>
      <c r="X237" s="10"/>
      <c r="Y237" s="10"/>
      <c r="Z237" s="12"/>
      <c r="AA237" s="12"/>
      <c r="AB237" s="18" t="s">
        <v>33</v>
      </c>
      <c r="AC237" s="168">
        <f t="shared" si="233"/>
        <v>1</v>
      </c>
      <c r="AD237" s="167">
        <v>0</v>
      </c>
      <c r="AE237" s="167">
        <v>0</v>
      </c>
      <c r="AF237" s="169">
        <f t="shared" si="258"/>
        <v>0</v>
      </c>
      <c r="AG237" s="118">
        <f t="shared" si="259"/>
        <v>0</v>
      </c>
      <c r="AH237" s="80">
        <f t="shared" si="260"/>
        <v>1</v>
      </c>
      <c r="AI237" s="128">
        <f t="shared" si="261"/>
        <v>1</v>
      </c>
      <c r="AJ237" s="111">
        <v>0</v>
      </c>
      <c r="AK237" s="111">
        <v>0</v>
      </c>
      <c r="AL237" s="112">
        <f t="shared" ca="1" si="262"/>
        <v>0</v>
      </c>
      <c r="AM237" s="112">
        <f t="shared" si="263"/>
        <v>0</v>
      </c>
      <c r="AN237" s="80">
        <f t="shared" si="264"/>
        <v>1</v>
      </c>
      <c r="AO237" s="12">
        <f t="shared" si="265"/>
        <v>1</v>
      </c>
      <c r="AP237" s="10">
        <v>0</v>
      </c>
      <c r="AQ237" s="10">
        <v>0</v>
      </c>
      <c r="AR237" s="12">
        <f t="shared" si="266"/>
        <v>0</v>
      </c>
      <c r="AS237" s="12">
        <f t="shared" si="267"/>
        <v>0</v>
      </c>
      <c r="AT237" s="13">
        <f t="shared" si="268"/>
        <v>1</v>
      </c>
      <c r="AU237" s="12">
        <f t="shared" si="269"/>
        <v>1</v>
      </c>
      <c r="AV237" s="10">
        <v>0</v>
      </c>
      <c r="AW237" s="10">
        <v>0</v>
      </c>
      <c r="AX237" s="12">
        <f t="shared" si="270"/>
        <v>0</v>
      </c>
      <c r="AY237" s="12">
        <f t="shared" si="271"/>
        <v>0</v>
      </c>
      <c r="AZ237" s="32">
        <f t="shared" si="272"/>
        <v>1</v>
      </c>
      <c r="BA237" s="12">
        <f t="shared" si="273"/>
        <v>1</v>
      </c>
      <c r="BB237" s="10">
        <v>0</v>
      </c>
      <c r="BC237" s="10">
        <v>0</v>
      </c>
      <c r="BD237" s="12">
        <f t="shared" si="274"/>
        <v>0</v>
      </c>
      <c r="BE237" s="12">
        <f t="shared" si="275"/>
        <v>0</v>
      </c>
      <c r="BF237" s="50">
        <v>3</v>
      </c>
      <c r="BG237" s="68">
        <f t="shared" si="277"/>
        <v>1</v>
      </c>
      <c r="BH237" s="70">
        <v>0</v>
      </c>
      <c r="BI237" s="70">
        <v>0</v>
      </c>
      <c r="BJ237" s="67">
        <f t="shared" si="278"/>
        <v>0</v>
      </c>
      <c r="BK237" s="67">
        <f t="shared" si="279"/>
        <v>0</v>
      </c>
      <c r="BL237" s="50">
        <v>3</v>
      </c>
      <c r="BM237" s="68">
        <f t="shared" si="281"/>
        <v>1</v>
      </c>
      <c r="BN237" s="70">
        <v>0</v>
      </c>
      <c r="BO237" s="70">
        <v>0</v>
      </c>
      <c r="BP237" s="67">
        <f t="shared" si="282"/>
        <v>0</v>
      </c>
      <c r="BQ237" s="67">
        <f t="shared" si="283"/>
        <v>0</v>
      </c>
      <c r="BR237" s="50">
        <v>3</v>
      </c>
      <c r="BS237" s="68">
        <f t="shared" si="285"/>
        <v>1</v>
      </c>
      <c r="BT237" s="70">
        <v>0</v>
      </c>
      <c r="BU237" s="70">
        <v>0</v>
      </c>
      <c r="BV237" s="67">
        <f t="shared" si="286"/>
        <v>0</v>
      </c>
      <c r="BW237" s="67">
        <f t="shared" si="287"/>
        <v>0</v>
      </c>
      <c r="BX237" s="50">
        <v>3</v>
      </c>
      <c r="BY237" s="68">
        <f t="shared" si="289"/>
        <v>1</v>
      </c>
      <c r="BZ237" s="70">
        <v>0</v>
      </c>
      <c r="CA237" s="70">
        <v>0</v>
      </c>
      <c r="CB237" s="67">
        <f t="shared" si="290"/>
        <v>0</v>
      </c>
      <c r="CC237" s="43">
        <f t="shared" si="291"/>
        <v>0</v>
      </c>
      <c r="CD237" s="50">
        <v>3</v>
      </c>
      <c r="CE237" s="71">
        <f t="shared" si="293"/>
        <v>1</v>
      </c>
    </row>
    <row r="238" spans="1:83" ht="48" customHeight="1">
      <c r="A238" s="148" t="s">
        <v>758</v>
      </c>
      <c r="B238" s="148" t="s">
        <v>759</v>
      </c>
      <c r="C238" s="151" t="s">
        <v>760</v>
      </c>
      <c r="D238" s="148" t="s">
        <v>761</v>
      </c>
      <c r="E238" s="149"/>
      <c r="F238" s="149"/>
      <c r="G238" s="149"/>
      <c r="H238" s="170">
        <v>1</v>
      </c>
      <c r="I238" s="159">
        <v>1</v>
      </c>
      <c r="J238" s="56"/>
      <c r="K238" s="12"/>
      <c r="L238" s="10"/>
      <c r="M238" s="10"/>
      <c r="N238" s="12"/>
      <c r="O238" s="12"/>
      <c r="P238" s="56"/>
      <c r="Q238" s="12"/>
      <c r="R238" s="10"/>
      <c r="S238" s="56"/>
      <c r="T238" s="12"/>
      <c r="U238" s="12"/>
      <c r="V238" s="56"/>
      <c r="W238" s="12"/>
      <c r="X238" s="10"/>
      <c r="Y238" s="10"/>
      <c r="Z238" s="12"/>
      <c r="AA238" s="12"/>
      <c r="AB238" s="18" t="s">
        <v>33</v>
      </c>
      <c r="AC238" s="168">
        <f t="shared" si="233"/>
        <v>1</v>
      </c>
      <c r="AD238" s="167">
        <v>0</v>
      </c>
      <c r="AE238" s="167">
        <v>0</v>
      </c>
      <c r="AF238" s="169">
        <f t="shared" si="258"/>
        <v>0</v>
      </c>
      <c r="AG238" s="118">
        <f t="shared" si="259"/>
        <v>0</v>
      </c>
      <c r="AH238" s="80">
        <f t="shared" si="260"/>
        <v>1</v>
      </c>
      <c r="AI238" s="128">
        <f t="shared" si="261"/>
        <v>1</v>
      </c>
      <c r="AJ238" s="111">
        <v>0</v>
      </c>
      <c r="AK238" s="111">
        <v>0</v>
      </c>
      <c r="AL238" s="112">
        <f t="shared" ca="1" si="262"/>
        <v>0</v>
      </c>
      <c r="AM238" s="112">
        <f t="shared" si="263"/>
        <v>0</v>
      </c>
      <c r="AN238" s="80">
        <f t="shared" si="264"/>
        <v>1</v>
      </c>
      <c r="AO238" s="12">
        <f t="shared" si="265"/>
        <v>1</v>
      </c>
      <c r="AP238" s="10">
        <v>0</v>
      </c>
      <c r="AQ238" s="10">
        <v>0</v>
      </c>
      <c r="AR238" s="12">
        <f t="shared" si="266"/>
        <v>0</v>
      </c>
      <c r="AS238" s="12">
        <f t="shared" si="267"/>
        <v>0</v>
      </c>
      <c r="AT238" s="13">
        <f t="shared" si="268"/>
        <v>1</v>
      </c>
      <c r="AU238" s="12">
        <f t="shared" si="269"/>
        <v>1</v>
      </c>
      <c r="AV238" s="10">
        <v>0</v>
      </c>
      <c r="AW238" s="10">
        <v>0</v>
      </c>
      <c r="AX238" s="12">
        <f t="shared" si="270"/>
        <v>0</v>
      </c>
      <c r="AY238" s="12">
        <f t="shared" si="271"/>
        <v>0</v>
      </c>
      <c r="AZ238" s="32">
        <f t="shared" si="272"/>
        <v>1</v>
      </c>
      <c r="BA238" s="12">
        <f t="shared" si="273"/>
        <v>1</v>
      </c>
      <c r="BB238" s="10">
        <v>0</v>
      </c>
      <c r="BC238" s="10">
        <v>0</v>
      </c>
      <c r="BD238" s="12">
        <f t="shared" si="274"/>
        <v>0</v>
      </c>
      <c r="BE238" s="12">
        <f t="shared" si="275"/>
        <v>0</v>
      </c>
      <c r="BF238" s="50">
        <v>3</v>
      </c>
      <c r="BG238" s="68">
        <f t="shared" si="277"/>
        <v>1</v>
      </c>
      <c r="BH238" s="70">
        <v>0</v>
      </c>
      <c r="BI238" s="70">
        <v>0</v>
      </c>
      <c r="BJ238" s="67">
        <f t="shared" si="278"/>
        <v>0</v>
      </c>
      <c r="BK238" s="67">
        <f t="shared" si="279"/>
        <v>0</v>
      </c>
      <c r="BL238" s="50">
        <v>3</v>
      </c>
      <c r="BM238" s="68">
        <f t="shared" si="281"/>
        <v>1</v>
      </c>
      <c r="BN238" s="70">
        <v>0</v>
      </c>
      <c r="BO238" s="70">
        <v>0</v>
      </c>
      <c r="BP238" s="67">
        <f t="shared" si="282"/>
        <v>0</v>
      </c>
      <c r="BQ238" s="67">
        <f t="shared" si="283"/>
        <v>0</v>
      </c>
      <c r="BR238" s="50">
        <v>3</v>
      </c>
      <c r="BS238" s="68">
        <f t="shared" si="285"/>
        <v>1</v>
      </c>
      <c r="BT238" s="70">
        <v>0</v>
      </c>
      <c r="BU238" s="70">
        <v>0</v>
      </c>
      <c r="BV238" s="67">
        <f t="shared" si="286"/>
        <v>0</v>
      </c>
      <c r="BW238" s="67">
        <f t="shared" si="287"/>
        <v>0</v>
      </c>
      <c r="BX238" s="50">
        <v>3</v>
      </c>
      <c r="BY238" s="68">
        <f t="shared" si="289"/>
        <v>1</v>
      </c>
      <c r="BZ238" s="70">
        <v>0</v>
      </c>
      <c r="CA238" s="70">
        <v>0</v>
      </c>
      <c r="CB238" s="67">
        <f t="shared" si="290"/>
        <v>0</v>
      </c>
      <c r="CC238" s="43">
        <f t="shared" si="291"/>
        <v>0</v>
      </c>
      <c r="CD238" s="50">
        <v>3</v>
      </c>
      <c r="CE238" s="71">
        <f t="shared" si="293"/>
        <v>1</v>
      </c>
    </row>
    <row r="239" spans="1:83" ht="48" customHeight="1">
      <c r="A239" s="148" t="s">
        <v>762</v>
      </c>
      <c r="B239" s="148" t="s">
        <v>763</v>
      </c>
      <c r="C239" s="151" t="s">
        <v>764</v>
      </c>
      <c r="D239" s="148" t="s">
        <v>761</v>
      </c>
      <c r="E239" s="181"/>
      <c r="F239" s="181"/>
      <c r="G239" s="181"/>
      <c r="H239" s="170">
        <v>1</v>
      </c>
      <c r="I239" s="159">
        <v>1</v>
      </c>
      <c r="J239" s="56"/>
      <c r="K239" s="12"/>
      <c r="L239" s="10"/>
      <c r="M239" s="10"/>
      <c r="N239" s="12"/>
      <c r="O239" s="12"/>
      <c r="P239" s="56"/>
      <c r="Q239" s="12"/>
      <c r="R239" s="10"/>
      <c r="S239" s="56"/>
      <c r="T239" s="12"/>
      <c r="U239" s="12"/>
      <c r="V239" s="56"/>
      <c r="W239" s="12"/>
      <c r="X239" s="10"/>
      <c r="Y239" s="10"/>
      <c r="Z239" s="12"/>
      <c r="AA239" s="12"/>
      <c r="AB239" s="18" t="s">
        <v>33</v>
      </c>
      <c r="AC239" s="168">
        <f t="shared" si="233"/>
        <v>1</v>
      </c>
      <c r="AD239" s="167">
        <v>0</v>
      </c>
      <c r="AE239" s="167">
        <v>0</v>
      </c>
      <c r="AF239" s="169">
        <f t="shared" si="258"/>
        <v>0</v>
      </c>
      <c r="AG239" s="118">
        <f t="shared" si="259"/>
        <v>0</v>
      </c>
      <c r="AH239" s="80">
        <f t="shared" si="260"/>
        <v>1</v>
      </c>
      <c r="AI239" s="128">
        <f t="shared" si="261"/>
        <v>1</v>
      </c>
      <c r="AJ239" s="111">
        <v>0</v>
      </c>
      <c r="AK239" s="111">
        <v>0</v>
      </c>
      <c r="AL239" s="112">
        <f t="shared" ca="1" si="262"/>
        <v>0</v>
      </c>
      <c r="AM239" s="112">
        <f t="shared" si="263"/>
        <v>0</v>
      </c>
      <c r="AN239" s="80">
        <f t="shared" si="264"/>
        <v>1</v>
      </c>
      <c r="AO239" s="12">
        <f t="shared" si="265"/>
        <v>1</v>
      </c>
      <c r="AP239" s="10">
        <v>0</v>
      </c>
      <c r="AQ239" s="10">
        <v>0</v>
      </c>
      <c r="AR239" s="12">
        <f t="shared" si="266"/>
        <v>0</v>
      </c>
      <c r="AS239" s="12">
        <f t="shared" si="267"/>
        <v>0</v>
      </c>
      <c r="AT239" s="13">
        <f t="shared" si="268"/>
        <v>1</v>
      </c>
      <c r="AU239" s="12">
        <f t="shared" si="269"/>
        <v>1</v>
      </c>
      <c r="AV239" s="10">
        <v>0</v>
      </c>
      <c r="AW239" s="10">
        <v>0</v>
      </c>
      <c r="AX239" s="12">
        <f t="shared" si="270"/>
        <v>0</v>
      </c>
      <c r="AY239" s="12">
        <f t="shared" si="271"/>
        <v>0</v>
      </c>
      <c r="AZ239" s="32">
        <f t="shared" si="272"/>
        <v>1</v>
      </c>
      <c r="BA239" s="12">
        <f t="shared" si="273"/>
        <v>1</v>
      </c>
      <c r="BB239" s="10">
        <v>0</v>
      </c>
      <c r="BC239" s="10">
        <v>0</v>
      </c>
      <c r="BD239" s="12">
        <f t="shared" si="274"/>
        <v>0</v>
      </c>
      <c r="BE239" s="12">
        <f t="shared" si="275"/>
        <v>0</v>
      </c>
      <c r="BF239" s="50">
        <v>3</v>
      </c>
      <c r="BG239" s="68">
        <f t="shared" si="277"/>
        <v>1</v>
      </c>
      <c r="BH239" s="70">
        <v>0</v>
      </c>
      <c r="BI239" s="70">
        <v>0</v>
      </c>
      <c r="BJ239" s="67">
        <f t="shared" si="278"/>
        <v>0</v>
      </c>
      <c r="BK239" s="67">
        <f t="shared" si="279"/>
        <v>0</v>
      </c>
      <c r="BL239" s="50">
        <v>3</v>
      </c>
      <c r="BM239" s="68">
        <f t="shared" si="281"/>
        <v>1</v>
      </c>
      <c r="BN239" s="70">
        <v>0</v>
      </c>
      <c r="BO239" s="70">
        <v>0</v>
      </c>
      <c r="BP239" s="67">
        <f t="shared" si="282"/>
        <v>0</v>
      </c>
      <c r="BQ239" s="67">
        <f t="shared" si="283"/>
        <v>0</v>
      </c>
      <c r="BR239" s="50">
        <v>3</v>
      </c>
      <c r="BS239" s="68">
        <f t="shared" si="285"/>
        <v>1</v>
      </c>
      <c r="BT239" s="70">
        <v>0</v>
      </c>
      <c r="BU239" s="70">
        <v>0</v>
      </c>
      <c r="BV239" s="67">
        <f t="shared" si="286"/>
        <v>0</v>
      </c>
      <c r="BW239" s="67">
        <f t="shared" si="287"/>
        <v>0</v>
      </c>
      <c r="BX239" s="50">
        <v>3</v>
      </c>
      <c r="BY239" s="68">
        <f t="shared" si="289"/>
        <v>1</v>
      </c>
      <c r="BZ239" s="70">
        <v>0</v>
      </c>
      <c r="CA239" s="70">
        <v>0</v>
      </c>
      <c r="CB239" s="67">
        <f t="shared" si="290"/>
        <v>0</v>
      </c>
      <c r="CC239" s="43">
        <f t="shared" si="291"/>
        <v>0</v>
      </c>
      <c r="CD239" s="50">
        <v>3</v>
      </c>
      <c r="CE239" s="71">
        <f t="shared" si="293"/>
        <v>1</v>
      </c>
    </row>
    <row r="240" spans="1:83" ht="48" customHeight="1">
      <c r="A240" s="148" t="s">
        <v>765</v>
      </c>
      <c r="B240" s="148" t="s">
        <v>766</v>
      </c>
      <c r="C240" s="151" t="s">
        <v>767</v>
      </c>
      <c r="D240" s="148" t="s">
        <v>768</v>
      </c>
      <c r="E240" s="181"/>
      <c r="F240" s="181"/>
      <c r="G240" s="181"/>
      <c r="H240" s="170">
        <v>1</v>
      </c>
      <c r="I240" s="159">
        <v>1</v>
      </c>
      <c r="J240" s="56"/>
      <c r="K240" s="12"/>
      <c r="L240" s="10"/>
      <c r="M240" s="10"/>
      <c r="N240" s="12"/>
      <c r="O240" s="12"/>
      <c r="P240" s="56"/>
      <c r="Q240" s="12"/>
      <c r="R240" s="10"/>
      <c r="S240" s="56"/>
      <c r="T240" s="12"/>
      <c r="U240" s="12"/>
      <c r="V240" s="56"/>
      <c r="W240" s="12"/>
      <c r="X240" s="10"/>
      <c r="Y240" s="10"/>
      <c r="Z240" s="12"/>
      <c r="AA240" s="12"/>
      <c r="AB240" s="18" t="s">
        <v>33</v>
      </c>
      <c r="AC240" s="168">
        <f t="shared" si="233"/>
        <v>1</v>
      </c>
      <c r="AD240" s="167">
        <v>0</v>
      </c>
      <c r="AE240" s="167">
        <v>0</v>
      </c>
      <c r="AF240" s="169">
        <f t="shared" si="258"/>
        <v>0</v>
      </c>
      <c r="AG240" s="118">
        <f t="shared" si="259"/>
        <v>0</v>
      </c>
      <c r="AH240" s="80">
        <f t="shared" si="260"/>
        <v>1</v>
      </c>
      <c r="AI240" s="128">
        <f t="shared" si="261"/>
        <v>1</v>
      </c>
      <c r="AJ240" s="111">
        <v>0</v>
      </c>
      <c r="AK240" s="111">
        <v>0</v>
      </c>
      <c r="AL240" s="112">
        <f t="shared" ca="1" si="262"/>
        <v>0</v>
      </c>
      <c r="AM240" s="112">
        <f t="shared" si="263"/>
        <v>0</v>
      </c>
      <c r="AN240" s="80">
        <f t="shared" si="264"/>
        <v>1</v>
      </c>
      <c r="AO240" s="12">
        <f t="shared" si="265"/>
        <v>1</v>
      </c>
      <c r="AP240" s="10">
        <v>0</v>
      </c>
      <c r="AQ240" s="10">
        <v>0</v>
      </c>
      <c r="AR240" s="12">
        <f t="shared" si="266"/>
        <v>0</v>
      </c>
      <c r="AS240" s="12">
        <f t="shared" si="267"/>
        <v>0</v>
      </c>
      <c r="AT240" s="13">
        <f t="shared" si="268"/>
        <v>1</v>
      </c>
      <c r="AU240" s="12">
        <f t="shared" si="269"/>
        <v>1</v>
      </c>
      <c r="AV240" s="10">
        <v>0</v>
      </c>
      <c r="AW240" s="10">
        <v>0</v>
      </c>
      <c r="AX240" s="12">
        <f t="shared" si="270"/>
        <v>0</v>
      </c>
      <c r="AY240" s="12">
        <f t="shared" si="271"/>
        <v>0</v>
      </c>
      <c r="AZ240" s="32">
        <f t="shared" si="272"/>
        <v>1</v>
      </c>
      <c r="BA240" s="12">
        <f t="shared" si="273"/>
        <v>1</v>
      </c>
      <c r="BB240" s="10">
        <v>0</v>
      </c>
      <c r="BC240" s="10">
        <v>0</v>
      </c>
      <c r="BD240" s="12">
        <f t="shared" si="274"/>
        <v>0</v>
      </c>
      <c r="BE240" s="12">
        <f t="shared" si="275"/>
        <v>0</v>
      </c>
      <c r="BF240" s="50">
        <v>3</v>
      </c>
      <c r="BG240" s="68">
        <f t="shared" si="277"/>
        <v>1</v>
      </c>
      <c r="BH240" s="70">
        <v>0</v>
      </c>
      <c r="BI240" s="70">
        <v>0</v>
      </c>
      <c r="BJ240" s="67">
        <f t="shared" si="278"/>
        <v>0</v>
      </c>
      <c r="BK240" s="67">
        <f t="shared" si="279"/>
        <v>0</v>
      </c>
      <c r="BL240" s="50">
        <v>3</v>
      </c>
      <c r="BM240" s="68">
        <f t="shared" si="281"/>
        <v>1</v>
      </c>
      <c r="BN240" s="70">
        <v>0</v>
      </c>
      <c r="BO240" s="70">
        <v>0</v>
      </c>
      <c r="BP240" s="67">
        <f t="shared" si="282"/>
        <v>0</v>
      </c>
      <c r="BQ240" s="67">
        <f t="shared" si="283"/>
        <v>0</v>
      </c>
      <c r="BR240" s="50">
        <v>3</v>
      </c>
      <c r="BS240" s="68">
        <f t="shared" si="285"/>
        <v>1</v>
      </c>
      <c r="BT240" s="70">
        <v>0</v>
      </c>
      <c r="BU240" s="70">
        <v>0</v>
      </c>
      <c r="BV240" s="67">
        <f t="shared" si="286"/>
        <v>0</v>
      </c>
      <c r="BW240" s="67">
        <f t="shared" si="287"/>
        <v>0</v>
      </c>
      <c r="BX240" s="50">
        <v>3</v>
      </c>
      <c r="BY240" s="68">
        <f t="shared" si="289"/>
        <v>1</v>
      </c>
      <c r="BZ240" s="70">
        <v>0</v>
      </c>
      <c r="CA240" s="70">
        <v>0</v>
      </c>
      <c r="CB240" s="67">
        <f t="shared" si="290"/>
        <v>0</v>
      </c>
      <c r="CC240" s="43">
        <f t="shared" si="291"/>
        <v>0</v>
      </c>
      <c r="CD240" s="50">
        <v>3</v>
      </c>
      <c r="CE240" s="71">
        <f t="shared" si="293"/>
        <v>1</v>
      </c>
    </row>
    <row r="241" spans="1:83" ht="48" customHeight="1">
      <c r="A241" s="148" t="s">
        <v>769</v>
      </c>
      <c r="B241" s="148" t="s">
        <v>770</v>
      </c>
      <c r="C241" s="151" t="s">
        <v>771</v>
      </c>
      <c r="D241" s="148" t="s">
        <v>772</v>
      </c>
      <c r="E241" s="181"/>
      <c r="F241" s="181"/>
      <c r="G241" s="181"/>
      <c r="H241" s="170">
        <v>1</v>
      </c>
      <c r="I241" s="159">
        <v>1</v>
      </c>
      <c r="J241" s="56"/>
      <c r="K241" s="12"/>
      <c r="L241" s="10"/>
      <c r="M241" s="10"/>
      <c r="N241" s="12"/>
      <c r="O241" s="12"/>
      <c r="P241" s="56"/>
      <c r="Q241" s="12"/>
      <c r="R241" s="10"/>
      <c r="S241" s="56"/>
      <c r="T241" s="12"/>
      <c r="U241" s="12"/>
      <c r="V241" s="56"/>
      <c r="W241" s="12"/>
      <c r="X241" s="10"/>
      <c r="Y241" s="10"/>
      <c r="Z241" s="12"/>
      <c r="AA241" s="12"/>
      <c r="AB241" s="18" t="s">
        <v>33</v>
      </c>
      <c r="AC241" s="168">
        <f t="shared" si="233"/>
        <v>1</v>
      </c>
      <c r="AD241" s="167">
        <v>0</v>
      </c>
      <c r="AE241" s="167">
        <v>0</v>
      </c>
      <c r="AF241" s="169">
        <f t="shared" si="258"/>
        <v>0</v>
      </c>
      <c r="AG241" s="118">
        <f t="shared" si="259"/>
        <v>0</v>
      </c>
      <c r="AH241" s="80">
        <f t="shared" si="260"/>
        <v>1</v>
      </c>
      <c r="AI241" s="128">
        <f t="shared" si="261"/>
        <v>1</v>
      </c>
      <c r="AJ241" s="111">
        <v>0</v>
      </c>
      <c r="AK241" s="111">
        <v>0</v>
      </c>
      <c r="AL241" s="112">
        <f t="shared" ca="1" si="262"/>
        <v>0</v>
      </c>
      <c r="AM241" s="112">
        <f t="shared" si="263"/>
        <v>0</v>
      </c>
      <c r="AN241" s="80">
        <f t="shared" si="264"/>
        <v>1</v>
      </c>
      <c r="AO241" s="12">
        <f t="shared" si="265"/>
        <v>1</v>
      </c>
      <c r="AP241" s="10">
        <v>0</v>
      </c>
      <c r="AQ241" s="10">
        <v>0</v>
      </c>
      <c r="AR241" s="12">
        <f t="shared" si="266"/>
        <v>0</v>
      </c>
      <c r="AS241" s="12">
        <f t="shared" si="267"/>
        <v>0</v>
      </c>
      <c r="AT241" s="13">
        <f t="shared" si="268"/>
        <v>1</v>
      </c>
      <c r="AU241" s="12">
        <f t="shared" si="269"/>
        <v>1</v>
      </c>
      <c r="AV241" s="10">
        <v>0</v>
      </c>
      <c r="AW241" s="10">
        <v>0</v>
      </c>
      <c r="AX241" s="12">
        <f t="shared" si="270"/>
        <v>0</v>
      </c>
      <c r="AY241" s="12">
        <f t="shared" si="271"/>
        <v>0</v>
      </c>
      <c r="AZ241" s="32">
        <f t="shared" si="272"/>
        <v>1</v>
      </c>
      <c r="BA241" s="12">
        <f t="shared" si="273"/>
        <v>1</v>
      </c>
      <c r="BB241" s="10">
        <v>0</v>
      </c>
      <c r="BC241" s="10">
        <v>0</v>
      </c>
      <c r="BD241" s="12">
        <f t="shared" si="274"/>
        <v>0</v>
      </c>
      <c r="BE241" s="12">
        <f t="shared" si="275"/>
        <v>0</v>
      </c>
      <c r="BF241" s="32">
        <f t="shared" ref="BF241" si="344">AZ241-BB241+BC241</f>
        <v>1</v>
      </c>
      <c r="BG241" s="68">
        <f t="shared" si="277"/>
        <v>1</v>
      </c>
      <c r="BH241" s="70">
        <v>0</v>
      </c>
      <c r="BI241" s="70">
        <v>0</v>
      </c>
      <c r="BJ241" s="67">
        <f t="shared" si="278"/>
        <v>0</v>
      </c>
      <c r="BK241" s="67">
        <f t="shared" si="279"/>
        <v>0</v>
      </c>
      <c r="BL241" s="50">
        <v>3</v>
      </c>
      <c r="BM241" s="68">
        <f t="shared" si="281"/>
        <v>1</v>
      </c>
      <c r="BN241" s="70">
        <v>0</v>
      </c>
      <c r="BO241" s="70">
        <v>0</v>
      </c>
      <c r="BP241" s="67">
        <f t="shared" si="282"/>
        <v>0</v>
      </c>
      <c r="BQ241" s="67">
        <f t="shared" si="283"/>
        <v>0</v>
      </c>
      <c r="BR241" s="50">
        <v>3</v>
      </c>
      <c r="BS241" s="68">
        <f t="shared" si="285"/>
        <v>1</v>
      </c>
      <c r="BT241" s="70">
        <v>0</v>
      </c>
      <c r="BU241" s="70">
        <v>0</v>
      </c>
      <c r="BV241" s="67">
        <f t="shared" si="286"/>
        <v>0</v>
      </c>
      <c r="BW241" s="67">
        <f t="shared" si="287"/>
        <v>0</v>
      </c>
      <c r="BX241" s="50">
        <v>3</v>
      </c>
      <c r="BY241" s="68">
        <f t="shared" si="289"/>
        <v>1</v>
      </c>
      <c r="BZ241" s="70">
        <v>0</v>
      </c>
      <c r="CA241" s="70">
        <v>0</v>
      </c>
      <c r="CB241" s="67">
        <f t="shared" si="290"/>
        <v>0</v>
      </c>
      <c r="CC241" s="43">
        <f t="shared" si="291"/>
        <v>0</v>
      </c>
      <c r="CD241" s="50">
        <v>3</v>
      </c>
      <c r="CE241" s="71">
        <f t="shared" si="293"/>
        <v>1</v>
      </c>
    </row>
    <row r="242" spans="1:83" ht="48" customHeight="1">
      <c r="A242" s="148" t="s">
        <v>773</v>
      </c>
      <c r="B242" s="148" t="s">
        <v>774</v>
      </c>
      <c r="C242" s="151" t="s">
        <v>775</v>
      </c>
      <c r="D242" s="148" t="s">
        <v>88</v>
      </c>
      <c r="E242" s="181"/>
      <c r="F242" s="181"/>
      <c r="G242" s="181"/>
      <c r="H242" s="170">
        <v>1</v>
      </c>
      <c r="I242" s="159">
        <v>1</v>
      </c>
      <c r="J242" s="56"/>
      <c r="K242" s="12"/>
      <c r="L242" s="10"/>
      <c r="M242" s="10"/>
      <c r="N242" s="12"/>
      <c r="O242" s="12"/>
      <c r="P242" s="56"/>
      <c r="Q242" s="12"/>
      <c r="R242" s="10"/>
      <c r="S242" s="56"/>
      <c r="T242" s="12"/>
      <c r="U242" s="12"/>
      <c r="V242" s="56"/>
      <c r="W242" s="12"/>
      <c r="X242" s="10"/>
      <c r="Y242" s="10"/>
      <c r="Z242" s="12"/>
      <c r="AA242" s="12"/>
      <c r="AB242" s="18" t="s">
        <v>33</v>
      </c>
      <c r="AC242" s="168">
        <f t="shared" si="233"/>
        <v>1</v>
      </c>
      <c r="AD242" s="167">
        <v>0</v>
      </c>
      <c r="AE242" s="167">
        <v>0</v>
      </c>
      <c r="AF242" s="169">
        <f t="shared" si="258"/>
        <v>0</v>
      </c>
      <c r="AG242" s="118">
        <f t="shared" si="259"/>
        <v>0</v>
      </c>
      <c r="AH242" s="80">
        <f t="shared" si="260"/>
        <v>1</v>
      </c>
      <c r="AI242" s="128">
        <f t="shared" si="261"/>
        <v>1</v>
      </c>
      <c r="AJ242" s="111">
        <v>0</v>
      </c>
      <c r="AK242" s="111">
        <v>0</v>
      </c>
      <c r="AL242" s="112">
        <f t="shared" ca="1" si="262"/>
        <v>0</v>
      </c>
      <c r="AM242" s="112">
        <f t="shared" si="263"/>
        <v>0</v>
      </c>
      <c r="AN242" s="80">
        <f t="shared" si="264"/>
        <v>1</v>
      </c>
      <c r="AO242" s="12">
        <f t="shared" si="265"/>
        <v>1</v>
      </c>
      <c r="AP242" s="10">
        <v>0</v>
      </c>
      <c r="AQ242" s="10">
        <v>0</v>
      </c>
      <c r="AR242" s="12">
        <f t="shared" si="266"/>
        <v>0</v>
      </c>
      <c r="AS242" s="12">
        <f t="shared" si="267"/>
        <v>0</v>
      </c>
      <c r="AT242" s="13">
        <f t="shared" si="268"/>
        <v>1</v>
      </c>
      <c r="AU242" s="12">
        <f t="shared" si="269"/>
        <v>1</v>
      </c>
      <c r="AV242" s="10">
        <v>0</v>
      </c>
      <c r="AW242" s="10">
        <v>0</v>
      </c>
      <c r="AX242" s="12">
        <f t="shared" si="270"/>
        <v>0</v>
      </c>
      <c r="AY242" s="12">
        <f t="shared" si="271"/>
        <v>0</v>
      </c>
      <c r="AZ242" s="32">
        <f t="shared" si="272"/>
        <v>1</v>
      </c>
      <c r="BA242" s="12">
        <f t="shared" si="273"/>
        <v>1</v>
      </c>
      <c r="BB242" s="10">
        <v>0</v>
      </c>
      <c r="BC242" s="10">
        <v>0</v>
      </c>
      <c r="BD242" s="12">
        <f t="shared" si="274"/>
        <v>0</v>
      </c>
      <c r="BE242" s="12">
        <f t="shared" si="275"/>
        <v>0</v>
      </c>
      <c r="BF242" s="32">
        <f t="shared" ref="BF242" si="345">AZ242-BB242+BC242</f>
        <v>1</v>
      </c>
      <c r="BG242" s="68">
        <f t="shared" si="277"/>
        <v>1</v>
      </c>
      <c r="BH242" s="70">
        <v>0</v>
      </c>
      <c r="BI242" s="70">
        <v>0</v>
      </c>
      <c r="BJ242" s="67">
        <f t="shared" si="278"/>
        <v>0</v>
      </c>
      <c r="BK242" s="67">
        <f t="shared" si="279"/>
        <v>0</v>
      </c>
      <c r="BL242" s="32">
        <f t="shared" ref="BL242:BL250" si="346">BF242-BH242+BI242</f>
        <v>1</v>
      </c>
      <c r="BM242" s="68">
        <f t="shared" si="281"/>
        <v>1</v>
      </c>
      <c r="BN242" s="70">
        <v>0</v>
      </c>
      <c r="BO242" s="70">
        <v>0</v>
      </c>
      <c r="BP242" s="67">
        <f t="shared" si="282"/>
        <v>0</v>
      </c>
      <c r="BQ242" s="67">
        <f t="shared" si="283"/>
        <v>0</v>
      </c>
      <c r="BR242" s="32">
        <f t="shared" ref="BR242:BR250" si="347">BL242-BN242+BO242</f>
        <v>1</v>
      </c>
      <c r="BS242" s="68">
        <f t="shared" si="285"/>
        <v>1</v>
      </c>
      <c r="BT242" s="70">
        <v>0</v>
      </c>
      <c r="BU242" s="70">
        <v>0</v>
      </c>
      <c r="BV242" s="67">
        <f t="shared" si="286"/>
        <v>0</v>
      </c>
      <c r="BW242" s="67">
        <f t="shared" si="287"/>
        <v>0</v>
      </c>
      <c r="BX242" s="32">
        <f t="shared" ref="BX242:BX250" si="348">BR242-BT242+BU242</f>
        <v>1</v>
      </c>
      <c r="BY242" s="68">
        <f t="shared" si="289"/>
        <v>1</v>
      </c>
      <c r="BZ242" s="70">
        <v>0</v>
      </c>
      <c r="CA242" s="70">
        <v>0</v>
      </c>
      <c r="CB242" s="67">
        <f t="shared" si="290"/>
        <v>0</v>
      </c>
      <c r="CC242" s="43">
        <f t="shared" si="291"/>
        <v>0</v>
      </c>
      <c r="CD242" s="50">
        <v>3</v>
      </c>
      <c r="CE242" s="71">
        <f t="shared" si="293"/>
        <v>1</v>
      </c>
    </row>
    <row r="243" spans="1:83" ht="48" customHeight="1">
      <c r="A243" s="148" t="s">
        <v>776</v>
      </c>
      <c r="B243" s="148" t="s">
        <v>777</v>
      </c>
      <c r="C243" s="151" t="s">
        <v>778</v>
      </c>
      <c r="D243" s="148" t="s">
        <v>727</v>
      </c>
      <c r="E243" s="149"/>
      <c r="F243" s="149"/>
      <c r="G243" s="149"/>
      <c r="H243" s="170">
        <v>1</v>
      </c>
      <c r="I243" s="159">
        <v>1</v>
      </c>
      <c r="J243" s="56"/>
      <c r="K243" s="12"/>
      <c r="L243" s="10"/>
      <c r="M243" s="10"/>
      <c r="N243" s="12"/>
      <c r="O243" s="12"/>
      <c r="P243" s="56"/>
      <c r="Q243" s="12"/>
      <c r="R243" s="10"/>
      <c r="S243" s="56"/>
      <c r="T243" s="12"/>
      <c r="U243" s="12"/>
      <c r="V243" s="56"/>
      <c r="W243" s="12"/>
      <c r="X243" s="10"/>
      <c r="Y243" s="10"/>
      <c r="Z243" s="12"/>
      <c r="AA243" s="12"/>
      <c r="AB243" s="18" t="s">
        <v>33</v>
      </c>
      <c r="AC243" s="168">
        <f t="shared" si="233"/>
        <v>1</v>
      </c>
      <c r="AD243" s="167">
        <v>0</v>
      </c>
      <c r="AE243" s="167">
        <v>0</v>
      </c>
      <c r="AF243" s="169">
        <f t="shared" si="258"/>
        <v>0</v>
      </c>
      <c r="AG243" s="118">
        <f t="shared" si="259"/>
        <v>0</v>
      </c>
      <c r="AH243" s="80">
        <f t="shared" si="260"/>
        <v>1</v>
      </c>
      <c r="AI243" s="128">
        <f t="shared" si="261"/>
        <v>1</v>
      </c>
      <c r="AJ243" s="111">
        <v>0</v>
      </c>
      <c r="AK243" s="111">
        <v>0</v>
      </c>
      <c r="AL243" s="112">
        <f t="shared" ca="1" si="262"/>
        <v>0</v>
      </c>
      <c r="AM243" s="112">
        <f t="shared" si="263"/>
        <v>0</v>
      </c>
      <c r="AN243" s="80">
        <f t="shared" si="264"/>
        <v>1</v>
      </c>
      <c r="AO243" s="12">
        <f t="shared" si="265"/>
        <v>1</v>
      </c>
      <c r="AP243" s="10">
        <v>0</v>
      </c>
      <c r="AQ243" s="10">
        <v>0</v>
      </c>
      <c r="AR243" s="12">
        <f t="shared" si="266"/>
        <v>0</v>
      </c>
      <c r="AS243" s="12">
        <f t="shared" si="267"/>
        <v>0</v>
      </c>
      <c r="AT243" s="13">
        <f t="shared" si="268"/>
        <v>1</v>
      </c>
      <c r="AU243" s="12">
        <f t="shared" si="269"/>
        <v>1</v>
      </c>
      <c r="AV243" s="10">
        <v>0</v>
      </c>
      <c r="AW243" s="10">
        <v>0</v>
      </c>
      <c r="AX243" s="12">
        <f t="shared" si="270"/>
        <v>0</v>
      </c>
      <c r="AY243" s="12">
        <f t="shared" si="271"/>
        <v>0</v>
      </c>
      <c r="AZ243" s="32">
        <f t="shared" si="272"/>
        <v>1</v>
      </c>
      <c r="BA243" s="12">
        <f t="shared" si="273"/>
        <v>1</v>
      </c>
      <c r="BB243" s="10">
        <v>0</v>
      </c>
      <c r="BC243" s="10">
        <v>0</v>
      </c>
      <c r="BD243" s="12">
        <f t="shared" si="274"/>
        <v>0</v>
      </c>
      <c r="BE243" s="12">
        <f t="shared" si="275"/>
        <v>0</v>
      </c>
      <c r="BF243" s="32">
        <f t="shared" ref="BF243" si="349">AZ243-BB243+BC243</f>
        <v>1</v>
      </c>
      <c r="BG243" s="68">
        <f t="shared" si="277"/>
        <v>1</v>
      </c>
      <c r="BH243" s="70">
        <v>0</v>
      </c>
      <c r="BI243" s="70">
        <v>0</v>
      </c>
      <c r="BJ243" s="67">
        <f t="shared" si="278"/>
        <v>0</v>
      </c>
      <c r="BK243" s="67">
        <f t="shared" si="279"/>
        <v>0</v>
      </c>
      <c r="BL243" s="32">
        <f t="shared" si="346"/>
        <v>1</v>
      </c>
      <c r="BM243" s="68">
        <f t="shared" si="281"/>
        <v>1</v>
      </c>
      <c r="BN243" s="70">
        <v>0</v>
      </c>
      <c r="BO243" s="70">
        <v>0</v>
      </c>
      <c r="BP243" s="67">
        <f t="shared" si="282"/>
        <v>0</v>
      </c>
      <c r="BQ243" s="67">
        <f t="shared" si="283"/>
        <v>0</v>
      </c>
      <c r="BR243" s="32">
        <f t="shared" si="347"/>
        <v>1</v>
      </c>
      <c r="BS243" s="68">
        <f t="shared" si="285"/>
        <v>1</v>
      </c>
      <c r="BT243" s="70">
        <v>0</v>
      </c>
      <c r="BU243" s="70">
        <v>0</v>
      </c>
      <c r="BV243" s="67">
        <f t="shared" si="286"/>
        <v>0</v>
      </c>
      <c r="BW243" s="67">
        <f t="shared" si="287"/>
        <v>0</v>
      </c>
      <c r="BX243" s="32">
        <f t="shared" si="348"/>
        <v>1</v>
      </c>
      <c r="BY243" s="68">
        <f t="shared" si="289"/>
        <v>1</v>
      </c>
      <c r="BZ243" s="70">
        <v>0</v>
      </c>
      <c r="CA243" s="70">
        <v>0</v>
      </c>
      <c r="CB243" s="67">
        <f t="shared" si="290"/>
        <v>0</v>
      </c>
      <c r="CC243" s="43">
        <f t="shared" si="291"/>
        <v>0</v>
      </c>
      <c r="CD243" s="32">
        <f t="shared" ref="CD243:CD251" si="350">BX243-BZ243+CA243</f>
        <v>1</v>
      </c>
      <c r="CE243" s="71">
        <f t="shared" si="293"/>
        <v>1</v>
      </c>
    </row>
    <row r="244" spans="1:83" ht="48" customHeight="1">
      <c r="A244" s="148" t="s">
        <v>779</v>
      </c>
      <c r="B244" s="148" t="s">
        <v>780</v>
      </c>
      <c r="C244" s="151" t="s">
        <v>781</v>
      </c>
      <c r="D244" s="148" t="s">
        <v>727</v>
      </c>
      <c r="E244" s="152"/>
      <c r="F244" s="152"/>
      <c r="G244" s="152"/>
      <c r="H244" s="170">
        <v>1</v>
      </c>
      <c r="I244" s="159">
        <v>1</v>
      </c>
      <c r="J244" s="56"/>
      <c r="K244" s="12"/>
      <c r="L244" s="10"/>
      <c r="M244" s="10"/>
      <c r="N244" s="33"/>
      <c r="O244" s="33"/>
      <c r="P244" s="56"/>
      <c r="Q244" s="33"/>
      <c r="R244" s="56"/>
      <c r="S244" s="56"/>
      <c r="T244" s="33"/>
      <c r="U244" s="33"/>
      <c r="V244" s="56"/>
      <c r="W244" s="33"/>
      <c r="X244" s="56"/>
      <c r="Y244" s="56"/>
      <c r="Z244" s="33"/>
      <c r="AA244" s="33"/>
      <c r="AB244" s="18" t="s">
        <v>33</v>
      </c>
      <c r="AC244" s="168">
        <f t="shared" si="233"/>
        <v>1</v>
      </c>
      <c r="AD244" s="167">
        <v>0</v>
      </c>
      <c r="AE244" s="167">
        <v>0</v>
      </c>
      <c r="AF244" s="169">
        <f t="shared" si="258"/>
        <v>0</v>
      </c>
      <c r="AG244" s="118">
        <f t="shared" si="259"/>
        <v>0</v>
      </c>
      <c r="AH244" s="80">
        <f t="shared" si="260"/>
        <v>1</v>
      </c>
      <c r="AI244" s="128">
        <f t="shared" si="261"/>
        <v>1</v>
      </c>
      <c r="AJ244" s="111">
        <v>0</v>
      </c>
      <c r="AK244" s="111">
        <v>0</v>
      </c>
      <c r="AL244" s="112">
        <f t="shared" ca="1" si="262"/>
        <v>0</v>
      </c>
      <c r="AM244" s="112">
        <f t="shared" si="263"/>
        <v>0</v>
      </c>
      <c r="AN244" s="80">
        <f t="shared" si="264"/>
        <v>1</v>
      </c>
      <c r="AO244" s="12">
        <f t="shared" si="265"/>
        <v>1</v>
      </c>
      <c r="AP244" s="10">
        <v>0</v>
      </c>
      <c r="AQ244" s="10">
        <v>0</v>
      </c>
      <c r="AR244" s="12">
        <f t="shared" si="266"/>
        <v>0</v>
      </c>
      <c r="AS244" s="12">
        <f t="shared" si="267"/>
        <v>0</v>
      </c>
      <c r="AT244" s="13">
        <f t="shared" si="268"/>
        <v>1</v>
      </c>
      <c r="AU244" s="12">
        <f t="shared" si="269"/>
        <v>1</v>
      </c>
      <c r="AV244" s="10">
        <v>0</v>
      </c>
      <c r="AW244" s="10">
        <v>0</v>
      </c>
      <c r="AX244" s="12">
        <f t="shared" si="270"/>
        <v>0</v>
      </c>
      <c r="AY244" s="12">
        <f t="shared" si="271"/>
        <v>0</v>
      </c>
      <c r="AZ244" s="32">
        <f t="shared" si="272"/>
        <v>1</v>
      </c>
      <c r="BA244" s="12">
        <f t="shared" si="273"/>
        <v>1</v>
      </c>
      <c r="BB244" s="10">
        <v>0</v>
      </c>
      <c r="BC244" s="10">
        <v>0</v>
      </c>
      <c r="BD244" s="12">
        <f t="shared" si="274"/>
        <v>0</v>
      </c>
      <c r="BE244" s="12">
        <f t="shared" si="275"/>
        <v>0</v>
      </c>
      <c r="BF244" s="32">
        <f t="shared" ref="BF244" si="351">AZ244-BB244+BC244</f>
        <v>1</v>
      </c>
      <c r="BG244" s="68">
        <f t="shared" si="277"/>
        <v>1</v>
      </c>
      <c r="BH244" s="70">
        <v>0</v>
      </c>
      <c r="BI244" s="70">
        <v>0</v>
      </c>
      <c r="BJ244" s="67">
        <f t="shared" si="278"/>
        <v>0</v>
      </c>
      <c r="BK244" s="67">
        <f t="shared" si="279"/>
        <v>0</v>
      </c>
      <c r="BL244" s="32">
        <f t="shared" si="346"/>
        <v>1</v>
      </c>
      <c r="BM244" s="68">
        <f t="shared" si="281"/>
        <v>1</v>
      </c>
      <c r="BN244" s="70">
        <v>0</v>
      </c>
      <c r="BO244" s="70">
        <v>0</v>
      </c>
      <c r="BP244" s="67">
        <f t="shared" si="282"/>
        <v>0</v>
      </c>
      <c r="BQ244" s="67">
        <f t="shared" si="283"/>
        <v>0</v>
      </c>
      <c r="BR244" s="32">
        <f t="shared" si="347"/>
        <v>1</v>
      </c>
      <c r="BS244" s="68">
        <f t="shared" si="285"/>
        <v>1</v>
      </c>
      <c r="BT244" s="70">
        <v>0</v>
      </c>
      <c r="BU244" s="70">
        <v>0</v>
      </c>
      <c r="BV244" s="67">
        <f t="shared" si="286"/>
        <v>0</v>
      </c>
      <c r="BW244" s="67">
        <f t="shared" si="287"/>
        <v>0</v>
      </c>
      <c r="BX244" s="32">
        <f t="shared" si="348"/>
        <v>1</v>
      </c>
      <c r="BY244" s="68">
        <f t="shared" si="289"/>
        <v>1</v>
      </c>
      <c r="BZ244" s="70">
        <v>0</v>
      </c>
      <c r="CA244" s="70">
        <v>0</v>
      </c>
      <c r="CB244" s="67">
        <f t="shared" si="290"/>
        <v>0</v>
      </c>
      <c r="CC244" s="43">
        <f t="shared" si="291"/>
        <v>0</v>
      </c>
      <c r="CD244" s="32">
        <f t="shared" si="350"/>
        <v>1</v>
      </c>
      <c r="CE244" s="71">
        <f t="shared" si="293"/>
        <v>1</v>
      </c>
    </row>
    <row r="245" spans="1:83" ht="48" customHeight="1">
      <c r="A245" s="148" t="s">
        <v>782</v>
      </c>
      <c r="B245" s="148" t="s">
        <v>783</v>
      </c>
      <c r="C245" s="151" t="s">
        <v>784</v>
      </c>
      <c r="D245" s="148" t="s">
        <v>727</v>
      </c>
      <c r="E245" s="152"/>
      <c r="F245" s="152"/>
      <c r="G245" s="152"/>
      <c r="H245" s="170">
        <v>1</v>
      </c>
      <c r="I245" s="159">
        <v>1</v>
      </c>
      <c r="J245" s="56"/>
      <c r="K245" s="12"/>
      <c r="L245" s="10"/>
      <c r="M245" s="10"/>
      <c r="N245" s="33"/>
      <c r="O245" s="33"/>
      <c r="P245" s="56"/>
      <c r="Q245" s="33"/>
      <c r="R245" s="56"/>
      <c r="S245" s="56"/>
      <c r="T245" s="33"/>
      <c r="U245" s="33"/>
      <c r="V245" s="56"/>
      <c r="W245" s="33"/>
      <c r="X245" s="56"/>
      <c r="Y245" s="56"/>
      <c r="Z245" s="33"/>
      <c r="AA245" s="33"/>
      <c r="AB245" s="18" t="s">
        <v>33</v>
      </c>
      <c r="AC245" s="168">
        <f t="shared" si="233"/>
        <v>1</v>
      </c>
      <c r="AD245" s="167">
        <v>0</v>
      </c>
      <c r="AE245" s="167">
        <v>0</v>
      </c>
      <c r="AF245" s="169">
        <f t="shared" si="258"/>
        <v>0</v>
      </c>
      <c r="AG245" s="118">
        <f t="shared" si="259"/>
        <v>0</v>
      </c>
      <c r="AH245" s="80">
        <f t="shared" si="260"/>
        <v>1</v>
      </c>
      <c r="AI245" s="128">
        <f t="shared" si="261"/>
        <v>1</v>
      </c>
      <c r="AJ245" s="111">
        <v>0</v>
      </c>
      <c r="AK245" s="111">
        <v>0</v>
      </c>
      <c r="AL245" s="112">
        <f t="shared" ca="1" si="262"/>
        <v>0</v>
      </c>
      <c r="AM245" s="112">
        <f t="shared" si="263"/>
        <v>0</v>
      </c>
      <c r="AN245" s="80">
        <f t="shared" si="264"/>
        <v>1</v>
      </c>
      <c r="AO245" s="12">
        <f t="shared" si="265"/>
        <v>1</v>
      </c>
      <c r="AP245" s="10">
        <v>0</v>
      </c>
      <c r="AQ245" s="10">
        <v>0</v>
      </c>
      <c r="AR245" s="12">
        <f t="shared" si="266"/>
        <v>0</v>
      </c>
      <c r="AS245" s="12">
        <f t="shared" si="267"/>
        <v>0</v>
      </c>
      <c r="AT245" s="13">
        <f t="shared" si="268"/>
        <v>1</v>
      </c>
      <c r="AU245" s="12">
        <f t="shared" si="269"/>
        <v>1</v>
      </c>
      <c r="AV245" s="10">
        <v>0</v>
      </c>
      <c r="AW245" s="10">
        <v>0</v>
      </c>
      <c r="AX245" s="12">
        <f t="shared" si="270"/>
        <v>0</v>
      </c>
      <c r="AY245" s="12">
        <f t="shared" si="271"/>
        <v>0</v>
      </c>
      <c r="AZ245" s="32">
        <f t="shared" si="272"/>
        <v>1</v>
      </c>
      <c r="BA245" s="12">
        <f t="shared" si="273"/>
        <v>1</v>
      </c>
      <c r="BB245" s="10">
        <v>0</v>
      </c>
      <c r="BC245" s="10">
        <v>0</v>
      </c>
      <c r="BD245" s="12">
        <f t="shared" si="274"/>
        <v>0</v>
      </c>
      <c r="BE245" s="12">
        <f t="shared" si="275"/>
        <v>0</v>
      </c>
      <c r="BF245" s="32">
        <f t="shared" ref="BF245" si="352">AZ245-BB245+BC245</f>
        <v>1</v>
      </c>
      <c r="BG245" s="68">
        <f t="shared" si="277"/>
        <v>1</v>
      </c>
      <c r="BH245" s="70">
        <v>0</v>
      </c>
      <c r="BI245" s="70">
        <v>0</v>
      </c>
      <c r="BJ245" s="67">
        <f t="shared" si="278"/>
        <v>0</v>
      </c>
      <c r="BK245" s="67">
        <f t="shared" si="279"/>
        <v>0</v>
      </c>
      <c r="BL245" s="32">
        <f t="shared" si="346"/>
        <v>1</v>
      </c>
      <c r="BM245" s="68">
        <f t="shared" si="281"/>
        <v>1</v>
      </c>
      <c r="BN245" s="70">
        <v>0</v>
      </c>
      <c r="BO245" s="70">
        <v>0</v>
      </c>
      <c r="BP245" s="67">
        <f t="shared" si="282"/>
        <v>0</v>
      </c>
      <c r="BQ245" s="67">
        <f t="shared" si="283"/>
        <v>0</v>
      </c>
      <c r="BR245" s="32">
        <f t="shared" si="347"/>
        <v>1</v>
      </c>
      <c r="BS245" s="68">
        <f t="shared" si="285"/>
        <v>1</v>
      </c>
      <c r="BT245" s="70">
        <v>0</v>
      </c>
      <c r="BU245" s="70">
        <v>0</v>
      </c>
      <c r="BV245" s="67">
        <f t="shared" si="286"/>
        <v>0</v>
      </c>
      <c r="BW245" s="67">
        <f t="shared" si="287"/>
        <v>0</v>
      </c>
      <c r="BX245" s="32">
        <f t="shared" si="348"/>
        <v>1</v>
      </c>
      <c r="BY245" s="68">
        <f t="shared" si="289"/>
        <v>1</v>
      </c>
      <c r="BZ245" s="70">
        <v>0</v>
      </c>
      <c r="CA245" s="70">
        <v>0</v>
      </c>
      <c r="CB245" s="67">
        <f t="shared" si="290"/>
        <v>0</v>
      </c>
      <c r="CC245" s="43">
        <f t="shared" si="291"/>
        <v>0</v>
      </c>
      <c r="CD245" s="32">
        <f t="shared" si="350"/>
        <v>1</v>
      </c>
      <c r="CE245" s="71">
        <f t="shared" si="293"/>
        <v>1</v>
      </c>
    </row>
    <row r="246" spans="1:83" ht="48" customHeight="1">
      <c r="A246" s="148" t="s">
        <v>785</v>
      </c>
      <c r="B246" s="148" t="s">
        <v>786</v>
      </c>
      <c r="C246" s="151" t="s">
        <v>787</v>
      </c>
      <c r="D246" s="148" t="s">
        <v>727</v>
      </c>
      <c r="E246" s="150"/>
      <c r="F246" s="150"/>
      <c r="G246" s="150"/>
      <c r="H246" s="170">
        <v>1</v>
      </c>
      <c r="I246" s="159">
        <v>1</v>
      </c>
      <c r="J246" s="56"/>
      <c r="K246" s="12"/>
      <c r="L246" s="10"/>
      <c r="M246" s="10"/>
      <c r="N246" s="33"/>
      <c r="O246" s="33"/>
      <c r="P246" s="56"/>
      <c r="Q246" s="33"/>
      <c r="R246" s="56"/>
      <c r="S246" s="56"/>
      <c r="T246" s="33"/>
      <c r="U246" s="33"/>
      <c r="V246" s="56"/>
      <c r="W246" s="33"/>
      <c r="X246" s="56"/>
      <c r="Y246" s="56"/>
      <c r="Z246" s="33"/>
      <c r="AA246" s="33"/>
      <c r="AB246" s="18" t="s">
        <v>33</v>
      </c>
      <c r="AC246" s="168">
        <f t="shared" si="233"/>
        <v>1</v>
      </c>
      <c r="AD246" s="167">
        <v>0</v>
      </c>
      <c r="AE246" s="167">
        <v>0</v>
      </c>
      <c r="AF246" s="169">
        <f t="shared" si="258"/>
        <v>0</v>
      </c>
      <c r="AG246" s="118">
        <f t="shared" si="259"/>
        <v>0</v>
      </c>
      <c r="AH246" s="80">
        <f t="shared" si="260"/>
        <v>1</v>
      </c>
      <c r="AI246" s="128">
        <f t="shared" si="261"/>
        <v>1</v>
      </c>
      <c r="AJ246" s="111">
        <v>0</v>
      </c>
      <c r="AK246" s="111">
        <v>0</v>
      </c>
      <c r="AL246" s="112">
        <f t="shared" ca="1" si="262"/>
        <v>0</v>
      </c>
      <c r="AM246" s="112">
        <f t="shared" si="263"/>
        <v>0</v>
      </c>
      <c r="AN246" s="80">
        <f t="shared" si="264"/>
        <v>1</v>
      </c>
      <c r="AO246" s="12">
        <f t="shared" si="265"/>
        <v>1</v>
      </c>
      <c r="AP246" s="10">
        <v>0</v>
      </c>
      <c r="AQ246" s="10">
        <v>0</v>
      </c>
      <c r="AR246" s="12">
        <f t="shared" si="266"/>
        <v>0</v>
      </c>
      <c r="AS246" s="12">
        <f t="shared" si="267"/>
        <v>0</v>
      </c>
      <c r="AT246" s="13">
        <f t="shared" si="268"/>
        <v>1</v>
      </c>
      <c r="AU246" s="12">
        <f t="shared" si="269"/>
        <v>1</v>
      </c>
      <c r="AV246" s="10">
        <v>0</v>
      </c>
      <c r="AW246" s="10">
        <v>0</v>
      </c>
      <c r="AX246" s="12">
        <f t="shared" si="270"/>
        <v>0</v>
      </c>
      <c r="AY246" s="12">
        <f t="shared" si="271"/>
        <v>0</v>
      </c>
      <c r="AZ246" s="32">
        <f t="shared" si="272"/>
        <v>1</v>
      </c>
      <c r="BA246" s="12">
        <f t="shared" si="273"/>
        <v>1</v>
      </c>
      <c r="BB246" s="10">
        <v>0</v>
      </c>
      <c r="BC246" s="10">
        <v>0</v>
      </c>
      <c r="BD246" s="12">
        <f t="shared" si="274"/>
        <v>0</v>
      </c>
      <c r="BE246" s="12">
        <f t="shared" si="275"/>
        <v>0</v>
      </c>
      <c r="BF246" s="32">
        <f t="shared" ref="BF246" si="353">AZ246-BB246+BC246</f>
        <v>1</v>
      </c>
      <c r="BG246" s="68">
        <f t="shared" si="277"/>
        <v>1</v>
      </c>
      <c r="BH246" s="70">
        <v>0</v>
      </c>
      <c r="BI246" s="70">
        <v>0</v>
      </c>
      <c r="BJ246" s="67">
        <f t="shared" si="278"/>
        <v>0</v>
      </c>
      <c r="BK246" s="67">
        <f t="shared" si="279"/>
        <v>0</v>
      </c>
      <c r="BL246" s="32">
        <f t="shared" si="346"/>
        <v>1</v>
      </c>
      <c r="BM246" s="68">
        <f t="shared" si="281"/>
        <v>1</v>
      </c>
      <c r="BN246" s="70">
        <v>0</v>
      </c>
      <c r="BO246" s="70">
        <v>0</v>
      </c>
      <c r="BP246" s="67">
        <f t="shared" si="282"/>
        <v>0</v>
      </c>
      <c r="BQ246" s="67">
        <f t="shared" si="283"/>
        <v>0</v>
      </c>
      <c r="BR246" s="32">
        <f t="shared" si="347"/>
        <v>1</v>
      </c>
      <c r="BS246" s="68">
        <f t="shared" si="285"/>
        <v>1</v>
      </c>
      <c r="BT246" s="70">
        <v>0</v>
      </c>
      <c r="BU246" s="70">
        <v>0</v>
      </c>
      <c r="BV246" s="67">
        <f t="shared" si="286"/>
        <v>0</v>
      </c>
      <c r="BW246" s="67">
        <f t="shared" si="287"/>
        <v>0</v>
      </c>
      <c r="BX246" s="32">
        <f t="shared" si="348"/>
        <v>1</v>
      </c>
      <c r="BY246" s="68">
        <f t="shared" si="289"/>
        <v>1</v>
      </c>
      <c r="BZ246" s="70">
        <v>0</v>
      </c>
      <c r="CA246" s="70">
        <v>0</v>
      </c>
      <c r="CB246" s="67">
        <f t="shared" si="290"/>
        <v>0</v>
      </c>
      <c r="CC246" s="43">
        <f t="shared" si="291"/>
        <v>0</v>
      </c>
      <c r="CD246" s="32">
        <f t="shared" si="350"/>
        <v>1</v>
      </c>
      <c r="CE246" s="71">
        <f t="shared" si="293"/>
        <v>1</v>
      </c>
    </row>
    <row r="247" spans="1:83" ht="48" customHeight="1">
      <c r="A247" s="148" t="s">
        <v>788</v>
      </c>
      <c r="B247" s="148" t="s">
        <v>789</v>
      </c>
      <c r="C247" s="151" t="s">
        <v>790</v>
      </c>
      <c r="D247" s="148" t="s">
        <v>727</v>
      </c>
      <c r="E247" s="150"/>
      <c r="F247" s="150"/>
      <c r="G247" s="150"/>
      <c r="H247" s="170">
        <v>1</v>
      </c>
      <c r="I247" s="159">
        <v>1</v>
      </c>
      <c r="J247" s="56"/>
      <c r="K247" s="12"/>
      <c r="L247" s="10"/>
      <c r="M247" s="10"/>
      <c r="N247" s="33"/>
      <c r="O247" s="33"/>
      <c r="P247" s="56"/>
      <c r="Q247" s="33"/>
      <c r="R247" s="56"/>
      <c r="S247" s="56"/>
      <c r="T247" s="33"/>
      <c r="U247" s="33"/>
      <c r="V247" s="56"/>
      <c r="W247" s="33"/>
      <c r="X247" s="56"/>
      <c r="Y247" s="56"/>
      <c r="Z247" s="33"/>
      <c r="AA247" s="33"/>
      <c r="AB247" s="18" t="s">
        <v>33</v>
      </c>
      <c r="AC247" s="168">
        <f t="shared" si="233"/>
        <v>1</v>
      </c>
      <c r="AD247" s="167">
        <v>0</v>
      </c>
      <c r="AE247" s="167">
        <v>0</v>
      </c>
      <c r="AF247" s="169">
        <f t="shared" si="258"/>
        <v>0</v>
      </c>
      <c r="AG247" s="118">
        <f t="shared" si="259"/>
        <v>0</v>
      </c>
      <c r="AH247" s="80">
        <f t="shared" si="260"/>
        <v>1</v>
      </c>
      <c r="AI247" s="128">
        <f t="shared" si="261"/>
        <v>1</v>
      </c>
      <c r="AJ247" s="111">
        <v>0</v>
      </c>
      <c r="AK247" s="111">
        <v>0</v>
      </c>
      <c r="AL247" s="112">
        <f t="shared" ca="1" si="262"/>
        <v>0</v>
      </c>
      <c r="AM247" s="112">
        <f t="shared" si="263"/>
        <v>0</v>
      </c>
      <c r="AN247" s="80">
        <f t="shared" si="264"/>
        <v>1</v>
      </c>
      <c r="AO247" s="12">
        <f t="shared" si="265"/>
        <v>1</v>
      </c>
      <c r="AP247" s="10">
        <v>0</v>
      </c>
      <c r="AQ247" s="10">
        <v>0</v>
      </c>
      <c r="AR247" s="12">
        <f t="shared" si="266"/>
        <v>0</v>
      </c>
      <c r="AS247" s="12">
        <f t="shared" si="267"/>
        <v>0</v>
      </c>
      <c r="AT247" s="13">
        <f t="shared" si="268"/>
        <v>1</v>
      </c>
      <c r="AU247" s="12">
        <f t="shared" si="269"/>
        <v>1</v>
      </c>
      <c r="AV247" s="10">
        <v>0</v>
      </c>
      <c r="AW247" s="10">
        <v>0</v>
      </c>
      <c r="AX247" s="12">
        <f t="shared" si="270"/>
        <v>0</v>
      </c>
      <c r="AY247" s="12">
        <f t="shared" si="271"/>
        <v>0</v>
      </c>
      <c r="AZ247" s="32">
        <f t="shared" si="272"/>
        <v>1</v>
      </c>
      <c r="BA247" s="12">
        <f t="shared" si="273"/>
        <v>1</v>
      </c>
      <c r="BB247" s="10">
        <v>0</v>
      </c>
      <c r="BC247" s="10">
        <v>0</v>
      </c>
      <c r="BD247" s="12">
        <f t="shared" si="274"/>
        <v>0</v>
      </c>
      <c r="BE247" s="12">
        <f t="shared" si="275"/>
        <v>0</v>
      </c>
      <c r="BF247" s="32">
        <f t="shared" ref="BF247" si="354">AZ247-BB247+BC247</f>
        <v>1</v>
      </c>
      <c r="BG247" s="68">
        <f t="shared" si="277"/>
        <v>1</v>
      </c>
      <c r="BH247" s="70">
        <v>0</v>
      </c>
      <c r="BI247" s="70">
        <v>0</v>
      </c>
      <c r="BJ247" s="67">
        <f t="shared" si="278"/>
        <v>0</v>
      </c>
      <c r="BK247" s="67">
        <f t="shared" si="279"/>
        <v>0</v>
      </c>
      <c r="BL247" s="32">
        <f t="shared" si="346"/>
        <v>1</v>
      </c>
      <c r="BM247" s="68">
        <f t="shared" si="281"/>
        <v>1</v>
      </c>
      <c r="BN247" s="70">
        <v>0</v>
      </c>
      <c r="BO247" s="70">
        <v>0</v>
      </c>
      <c r="BP247" s="67">
        <f t="shared" si="282"/>
        <v>0</v>
      </c>
      <c r="BQ247" s="67">
        <f t="shared" si="283"/>
        <v>0</v>
      </c>
      <c r="BR247" s="32">
        <f t="shared" si="347"/>
        <v>1</v>
      </c>
      <c r="BS247" s="68">
        <f t="shared" si="285"/>
        <v>1</v>
      </c>
      <c r="BT247" s="70">
        <v>0</v>
      </c>
      <c r="BU247" s="70">
        <v>0</v>
      </c>
      <c r="BV247" s="67">
        <f t="shared" si="286"/>
        <v>0</v>
      </c>
      <c r="BW247" s="67">
        <f t="shared" si="287"/>
        <v>0</v>
      </c>
      <c r="BX247" s="32">
        <f t="shared" si="348"/>
        <v>1</v>
      </c>
      <c r="BY247" s="68">
        <f t="shared" si="289"/>
        <v>1</v>
      </c>
      <c r="BZ247" s="70">
        <v>0</v>
      </c>
      <c r="CA247" s="70">
        <v>0</v>
      </c>
      <c r="CB247" s="67">
        <f t="shared" si="290"/>
        <v>0</v>
      </c>
      <c r="CC247" s="43">
        <f t="shared" si="291"/>
        <v>0</v>
      </c>
      <c r="CD247" s="32">
        <f t="shared" si="350"/>
        <v>1</v>
      </c>
      <c r="CE247" s="71">
        <f t="shared" si="293"/>
        <v>1</v>
      </c>
    </row>
    <row r="248" spans="1:83" ht="48" customHeight="1">
      <c r="A248" s="148" t="s">
        <v>791</v>
      </c>
      <c r="B248" s="148" t="s">
        <v>792</v>
      </c>
      <c r="C248" s="151" t="s">
        <v>793</v>
      </c>
      <c r="D248" s="148" t="s">
        <v>727</v>
      </c>
      <c r="E248" s="150"/>
      <c r="F248" s="150"/>
      <c r="G248" s="150"/>
      <c r="H248" s="170">
        <v>1</v>
      </c>
      <c r="I248" s="159">
        <v>1</v>
      </c>
      <c r="J248" s="56"/>
      <c r="K248" s="12"/>
      <c r="L248" s="10"/>
      <c r="M248" s="10"/>
      <c r="N248" s="33"/>
      <c r="O248" s="33"/>
      <c r="P248" s="56"/>
      <c r="Q248" s="33"/>
      <c r="R248" s="56"/>
      <c r="S248" s="56"/>
      <c r="T248" s="33"/>
      <c r="U248" s="33"/>
      <c r="V248" s="56"/>
      <c r="W248" s="33"/>
      <c r="X248" s="56"/>
      <c r="Y248" s="56"/>
      <c r="Z248" s="33"/>
      <c r="AA248" s="33"/>
      <c r="AB248" s="18" t="s">
        <v>33</v>
      </c>
      <c r="AC248" s="168">
        <f t="shared" si="233"/>
        <v>1</v>
      </c>
      <c r="AD248" s="167">
        <v>0</v>
      </c>
      <c r="AE248" s="167">
        <v>0</v>
      </c>
      <c r="AF248" s="169">
        <f t="shared" si="258"/>
        <v>0</v>
      </c>
      <c r="AG248" s="118">
        <f t="shared" si="259"/>
        <v>0</v>
      </c>
      <c r="AH248" s="80">
        <f t="shared" si="260"/>
        <v>1</v>
      </c>
      <c r="AI248" s="128">
        <f t="shared" si="261"/>
        <v>1</v>
      </c>
      <c r="AJ248" s="111">
        <v>0</v>
      </c>
      <c r="AK248" s="111">
        <v>0</v>
      </c>
      <c r="AL248" s="112">
        <f t="shared" ca="1" si="262"/>
        <v>0</v>
      </c>
      <c r="AM248" s="112">
        <f t="shared" si="263"/>
        <v>0</v>
      </c>
      <c r="AN248" s="80">
        <f t="shared" si="264"/>
        <v>1</v>
      </c>
      <c r="AO248" s="12">
        <f t="shared" si="265"/>
        <v>1</v>
      </c>
      <c r="AP248" s="10">
        <v>0</v>
      </c>
      <c r="AQ248" s="10">
        <v>0</v>
      </c>
      <c r="AR248" s="12">
        <f t="shared" si="266"/>
        <v>0</v>
      </c>
      <c r="AS248" s="12">
        <f t="shared" si="267"/>
        <v>0</v>
      </c>
      <c r="AT248" s="13">
        <f t="shared" si="268"/>
        <v>1</v>
      </c>
      <c r="AU248" s="12">
        <f t="shared" si="269"/>
        <v>1</v>
      </c>
      <c r="AV248" s="10">
        <v>0</v>
      </c>
      <c r="AW248" s="10">
        <v>0</v>
      </c>
      <c r="AX248" s="12">
        <f t="shared" si="270"/>
        <v>0</v>
      </c>
      <c r="AY248" s="12">
        <f t="shared" si="271"/>
        <v>0</v>
      </c>
      <c r="AZ248" s="32">
        <f t="shared" si="272"/>
        <v>1</v>
      </c>
      <c r="BA248" s="12">
        <f t="shared" si="273"/>
        <v>1</v>
      </c>
      <c r="BB248" s="10">
        <v>0</v>
      </c>
      <c r="BC248" s="10">
        <v>0</v>
      </c>
      <c r="BD248" s="12">
        <f t="shared" si="274"/>
        <v>0</v>
      </c>
      <c r="BE248" s="12">
        <f t="shared" si="275"/>
        <v>0</v>
      </c>
      <c r="BF248" s="32">
        <f t="shared" ref="BF248" si="355">AZ248-BB248+BC248</f>
        <v>1</v>
      </c>
      <c r="BG248" s="68">
        <f t="shared" si="277"/>
        <v>1</v>
      </c>
      <c r="BH248" s="70">
        <v>0</v>
      </c>
      <c r="BI248" s="70">
        <v>0</v>
      </c>
      <c r="BJ248" s="67">
        <f t="shared" si="278"/>
        <v>0</v>
      </c>
      <c r="BK248" s="67">
        <f t="shared" si="279"/>
        <v>0</v>
      </c>
      <c r="BL248" s="32">
        <f t="shared" si="346"/>
        <v>1</v>
      </c>
      <c r="BM248" s="68">
        <f t="shared" si="281"/>
        <v>1</v>
      </c>
      <c r="BN248" s="70">
        <v>0</v>
      </c>
      <c r="BO248" s="70">
        <v>0</v>
      </c>
      <c r="BP248" s="67">
        <f t="shared" si="282"/>
        <v>0</v>
      </c>
      <c r="BQ248" s="67">
        <f t="shared" si="283"/>
        <v>0</v>
      </c>
      <c r="BR248" s="32">
        <f t="shared" si="347"/>
        <v>1</v>
      </c>
      <c r="BS248" s="68">
        <f t="shared" si="285"/>
        <v>1</v>
      </c>
      <c r="BT248" s="70">
        <v>0</v>
      </c>
      <c r="BU248" s="70">
        <v>0</v>
      </c>
      <c r="BV248" s="67">
        <f t="shared" si="286"/>
        <v>0</v>
      </c>
      <c r="BW248" s="67">
        <f t="shared" si="287"/>
        <v>0</v>
      </c>
      <c r="BX248" s="32">
        <f t="shared" si="348"/>
        <v>1</v>
      </c>
      <c r="BY248" s="68">
        <f t="shared" si="289"/>
        <v>1</v>
      </c>
      <c r="BZ248" s="70">
        <v>0</v>
      </c>
      <c r="CA248" s="70">
        <v>0</v>
      </c>
      <c r="CB248" s="67">
        <f t="shared" si="290"/>
        <v>0</v>
      </c>
      <c r="CC248" s="43">
        <f t="shared" si="291"/>
        <v>0</v>
      </c>
      <c r="CD248" s="32">
        <f t="shared" si="350"/>
        <v>1</v>
      </c>
      <c r="CE248" s="71">
        <f t="shared" si="293"/>
        <v>1</v>
      </c>
    </row>
    <row r="249" spans="1:83" ht="55.5" customHeight="1">
      <c r="A249" s="148" t="s">
        <v>794</v>
      </c>
      <c r="B249" s="148" t="s">
        <v>795</v>
      </c>
      <c r="C249" s="151" t="s">
        <v>796</v>
      </c>
      <c r="D249" s="148" t="s">
        <v>727</v>
      </c>
      <c r="E249" s="153"/>
      <c r="F249" s="153"/>
      <c r="G249" s="153"/>
      <c r="H249" s="170">
        <v>1</v>
      </c>
      <c r="I249" s="159">
        <v>1</v>
      </c>
      <c r="J249" s="56"/>
      <c r="K249" s="12"/>
      <c r="L249" s="10"/>
      <c r="M249" s="10"/>
      <c r="N249" s="33"/>
      <c r="O249" s="33"/>
      <c r="P249" s="56"/>
      <c r="Q249" s="33"/>
      <c r="R249" s="56"/>
      <c r="S249" s="56"/>
      <c r="T249" s="33"/>
      <c r="U249" s="33"/>
      <c r="V249" s="56"/>
      <c r="W249" s="33"/>
      <c r="X249" s="56"/>
      <c r="Y249" s="56"/>
      <c r="Z249" s="33"/>
      <c r="AA249" s="33"/>
      <c r="AB249" s="18" t="s">
        <v>33</v>
      </c>
      <c r="AC249" s="168">
        <f t="shared" si="233"/>
        <v>1</v>
      </c>
      <c r="AD249" s="167">
        <v>0</v>
      </c>
      <c r="AE249" s="167">
        <v>0</v>
      </c>
      <c r="AF249" s="169">
        <f t="shared" si="258"/>
        <v>0</v>
      </c>
      <c r="AG249" s="118">
        <f t="shared" si="259"/>
        <v>0</v>
      </c>
      <c r="AH249" s="80">
        <f t="shared" si="260"/>
        <v>1</v>
      </c>
      <c r="AI249" s="128">
        <f t="shared" si="261"/>
        <v>1</v>
      </c>
      <c r="AJ249" s="111">
        <v>0</v>
      </c>
      <c r="AK249" s="111">
        <v>0</v>
      </c>
      <c r="AL249" s="112">
        <f t="shared" ca="1" si="262"/>
        <v>0</v>
      </c>
      <c r="AM249" s="112">
        <f t="shared" si="263"/>
        <v>0</v>
      </c>
      <c r="AN249" s="80">
        <f t="shared" si="264"/>
        <v>1</v>
      </c>
      <c r="AO249" s="12">
        <f t="shared" si="265"/>
        <v>1</v>
      </c>
      <c r="AP249" s="10">
        <v>0</v>
      </c>
      <c r="AQ249" s="10">
        <v>0</v>
      </c>
      <c r="AR249" s="12">
        <f t="shared" si="266"/>
        <v>0</v>
      </c>
      <c r="AS249" s="12">
        <f t="shared" si="267"/>
        <v>0</v>
      </c>
      <c r="AT249" s="13">
        <f t="shared" si="268"/>
        <v>1</v>
      </c>
      <c r="AU249" s="12">
        <f t="shared" si="269"/>
        <v>1</v>
      </c>
      <c r="AV249" s="10">
        <v>0</v>
      </c>
      <c r="AW249" s="10">
        <v>0</v>
      </c>
      <c r="AX249" s="12">
        <f t="shared" si="270"/>
        <v>0</v>
      </c>
      <c r="AY249" s="12">
        <f t="shared" si="271"/>
        <v>0</v>
      </c>
      <c r="AZ249" s="32">
        <f t="shared" si="272"/>
        <v>1</v>
      </c>
      <c r="BA249" s="12">
        <f t="shared" si="273"/>
        <v>1</v>
      </c>
      <c r="BB249" s="10">
        <v>0</v>
      </c>
      <c r="BC249" s="10">
        <v>0</v>
      </c>
      <c r="BD249" s="12">
        <f t="shared" si="274"/>
        <v>0</v>
      </c>
      <c r="BE249" s="12">
        <f t="shared" si="275"/>
        <v>0</v>
      </c>
      <c r="BF249" s="32">
        <f t="shared" ref="BF249" si="356">AZ249-BB249+BC249</f>
        <v>1</v>
      </c>
      <c r="BG249" s="68">
        <f t="shared" si="277"/>
        <v>1</v>
      </c>
      <c r="BH249" s="70">
        <v>0</v>
      </c>
      <c r="BI249" s="70">
        <v>0</v>
      </c>
      <c r="BJ249" s="67">
        <f t="shared" si="278"/>
        <v>0</v>
      </c>
      <c r="BK249" s="67">
        <f t="shared" si="279"/>
        <v>0</v>
      </c>
      <c r="BL249" s="32">
        <f t="shared" si="346"/>
        <v>1</v>
      </c>
      <c r="BM249" s="68">
        <f t="shared" si="281"/>
        <v>1</v>
      </c>
      <c r="BN249" s="70">
        <v>0</v>
      </c>
      <c r="BO249" s="70">
        <v>0</v>
      </c>
      <c r="BP249" s="67">
        <f t="shared" si="282"/>
        <v>0</v>
      </c>
      <c r="BQ249" s="67">
        <f t="shared" si="283"/>
        <v>0</v>
      </c>
      <c r="BR249" s="32">
        <f t="shared" si="347"/>
        <v>1</v>
      </c>
      <c r="BS249" s="68">
        <f t="shared" si="285"/>
        <v>1</v>
      </c>
      <c r="BT249" s="70">
        <v>0</v>
      </c>
      <c r="BU249" s="70">
        <v>0</v>
      </c>
      <c r="BV249" s="67">
        <f t="shared" si="286"/>
        <v>0</v>
      </c>
      <c r="BW249" s="67">
        <f t="shared" si="287"/>
        <v>0</v>
      </c>
      <c r="BX249" s="32">
        <f t="shared" si="348"/>
        <v>1</v>
      </c>
      <c r="BY249" s="68">
        <f t="shared" si="289"/>
        <v>1</v>
      </c>
      <c r="BZ249" s="70">
        <v>0</v>
      </c>
      <c r="CA249" s="70">
        <v>0</v>
      </c>
      <c r="CB249" s="67">
        <f t="shared" si="290"/>
        <v>0</v>
      </c>
      <c r="CC249" s="43">
        <f t="shared" si="291"/>
        <v>0</v>
      </c>
      <c r="CD249" s="32">
        <f t="shared" si="350"/>
        <v>1</v>
      </c>
      <c r="CE249" s="71">
        <f t="shared" si="293"/>
        <v>1</v>
      </c>
    </row>
    <row r="250" spans="1:83" ht="60" customHeight="1">
      <c r="A250" s="148" t="s">
        <v>797</v>
      </c>
      <c r="B250" s="148" t="s">
        <v>798</v>
      </c>
      <c r="C250" s="151" t="s">
        <v>799</v>
      </c>
      <c r="D250" s="148" t="s">
        <v>171</v>
      </c>
      <c r="E250" s="150"/>
      <c r="F250" s="150"/>
      <c r="G250" s="153"/>
      <c r="H250" s="170">
        <v>9</v>
      </c>
      <c r="I250" s="159">
        <v>1</v>
      </c>
      <c r="J250" s="56"/>
      <c r="K250" s="12"/>
      <c r="L250" s="10"/>
      <c r="M250" s="10"/>
      <c r="N250" s="33"/>
      <c r="O250" s="33"/>
      <c r="P250" s="56"/>
      <c r="Q250" s="33"/>
      <c r="R250" s="56"/>
      <c r="S250" s="56"/>
      <c r="T250" s="33"/>
      <c r="U250" s="33"/>
      <c r="V250" s="56"/>
      <c r="W250" s="33"/>
      <c r="X250" s="56"/>
      <c r="Y250" s="56"/>
      <c r="Z250" s="33"/>
      <c r="AA250" s="33"/>
      <c r="AB250" s="18" t="s">
        <v>70</v>
      </c>
      <c r="AC250" s="168">
        <f t="shared" si="233"/>
        <v>9</v>
      </c>
      <c r="AD250" s="167">
        <v>0</v>
      </c>
      <c r="AE250" s="167">
        <v>0</v>
      </c>
      <c r="AF250" s="169">
        <f t="shared" si="258"/>
        <v>0</v>
      </c>
      <c r="AG250" s="118">
        <f t="shared" si="259"/>
        <v>0</v>
      </c>
      <c r="AH250" s="80">
        <f t="shared" si="260"/>
        <v>9</v>
      </c>
      <c r="AI250" s="128">
        <f t="shared" si="261"/>
        <v>9</v>
      </c>
      <c r="AJ250" s="111">
        <v>0</v>
      </c>
      <c r="AK250" s="111">
        <v>0</v>
      </c>
      <c r="AL250" s="112">
        <f t="shared" ca="1" si="262"/>
        <v>0</v>
      </c>
      <c r="AM250" s="112">
        <f t="shared" si="263"/>
        <v>0</v>
      </c>
      <c r="AN250" s="80">
        <f t="shared" si="264"/>
        <v>9</v>
      </c>
      <c r="AO250" s="12">
        <f t="shared" si="265"/>
        <v>9</v>
      </c>
      <c r="AP250" s="10">
        <v>0</v>
      </c>
      <c r="AQ250" s="10">
        <v>0</v>
      </c>
      <c r="AR250" s="12">
        <f t="shared" si="266"/>
        <v>0</v>
      </c>
      <c r="AS250" s="12">
        <f t="shared" si="267"/>
        <v>0</v>
      </c>
      <c r="AT250" s="13">
        <f t="shared" si="268"/>
        <v>9</v>
      </c>
      <c r="AU250" s="12">
        <f t="shared" si="269"/>
        <v>9</v>
      </c>
      <c r="AV250" s="10">
        <v>0</v>
      </c>
      <c r="AW250" s="10">
        <v>0</v>
      </c>
      <c r="AX250" s="12">
        <f t="shared" si="270"/>
        <v>0</v>
      </c>
      <c r="AY250" s="12">
        <f t="shared" si="271"/>
        <v>0</v>
      </c>
      <c r="AZ250" s="32">
        <f t="shared" si="272"/>
        <v>9</v>
      </c>
      <c r="BA250" s="12">
        <f t="shared" si="273"/>
        <v>9</v>
      </c>
      <c r="BB250" s="10">
        <v>0</v>
      </c>
      <c r="BC250" s="10">
        <v>0</v>
      </c>
      <c r="BD250" s="12">
        <f t="shared" si="274"/>
        <v>0</v>
      </c>
      <c r="BE250" s="12">
        <f t="shared" si="275"/>
        <v>0</v>
      </c>
      <c r="BF250" s="32">
        <f t="shared" ref="BF250" si="357">AZ250-BB250+BC250</f>
        <v>9</v>
      </c>
      <c r="BG250" s="68">
        <f t="shared" si="277"/>
        <v>9</v>
      </c>
      <c r="BH250" s="70">
        <v>0</v>
      </c>
      <c r="BI250" s="70">
        <v>0</v>
      </c>
      <c r="BJ250" s="67">
        <f t="shared" si="278"/>
        <v>0</v>
      </c>
      <c r="BK250" s="67">
        <f t="shared" si="279"/>
        <v>0</v>
      </c>
      <c r="BL250" s="32">
        <f t="shared" si="346"/>
        <v>9</v>
      </c>
      <c r="BM250" s="68">
        <f t="shared" si="281"/>
        <v>9</v>
      </c>
      <c r="BN250" s="70">
        <v>0</v>
      </c>
      <c r="BO250" s="70">
        <v>0</v>
      </c>
      <c r="BP250" s="67">
        <f t="shared" si="282"/>
        <v>0</v>
      </c>
      <c r="BQ250" s="67">
        <f t="shared" si="283"/>
        <v>0</v>
      </c>
      <c r="BR250" s="32">
        <f t="shared" si="347"/>
        <v>9</v>
      </c>
      <c r="BS250" s="68">
        <f t="shared" si="285"/>
        <v>9</v>
      </c>
      <c r="BT250" s="70">
        <v>0</v>
      </c>
      <c r="BU250" s="70">
        <v>0</v>
      </c>
      <c r="BV250" s="67">
        <f t="shared" si="286"/>
        <v>0</v>
      </c>
      <c r="BW250" s="67">
        <f t="shared" si="287"/>
        <v>0</v>
      </c>
      <c r="BX250" s="32">
        <f t="shared" si="348"/>
        <v>9</v>
      </c>
      <c r="BY250" s="68">
        <f t="shared" si="289"/>
        <v>9</v>
      </c>
      <c r="BZ250" s="70">
        <v>0</v>
      </c>
      <c r="CA250" s="70">
        <v>0</v>
      </c>
      <c r="CB250" s="67">
        <f t="shared" si="290"/>
        <v>0</v>
      </c>
      <c r="CC250" s="43">
        <f t="shared" si="291"/>
        <v>0</v>
      </c>
      <c r="CD250" s="32">
        <f t="shared" si="350"/>
        <v>9</v>
      </c>
      <c r="CE250" s="71">
        <f t="shared" si="293"/>
        <v>9</v>
      </c>
    </row>
    <row r="251" spans="1:83" ht="57" customHeight="1">
      <c r="A251" s="148" t="s">
        <v>800</v>
      </c>
      <c r="B251" s="148" t="s">
        <v>801</v>
      </c>
      <c r="C251" s="151" t="s">
        <v>802</v>
      </c>
      <c r="D251" s="148" t="s">
        <v>727</v>
      </c>
      <c r="E251" s="150"/>
      <c r="F251" s="150"/>
      <c r="G251" s="153"/>
      <c r="H251" s="170">
        <v>1</v>
      </c>
      <c r="I251" s="159">
        <v>1</v>
      </c>
      <c r="J251" s="56"/>
      <c r="K251" s="12"/>
      <c r="L251" s="10"/>
      <c r="M251" s="10"/>
      <c r="N251" s="33"/>
      <c r="O251" s="33"/>
      <c r="P251" s="56"/>
      <c r="Q251" s="33"/>
      <c r="R251" s="56"/>
      <c r="S251" s="56"/>
      <c r="T251" s="33"/>
      <c r="U251" s="33"/>
      <c r="V251" s="56"/>
      <c r="W251" s="33"/>
      <c r="X251" s="56"/>
      <c r="Y251" s="56"/>
      <c r="Z251" s="33"/>
      <c r="AA251" s="33"/>
      <c r="AB251" s="18" t="s">
        <v>33</v>
      </c>
      <c r="AC251" s="168">
        <f t="shared" si="233"/>
        <v>1</v>
      </c>
      <c r="AD251" s="167">
        <v>0</v>
      </c>
      <c r="AE251" s="167">
        <v>0</v>
      </c>
      <c r="AF251" s="169">
        <f t="shared" si="258"/>
        <v>0</v>
      </c>
      <c r="AG251" s="118">
        <f t="shared" si="259"/>
        <v>0</v>
      </c>
      <c r="AH251" s="80">
        <f t="shared" si="260"/>
        <v>1</v>
      </c>
      <c r="AI251" s="128">
        <f t="shared" si="261"/>
        <v>1</v>
      </c>
      <c r="AJ251" s="111">
        <v>0</v>
      </c>
      <c r="AK251" s="111">
        <v>0</v>
      </c>
      <c r="AL251" s="112">
        <f t="shared" ca="1" si="262"/>
        <v>0</v>
      </c>
      <c r="AM251" s="112">
        <f t="shared" si="263"/>
        <v>0</v>
      </c>
      <c r="AN251" s="80">
        <f t="shared" si="264"/>
        <v>1</v>
      </c>
      <c r="AO251" s="12">
        <f t="shared" si="265"/>
        <v>1</v>
      </c>
      <c r="AP251" s="10">
        <v>0</v>
      </c>
      <c r="AQ251" s="10">
        <v>0</v>
      </c>
      <c r="AR251" s="12">
        <f t="shared" si="266"/>
        <v>0</v>
      </c>
      <c r="AS251" s="12">
        <f t="shared" si="267"/>
        <v>0</v>
      </c>
      <c r="AT251" s="13">
        <f t="shared" si="268"/>
        <v>1</v>
      </c>
      <c r="AU251" s="12">
        <f t="shared" si="269"/>
        <v>1</v>
      </c>
      <c r="AV251" s="10">
        <v>0</v>
      </c>
      <c r="AW251" s="10">
        <v>0</v>
      </c>
      <c r="AX251" s="12">
        <f t="shared" si="270"/>
        <v>0</v>
      </c>
      <c r="AY251" s="12">
        <f t="shared" si="271"/>
        <v>0</v>
      </c>
      <c r="AZ251" s="32">
        <f t="shared" si="272"/>
        <v>1</v>
      </c>
      <c r="BA251" s="12">
        <f t="shared" si="273"/>
        <v>1</v>
      </c>
      <c r="BB251" s="10">
        <v>0</v>
      </c>
      <c r="BC251" s="10">
        <v>0</v>
      </c>
      <c r="BD251" s="12">
        <f t="shared" si="274"/>
        <v>0</v>
      </c>
      <c r="BE251" s="12">
        <f t="shared" si="275"/>
        <v>0</v>
      </c>
      <c r="BF251" s="32">
        <f t="shared" ref="BF251" si="358">AZ251-BB251+BC251</f>
        <v>1</v>
      </c>
      <c r="BG251" s="68">
        <f t="shared" si="277"/>
        <v>1</v>
      </c>
      <c r="BH251" s="70">
        <v>0</v>
      </c>
      <c r="BI251" s="70">
        <v>0</v>
      </c>
      <c r="BJ251" s="67">
        <f t="shared" si="278"/>
        <v>0</v>
      </c>
      <c r="BK251" s="67">
        <f t="shared" si="279"/>
        <v>0</v>
      </c>
      <c r="BL251" s="32">
        <f t="shared" ref="BL251" si="359">BF251-BH251+BI251</f>
        <v>1</v>
      </c>
      <c r="BM251" s="68">
        <f t="shared" si="281"/>
        <v>1</v>
      </c>
      <c r="BN251" s="70">
        <v>0</v>
      </c>
      <c r="BO251" s="70">
        <v>0</v>
      </c>
      <c r="BP251" s="67">
        <f t="shared" si="282"/>
        <v>0</v>
      </c>
      <c r="BQ251" s="67">
        <f t="shared" si="283"/>
        <v>0</v>
      </c>
      <c r="BR251" s="32">
        <f t="shared" ref="BR251" si="360">BL251-BN251+BO251</f>
        <v>1</v>
      </c>
      <c r="BS251" s="68">
        <f t="shared" si="285"/>
        <v>1</v>
      </c>
      <c r="BT251" s="70">
        <v>0</v>
      </c>
      <c r="BU251" s="70">
        <v>0</v>
      </c>
      <c r="BV251" s="67">
        <f t="shared" si="286"/>
        <v>0</v>
      </c>
      <c r="BW251" s="67">
        <f t="shared" si="287"/>
        <v>0</v>
      </c>
      <c r="BX251" s="32">
        <f t="shared" ref="BX251" si="361">BR251-BT251+BU251</f>
        <v>1</v>
      </c>
      <c r="BY251" s="68">
        <f t="shared" si="289"/>
        <v>1</v>
      </c>
      <c r="BZ251" s="70">
        <v>0</v>
      </c>
      <c r="CA251" s="70">
        <v>0</v>
      </c>
      <c r="CB251" s="67">
        <f t="shared" si="290"/>
        <v>0</v>
      </c>
      <c r="CC251" s="43">
        <f t="shared" si="291"/>
        <v>0</v>
      </c>
      <c r="CD251" s="32">
        <f t="shared" si="350"/>
        <v>1</v>
      </c>
      <c r="CE251" s="71">
        <f t="shared" si="293"/>
        <v>1</v>
      </c>
    </row>
    <row r="252" spans="1:83" ht="48" customHeight="1">
      <c r="A252" s="148" t="s">
        <v>803</v>
      </c>
      <c r="B252" s="148" t="s">
        <v>804</v>
      </c>
      <c r="C252" s="151" t="s">
        <v>805</v>
      </c>
      <c r="D252" s="148" t="s">
        <v>110</v>
      </c>
      <c r="E252" s="154"/>
      <c r="F252" s="154"/>
      <c r="G252" s="154"/>
      <c r="H252" s="170">
        <v>558</v>
      </c>
      <c r="I252" s="159">
        <v>1</v>
      </c>
      <c r="J252" s="56"/>
      <c r="K252" s="12"/>
      <c r="L252" s="10"/>
      <c r="M252" s="10"/>
      <c r="N252" s="33"/>
      <c r="O252" s="33"/>
      <c r="P252" s="56"/>
      <c r="Q252" s="33"/>
      <c r="R252" s="56"/>
      <c r="S252" s="56"/>
      <c r="T252" s="33"/>
      <c r="U252" s="33"/>
      <c r="V252" s="56"/>
      <c r="W252" s="33"/>
      <c r="X252" s="56"/>
      <c r="Y252" s="56"/>
      <c r="Z252" s="33"/>
      <c r="AA252" s="33"/>
      <c r="AB252" s="18" t="s">
        <v>806</v>
      </c>
      <c r="AC252" s="168">
        <f t="shared" si="233"/>
        <v>558</v>
      </c>
      <c r="AD252" s="167">
        <v>0</v>
      </c>
      <c r="AE252" s="167">
        <v>0</v>
      </c>
      <c r="AF252" s="169">
        <f t="shared" si="258"/>
        <v>0</v>
      </c>
      <c r="AG252" s="118">
        <f t="shared" si="259"/>
        <v>0</v>
      </c>
      <c r="AH252" s="80">
        <f t="shared" si="260"/>
        <v>558</v>
      </c>
      <c r="AI252" s="128">
        <f t="shared" si="261"/>
        <v>558</v>
      </c>
      <c r="AJ252" s="111">
        <v>0</v>
      </c>
      <c r="AK252" s="111">
        <v>0</v>
      </c>
      <c r="AL252" s="112">
        <f t="shared" ca="1" si="262"/>
        <v>0</v>
      </c>
      <c r="AM252" s="112">
        <f t="shared" si="263"/>
        <v>0</v>
      </c>
      <c r="AN252" s="80">
        <f t="shared" si="264"/>
        <v>558</v>
      </c>
      <c r="AO252" s="12">
        <f t="shared" si="265"/>
        <v>558</v>
      </c>
      <c r="AP252" s="10">
        <v>0</v>
      </c>
      <c r="AQ252" s="10">
        <v>0</v>
      </c>
      <c r="AR252" s="12">
        <f t="shared" si="266"/>
        <v>0</v>
      </c>
      <c r="AS252" s="12">
        <f t="shared" si="267"/>
        <v>0</v>
      </c>
      <c r="AT252" s="13">
        <f t="shared" si="268"/>
        <v>558</v>
      </c>
      <c r="AU252" s="12">
        <f t="shared" si="269"/>
        <v>558</v>
      </c>
      <c r="AV252" s="10">
        <v>0</v>
      </c>
      <c r="AW252" s="10">
        <v>0</v>
      </c>
      <c r="AX252" s="12">
        <f t="shared" si="270"/>
        <v>0</v>
      </c>
      <c r="AY252" s="12">
        <f t="shared" si="271"/>
        <v>0</v>
      </c>
      <c r="AZ252" s="32">
        <f t="shared" si="272"/>
        <v>558</v>
      </c>
      <c r="BA252" s="12">
        <f t="shared" si="273"/>
        <v>558</v>
      </c>
      <c r="BB252" s="10">
        <v>0</v>
      </c>
      <c r="BC252" s="10">
        <v>0</v>
      </c>
      <c r="BD252" s="12">
        <f t="shared" si="274"/>
        <v>0</v>
      </c>
      <c r="BE252" s="12">
        <f t="shared" si="275"/>
        <v>0</v>
      </c>
      <c r="BF252" s="32">
        <f t="shared" ref="BF252" si="362">AZ252-BB252+BC252</f>
        <v>558</v>
      </c>
      <c r="BG252" s="68">
        <f t="shared" si="277"/>
        <v>558</v>
      </c>
      <c r="BH252" s="70">
        <v>0</v>
      </c>
      <c r="BI252" s="70">
        <v>0</v>
      </c>
      <c r="BJ252" s="67">
        <f t="shared" si="278"/>
        <v>0</v>
      </c>
      <c r="BK252" s="67">
        <f t="shared" si="279"/>
        <v>0</v>
      </c>
      <c r="BL252" s="32">
        <f t="shared" ref="BL252" si="363">BF252-BH252+BI252</f>
        <v>558</v>
      </c>
      <c r="BM252" s="68">
        <f t="shared" si="281"/>
        <v>558</v>
      </c>
      <c r="BN252" s="70">
        <v>0</v>
      </c>
      <c r="BO252" s="70">
        <v>0</v>
      </c>
      <c r="BP252" s="67">
        <f t="shared" si="282"/>
        <v>0</v>
      </c>
      <c r="BQ252" s="67">
        <f t="shared" si="283"/>
        <v>0</v>
      </c>
      <c r="BR252" s="32">
        <f t="shared" ref="BR252" si="364">BL252-BN252+BO252</f>
        <v>558</v>
      </c>
      <c r="BS252" s="68">
        <f t="shared" si="285"/>
        <v>558</v>
      </c>
      <c r="BT252" s="70">
        <v>0</v>
      </c>
      <c r="BU252" s="70">
        <v>0</v>
      </c>
      <c r="BV252" s="67">
        <f t="shared" si="286"/>
        <v>0</v>
      </c>
      <c r="BW252" s="67">
        <f t="shared" si="287"/>
        <v>0</v>
      </c>
      <c r="BX252" s="32">
        <f t="shared" ref="BX252" si="365">BR252-BT252+BU252</f>
        <v>558</v>
      </c>
      <c r="BY252" s="68">
        <f t="shared" si="289"/>
        <v>558</v>
      </c>
      <c r="BZ252" s="70">
        <v>0</v>
      </c>
      <c r="CA252" s="70">
        <v>0</v>
      </c>
      <c r="CB252" s="67">
        <f t="shared" si="290"/>
        <v>0</v>
      </c>
      <c r="CC252" s="43">
        <f t="shared" si="291"/>
        <v>0</v>
      </c>
      <c r="CD252" s="32">
        <f t="shared" ref="CD252" si="366">BX252-BZ252+CA252</f>
        <v>558</v>
      </c>
      <c r="CE252" s="71">
        <f t="shared" si="293"/>
        <v>558</v>
      </c>
    </row>
    <row r="253" spans="1:83" ht="48" customHeight="1">
      <c r="A253" s="148" t="s">
        <v>42</v>
      </c>
      <c r="B253" s="148" t="s">
        <v>807</v>
      </c>
      <c r="C253" s="151" t="s">
        <v>808</v>
      </c>
      <c r="D253" s="148" t="s">
        <v>181</v>
      </c>
      <c r="E253" s="154"/>
      <c r="F253" s="154"/>
      <c r="G253" s="154"/>
      <c r="H253" s="170">
        <v>794</v>
      </c>
      <c r="I253" s="159">
        <v>1</v>
      </c>
      <c r="J253" s="56"/>
      <c r="K253" s="12"/>
      <c r="L253" s="10"/>
      <c r="M253" s="10"/>
      <c r="N253" s="33"/>
      <c r="O253" s="33"/>
      <c r="P253" s="56"/>
      <c r="Q253" s="33"/>
      <c r="R253" s="56"/>
      <c r="S253" s="56"/>
      <c r="T253" s="33"/>
      <c r="U253" s="33"/>
      <c r="V253" s="56"/>
      <c r="W253" s="33"/>
      <c r="X253" s="56"/>
      <c r="Y253" s="56"/>
      <c r="Z253" s="33"/>
      <c r="AA253" s="33"/>
      <c r="AB253" s="18" t="s">
        <v>809</v>
      </c>
      <c r="AC253" s="168">
        <f t="shared" si="233"/>
        <v>794</v>
      </c>
      <c r="AD253" s="167">
        <v>0</v>
      </c>
      <c r="AE253" s="167">
        <v>0</v>
      </c>
      <c r="AF253" s="169">
        <f t="shared" si="258"/>
        <v>0</v>
      </c>
      <c r="AG253" s="118">
        <f t="shared" si="259"/>
        <v>0</v>
      </c>
      <c r="AH253" s="80">
        <f t="shared" si="260"/>
        <v>794</v>
      </c>
      <c r="AI253" s="128">
        <f t="shared" si="261"/>
        <v>794</v>
      </c>
      <c r="AJ253" s="111">
        <v>0</v>
      </c>
      <c r="AK253" s="111">
        <v>0</v>
      </c>
      <c r="AL253" s="112">
        <f t="shared" ca="1" si="262"/>
        <v>0</v>
      </c>
      <c r="AM253" s="112">
        <f t="shared" si="263"/>
        <v>0</v>
      </c>
      <c r="AN253" s="80">
        <f t="shared" si="264"/>
        <v>794</v>
      </c>
      <c r="AO253" s="12">
        <f t="shared" si="265"/>
        <v>794</v>
      </c>
      <c r="AP253" s="10">
        <v>0</v>
      </c>
      <c r="AQ253" s="10">
        <v>0</v>
      </c>
      <c r="AR253" s="12">
        <f t="shared" si="266"/>
        <v>0</v>
      </c>
      <c r="AS253" s="12">
        <f t="shared" si="267"/>
        <v>0</v>
      </c>
      <c r="AT253" s="13">
        <f t="shared" si="268"/>
        <v>794</v>
      </c>
      <c r="AU253" s="12">
        <f t="shared" si="269"/>
        <v>794</v>
      </c>
      <c r="AV253" s="10">
        <v>0</v>
      </c>
      <c r="AW253" s="10">
        <v>0</v>
      </c>
      <c r="AX253" s="12">
        <f t="shared" si="270"/>
        <v>0</v>
      </c>
      <c r="AY253" s="12">
        <f t="shared" si="271"/>
        <v>0</v>
      </c>
      <c r="AZ253" s="32">
        <f t="shared" si="272"/>
        <v>794</v>
      </c>
      <c r="BA253" s="12">
        <f t="shared" si="273"/>
        <v>794</v>
      </c>
      <c r="BB253" s="10">
        <v>0</v>
      </c>
      <c r="BC253" s="10">
        <v>0</v>
      </c>
      <c r="BD253" s="12">
        <f t="shared" si="274"/>
        <v>0</v>
      </c>
      <c r="BE253" s="12">
        <f t="shared" si="275"/>
        <v>0</v>
      </c>
      <c r="BF253" s="32">
        <f t="shared" ref="BF253" si="367">AZ253-BB253+BC253</f>
        <v>794</v>
      </c>
      <c r="BG253" s="68">
        <f t="shared" si="277"/>
        <v>794</v>
      </c>
      <c r="BH253" s="70">
        <v>0</v>
      </c>
      <c r="BI253" s="70">
        <v>0</v>
      </c>
      <c r="BJ253" s="67">
        <f t="shared" si="278"/>
        <v>0</v>
      </c>
      <c r="BK253" s="67">
        <f t="shared" si="279"/>
        <v>0</v>
      </c>
      <c r="BL253" s="32">
        <f t="shared" ref="BL253" si="368">BF253-BH253+BI253</f>
        <v>794</v>
      </c>
      <c r="BM253" s="68">
        <f t="shared" si="281"/>
        <v>794</v>
      </c>
      <c r="BN253" s="70">
        <v>0</v>
      </c>
      <c r="BO253" s="70">
        <v>0</v>
      </c>
      <c r="BP253" s="67">
        <f t="shared" si="282"/>
        <v>0</v>
      </c>
      <c r="BQ253" s="67">
        <f t="shared" si="283"/>
        <v>0</v>
      </c>
      <c r="BR253" s="32">
        <f t="shared" ref="BR253" si="369">BL253-BN253+BO253</f>
        <v>794</v>
      </c>
      <c r="BS253" s="68">
        <f t="shared" si="285"/>
        <v>794</v>
      </c>
      <c r="BT253" s="70">
        <v>0</v>
      </c>
      <c r="BU253" s="70">
        <v>0</v>
      </c>
      <c r="BV253" s="67">
        <f t="shared" si="286"/>
        <v>0</v>
      </c>
      <c r="BW253" s="67">
        <f t="shared" si="287"/>
        <v>0</v>
      </c>
      <c r="BX253" s="32">
        <f t="shared" ref="BX253" si="370">BR253-BT253+BU253</f>
        <v>794</v>
      </c>
      <c r="BY253" s="68">
        <f t="shared" si="289"/>
        <v>794</v>
      </c>
      <c r="BZ253" s="70">
        <v>0</v>
      </c>
      <c r="CA253" s="70">
        <v>0</v>
      </c>
      <c r="CB253" s="67">
        <f t="shared" si="290"/>
        <v>0</v>
      </c>
      <c r="CC253" s="43">
        <f t="shared" si="291"/>
        <v>0</v>
      </c>
      <c r="CD253" s="32">
        <f t="shared" ref="CD253" si="371">BX253-BZ253+CA253</f>
        <v>794</v>
      </c>
      <c r="CE253" s="71">
        <f t="shared" si="293"/>
        <v>794</v>
      </c>
    </row>
    <row r="254" spans="1:83" ht="48" customHeight="1">
      <c r="A254" s="148" t="s">
        <v>810</v>
      </c>
      <c r="B254" s="148" t="s">
        <v>811</v>
      </c>
      <c r="C254" s="151" t="s">
        <v>812</v>
      </c>
      <c r="D254" s="148" t="s">
        <v>46</v>
      </c>
      <c r="E254" s="154"/>
      <c r="F254" s="154"/>
      <c r="G254" s="154"/>
      <c r="H254" s="170">
        <v>710</v>
      </c>
      <c r="I254" s="159">
        <v>1</v>
      </c>
      <c r="J254" s="56"/>
      <c r="K254" s="12"/>
      <c r="L254" s="10"/>
      <c r="M254" s="10"/>
      <c r="N254" s="33"/>
      <c r="O254" s="33"/>
      <c r="P254" s="56"/>
      <c r="Q254" s="33"/>
      <c r="R254" s="56"/>
      <c r="S254" s="56"/>
      <c r="T254" s="33"/>
      <c r="U254" s="33"/>
      <c r="V254" s="56"/>
      <c r="W254" s="33"/>
      <c r="X254" s="56"/>
      <c r="Y254" s="56"/>
      <c r="Z254" s="33"/>
      <c r="AA254" s="33"/>
      <c r="AB254" s="18" t="s">
        <v>813</v>
      </c>
      <c r="AC254" s="168">
        <f t="shared" si="233"/>
        <v>710</v>
      </c>
      <c r="AD254" s="167">
        <v>0</v>
      </c>
      <c r="AE254" s="167">
        <v>0</v>
      </c>
      <c r="AF254" s="169">
        <f t="shared" si="258"/>
        <v>0</v>
      </c>
      <c r="AG254" s="118">
        <f t="shared" si="259"/>
        <v>0</v>
      </c>
      <c r="AH254" s="80">
        <f t="shared" si="260"/>
        <v>710</v>
      </c>
      <c r="AI254" s="128">
        <f t="shared" si="261"/>
        <v>710</v>
      </c>
      <c r="AJ254" s="111">
        <v>0</v>
      </c>
      <c r="AK254" s="111">
        <v>0</v>
      </c>
      <c r="AL254" s="112">
        <f t="shared" ca="1" si="262"/>
        <v>0</v>
      </c>
      <c r="AM254" s="112">
        <f t="shared" si="263"/>
        <v>0</v>
      </c>
      <c r="AN254" s="80">
        <f t="shared" si="264"/>
        <v>710</v>
      </c>
      <c r="AO254" s="12">
        <f t="shared" si="265"/>
        <v>710</v>
      </c>
      <c r="AP254" s="10">
        <v>0</v>
      </c>
      <c r="AQ254" s="10">
        <v>0</v>
      </c>
      <c r="AR254" s="12">
        <f t="shared" si="266"/>
        <v>0</v>
      </c>
      <c r="AS254" s="12">
        <f t="shared" si="267"/>
        <v>0</v>
      </c>
      <c r="AT254" s="13">
        <f t="shared" si="268"/>
        <v>710</v>
      </c>
      <c r="AU254" s="12">
        <f t="shared" si="269"/>
        <v>710</v>
      </c>
      <c r="AV254" s="10">
        <v>0</v>
      </c>
      <c r="AW254" s="10">
        <v>0</v>
      </c>
      <c r="AX254" s="12">
        <f t="shared" si="270"/>
        <v>0</v>
      </c>
      <c r="AY254" s="12">
        <f t="shared" si="271"/>
        <v>0</v>
      </c>
      <c r="AZ254" s="32">
        <f t="shared" si="272"/>
        <v>710</v>
      </c>
      <c r="BA254" s="12">
        <f t="shared" si="273"/>
        <v>710</v>
      </c>
      <c r="BB254" s="10">
        <v>0</v>
      </c>
      <c r="BC254" s="10">
        <v>0</v>
      </c>
      <c r="BD254" s="12">
        <f t="shared" si="274"/>
        <v>0</v>
      </c>
      <c r="BE254" s="12">
        <f t="shared" si="275"/>
        <v>0</v>
      </c>
      <c r="BF254" s="32">
        <f t="shared" ref="BF254" si="372">AZ254-BB254+BC254</f>
        <v>710</v>
      </c>
      <c r="BG254" s="68">
        <f t="shared" si="277"/>
        <v>710</v>
      </c>
      <c r="BH254" s="70">
        <v>0</v>
      </c>
      <c r="BI254" s="70">
        <v>0</v>
      </c>
      <c r="BJ254" s="67">
        <f t="shared" si="278"/>
        <v>0</v>
      </c>
      <c r="BK254" s="67">
        <f t="shared" si="279"/>
        <v>0</v>
      </c>
      <c r="BL254" s="32">
        <f t="shared" ref="BL254" si="373">BF254-BH254+BI254</f>
        <v>710</v>
      </c>
      <c r="BM254" s="68">
        <f t="shared" si="281"/>
        <v>710</v>
      </c>
      <c r="BN254" s="70">
        <v>0</v>
      </c>
      <c r="BO254" s="70">
        <v>0</v>
      </c>
      <c r="BP254" s="67">
        <f t="shared" si="282"/>
        <v>0</v>
      </c>
      <c r="BQ254" s="67">
        <f t="shared" si="283"/>
        <v>0</v>
      </c>
      <c r="BR254" s="32">
        <f t="shared" ref="BR254" si="374">BL254-BN254+BO254</f>
        <v>710</v>
      </c>
      <c r="BS254" s="68">
        <f t="shared" si="285"/>
        <v>710</v>
      </c>
      <c r="BT254" s="70">
        <v>0</v>
      </c>
      <c r="BU254" s="70">
        <v>0</v>
      </c>
      <c r="BV254" s="67">
        <f t="shared" si="286"/>
        <v>0</v>
      </c>
      <c r="BW254" s="67">
        <f t="shared" si="287"/>
        <v>0</v>
      </c>
      <c r="BX254" s="32">
        <f t="shared" ref="BX254" si="375">BR254-BT254+BU254</f>
        <v>710</v>
      </c>
      <c r="BY254" s="68">
        <f t="shared" si="289"/>
        <v>710</v>
      </c>
      <c r="BZ254" s="70">
        <v>0</v>
      </c>
      <c r="CA254" s="70">
        <v>0</v>
      </c>
      <c r="CB254" s="67">
        <f t="shared" si="290"/>
        <v>0</v>
      </c>
      <c r="CC254" s="43">
        <f t="shared" si="291"/>
        <v>0</v>
      </c>
      <c r="CD254" s="32">
        <f t="shared" ref="CD254" si="376">BX254-BZ254+CA254</f>
        <v>710</v>
      </c>
      <c r="CE254" s="71">
        <f t="shared" si="293"/>
        <v>710</v>
      </c>
    </row>
    <row r="255" spans="1:83" ht="48" customHeight="1">
      <c r="A255" s="148" t="s">
        <v>814</v>
      </c>
      <c r="B255" s="148" t="s">
        <v>815</v>
      </c>
      <c r="C255" s="151" t="s">
        <v>816</v>
      </c>
      <c r="D255" s="148" t="s">
        <v>110</v>
      </c>
      <c r="E255" s="154"/>
      <c r="F255" s="154"/>
      <c r="G255" s="154"/>
      <c r="H255" s="170">
        <v>188</v>
      </c>
      <c r="I255" s="159">
        <v>1</v>
      </c>
      <c r="J255" s="56"/>
      <c r="K255" s="12"/>
      <c r="L255" s="10"/>
      <c r="M255" s="10"/>
      <c r="N255" s="33"/>
      <c r="O255" s="33"/>
      <c r="P255" s="56"/>
      <c r="Q255" s="33"/>
      <c r="R255" s="56"/>
      <c r="S255" s="56"/>
      <c r="T255" s="33"/>
      <c r="U255" s="33"/>
      <c r="V255" s="56"/>
      <c r="W255" s="33"/>
      <c r="X255" s="56"/>
      <c r="Y255" s="56"/>
      <c r="Z255" s="33"/>
      <c r="AA255" s="33"/>
      <c r="AB255" s="18" t="s">
        <v>620</v>
      </c>
      <c r="AC255" s="168">
        <f t="shared" si="233"/>
        <v>188</v>
      </c>
      <c r="AD255" s="167">
        <v>0</v>
      </c>
      <c r="AE255" s="167">
        <v>0</v>
      </c>
      <c r="AF255" s="169">
        <f t="shared" si="258"/>
        <v>0</v>
      </c>
      <c r="AG255" s="118">
        <f t="shared" si="259"/>
        <v>0</v>
      </c>
      <c r="AH255" s="80">
        <f t="shared" si="260"/>
        <v>188</v>
      </c>
      <c r="AI255" s="128">
        <f t="shared" si="261"/>
        <v>188</v>
      </c>
      <c r="AJ255" s="111">
        <v>0</v>
      </c>
      <c r="AK255" s="111">
        <v>0</v>
      </c>
      <c r="AL255" s="112">
        <f t="shared" ca="1" si="262"/>
        <v>0</v>
      </c>
      <c r="AM255" s="112">
        <f t="shared" si="263"/>
        <v>0</v>
      </c>
      <c r="AN255" s="80">
        <f t="shared" si="264"/>
        <v>188</v>
      </c>
      <c r="AO255" s="12">
        <f t="shared" si="265"/>
        <v>188</v>
      </c>
      <c r="AP255" s="10">
        <v>0</v>
      </c>
      <c r="AQ255" s="10">
        <v>0</v>
      </c>
      <c r="AR255" s="12">
        <f t="shared" si="266"/>
        <v>0</v>
      </c>
      <c r="AS255" s="12">
        <f t="shared" si="267"/>
        <v>0</v>
      </c>
      <c r="AT255" s="13">
        <f t="shared" si="268"/>
        <v>188</v>
      </c>
      <c r="AU255" s="12">
        <f t="shared" si="269"/>
        <v>188</v>
      </c>
      <c r="AV255" s="10">
        <v>0</v>
      </c>
      <c r="AW255" s="10">
        <v>0</v>
      </c>
      <c r="AX255" s="12">
        <f t="shared" si="270"/>
        <v>0</v>
      </c>
      <c r="AY255" s="12">
        <f t="shared" si="271"/>
        <v>0</v>
      </c>
      <c r="AZ255" s="32">
        <f t="shared" si="272"/>
        <v>188</v>
      </c>
      <c r="BA255" s="12">
        <f t="shared" si="273"/>
        <v>188</v>
      </c>
      <c r="BB255" s="10">
        <v>0</v>
      </c>
      <c r="BC255" s="10">
        <v>0</v>
      </c>
      <c r="BD255" s="12">
        <f t="shared" si="274"/>
        <v>0</v>
      </c>
      <c r="BE255" s="12">
        <f t="shared" si="275"/>
        <v>0</v>
      </c>
      <c r="BF255" s="32">
        <f t="shared" ref="BF255" si="377">AZ255-BB255+BC255</f>
        <v>188</v>
      </c>
      <c r="BG255" s="68">
        <f t="shared" si="277"/>
        <v>188</v>
      </c>
      <c r="BH255" s="70">
        <v>0</v>
      </c>
      <c r="BI255" s="70">
        <v>0</v>
      </c>
      <c r="BJ255" s="67">
        <f t="shared" si="278"/>
        <v>0</v>
      </c>
      <c r="BK255" s="67">
        <f t="shared" si="279"/>
        <v>0</v>
      </c>
      <c r="BL255" s="32">
        <f t="shared" ref="BL255" si="378">BF255-BH255+BI255</f>
        <v>188</v>
      </c>
      <c r="BM255" s="68">
        <f t="shared" si="281"/>
        <v>188</v>
      </c>
      <c r="BN255" s="70">
        <v>0</v>
      </c>
      <c r="BO255" s="70">
        <v>0</v>
      </c>
      <c r="BP255" s="67">
        <f t="shared" si="282"/>
        <v>0</v>
      </c>
      <c r="BQ255" s="67">
        <f t="shared" si="283"/>
        <v>0</v>
      </c>
      <c r="BR255" s="32">
        <f t="shared" ref="BR255" si="379">BL255-BN255+BO255</f>
        <v>188</v>
      </c>
      <c r="BS255" s="68">
        <f t="shared" si="285"/>
        <v>188</v>
      </c>
      <c r="BT255" s="70">
        <v>0</v>
      </c>
      <c r="BU255" s="70">
        <v>0</v>
      </c>
      <c r="BV255" s="67">
        <f t="shared" si="286"/>
        <v>0</v>
      </c>
      <c r="BW255" s="67">
        <f t="shared" si="287"/>
        <v>0</v>
      </c>
      <c r="BX255" s="32">
        <f t="shared" ref="BX255" si="380">BR255-BT255+BU255</f>
        <v>188</v>
      </c>
      <c r="BY255" s="68">
        <f t="shared" si="289"/>
        <v>188</v>
      </c>
      <c r="BZ255" s="70">
        <v>0</v>
      </c>
      <c r="CA255" s="70">
        <v>0</v>
      </c>
      <c r="CB255" s="67">
        <f t="shared" si="290"/>
        <v>0</v>
      </c>
      <c r="CC255" s="43">
        <f t="shared" si="291"/>
        <v>0</v>
      </c>
      <c r="CD255" s="32">
        <f t="shared" ref="CD255" si="381">BX255-BZ255+CA255</f>
        <v>188</v>
      </c>
      <c r="CE255" s="71">
        <f t="shared" si="293"/>
        <v>188</v>
      </c>
    </row>
    <row r="256" spans="1:83" ht="48" customHeight="1">
      <c r="A256" s="148" t="s">
        <v>817</v>
      </c>
      <c r="B256" s="148" t="s">
        <v>818</v>
      </c>
      <c r="C256" s="151" t="s">
        <v>819</v>
      </c>
      <c r="D256" s="148" t="s">
        <v>820</v>
      </c>
      <c r="E256" s="154"/>
      <c r="F256" s="154"/>
      <c r="G256" s="154"/>
      <c r="H256" s="170">
        <v>113</v>
      </c>
      <c r="I256" s="159">
        <v>1</v>
      </c>
      <c r="J256" s="56"/>
      <c r="K256" s="12"/>
      <c r="L256" s="10"/>
      <c r="M256" s="10"/>
      <c r="N256" s="33"/>
      <c r="O256" s="33"/>
      <c r="P256" s="56"/>
      <c r="Q256" s="33"/>
      <c r="R256" s="56"/>
      <c r="S256" s="56"/>
      <c r="T256" s="33"/>
      <c r="U256" s="33"/>
      <c r="V256" s="56"/>
      <c r="W256" s="33"/>
      <c r="X256" s="56"/>
      <c r="Y256" s="56"/>
      <c r="Z256" s="33"/>
      <c r="AA256" s="33"/>
      <c r="AB256" s="18" t="s">
        <v>74</v>
      </c>
      <c r="AC256" s="168">
        <f t="shared" si="233"/>
        <v>113</v>
      </c>
      <c r="AD256" s="167">
        <v>0</v>
      </c>
      <c r="AE256" s="167">
        <v>0</v>
      </c>
      <c r="AF256" s="169">
        <f t="shared" si="258"/>
        <v>0</v>
      </c>
      <c r="AG256" s="118">
        <f t="shared" si="259"/>
        <v>0</v>
      </c>
      <c r="AH256" s="80">
        <f t="shared" si="260"/>
        <v>113</v>
      </c>
      <c r="AI256" s="128">
        <f t="shared" si="261"/>
        <v>113</v>
      </c>
      <c r="AJ256" s="111">
        <v>0</v>
      </c>
      <c r="AK256" s="111">
        <v>0</v>
      </c>
      <c r="AL256" s="112">
        <f t="shared" ca="1" si="262"/>
        <v>0</v>
      </c>
      <c r="AM256" s="112">
        <f t="shared" si="263"/>
        <v>0</v>
      </c>
      <c r="AN256" s="80">
        <f t="shared" si="264"/>
        <v>113</v>
      </c>
      <c r="AO256" s="12">
        <f t="shared" si="265"/>
        <v>113</v>
      </c>
      <c r="AP256" s="10">
        <v>0</v>
      </c>
      <c r="AQ256" s="10">
        <v>0</v>
      </c>
      <c r="AR256" s="12">
        <f t="shared" si="266"/>
        <v>0</v>
      </c>
      <c r="AS256" s="12">
        <f t="shared" si="267"/>
        <v>0</v>
      </c>
      <c r="AT256" s="13">
        <f t="shared" si="268"/>
        <v>113</v>
      </c>
      <c r="AU256" s="12">
        <f t="shared" si="269"/>
        <v>113</v>
      </c>
      <c r="AV256" s="10">
        <v>0</v>
      </c>
      <c r="AW256" s="10">
        <v>0</v>
      </c>
      <c r="AX256" s="12">
        <f t="shared" si="270"/>
        <v>0</v>
      </c>
      <c r="AY256" s="12">
        <f t="shared" si="271"/>
        <v>0</v>
      </c>
      <c r="AZ256" s="32">
        <f t="shared" si="272"/>
        <v>113</v>
      </c>
      <c r="BA256" s="12">
        <f t="shared" si="273"/>
        <v>113</v>
      </c>
      <c r="BB256" s="10">
        <v>0</v>
      </c>
      <c r="BC256" s="10">
        <v>0</v>
      </c>
      <c r="BD256" s="12">
        <f t="shared" si="274"/>
        <v>0</v>
      </c>
      <c r="BE256" s="12">
        <f t="shared" si="275"/>
        <v>0</v>
      </c>
      <c r="BF256" s="13">
        <f t="shared" ref="BF256" si="382">AZ256-BB256+BC256</f>
        <v>113</v>
      </c>
      <c r="BG256" s="68">
        <f t="shared" si="277"/>
        <v>113</v>
      </c>
      <c r="BH256" s="70">
        <v>0</v>
      </c>
      <c r="BI256" s="70">
        <v>0</v>
      </c>
      <c r="BJ256" s="67">
        <f t="shared" si="278"/>
        <v>0</v>
      </c>
      <c r="BK256" s="67">
        <f t="shared" si="279"/>
        <v>0</v>
      </c>
      <c r="BL256" s="13">
        <f t="shared" ref="BL256" si="383">BF256-BH256+BI256</f>
        <v>113</v>
      </c>
      <c r="BM256" s="68">
        <f t="shared" si="281"/>
        <v>113</v>
      </c>
      <c r="BN256" s="70">
        <v>0</v>
      </c>
      <c r="BO256" s="70">
        <v>0</v>
      </c>
      <c r="BP256" s="67">
        <f t="shared" si="282"/>
        <v>0</v>
      </c>
      <c r="BQ256" s="67">
        <f t="shared" si="283"/>
        <v>0</v>
      </c>
      <c r="BR256" s="13">
        <f t="shared" ref="BR256" si="384">BL256-BN256+BO256</f>
        <v>113</v>
      </c>
      <c r="BS256" s="68">
        <f t="shared" si="285"/>
        <v>113</v>
      </c>
      <c r="BT256" s="70">
        <v>0</v>
      </c>
      <c r="BU256" s="70">
        <v>0</v>
      </c>
      <c r="BV256" s="67">
        <f t="shared" si="286"/>
        <v>0</v>
      </c>
      <c r="BW256" s="67">
        <f t="shared" si="287"/>
        <v>0</v>
      </c>
      <c r="BX256" s="13">
        <f t="shared" ref="BX256" si="385">BR256-BT256+BU256</f>
        <v>113</v>
      </c>
      <c r="BY256" s="68">
        <f t="shared" si="289"/>
        <v>113</v>
      </c>
      <c r="BZ256" s="70">
        <v>0</v>
      </c>
      <c r="CA256" s="70">
        <v>0</v>
      </c>
      <c r="CB256" s="67">
        <f t="shared" si="290"/>
        <v>0</v>
      </c>
      <c r="CC256" s="43">
        <f t="shared" si="291"/>
        <v>0</v>
      </c>
      <c r="CD256" s="13">
        <f t="shared" ref="CD256" si="386">BX256-BZ256+CA256</f>
        <v>113</v>
      </c>
      <c r="CE256" s="71">
        <f t="shared" si="293"/>
        <v>113</v>
      </c>
    </row>
    <row r="257" spans="1:83" ht="57.95">
      <c r="A257" s="148" t="s">
        <v>821</v>
      </c>
      <c r="B257" s="148" t="s">
        <v>822</v>
      </c>
      <c r="C257" s="151" t="s">
        <v>823</v>
      </c>
      <c r="D257" s="148" t="s">
        <v>824</v>
      </c>
      <c r="E257" s="154"/>
      <c r="F257" s="154"/>
      <c r="G257" s="154"/>
      <c r="H257" s="170">
        <v>1</v>
      </c>
      <c r="I257" s="159">
        <v>1</v>
      </c>
      <c r="J257" s="56"/>
      <c r="K257" s="12"/>
      <c r="L257" s="10"/>
      <c r="M257" s="10"/>
      <c r="N257" s="33"/>
      <c r="O257" s="33"/>
      <c r="P257" s="56"/>
      <c r="Q257" s="33"/>
      <c r="R257" s="56"/>
      <c r="S257" s="56"/>
      <c r="T257" s="33"/>
      <c r="U257" s="33"/>
      <c r="V257" s="56"/>
      <c r="W257" s="33"/>
      <c r="X257" s="56"/>
      <c r="Y257" s="56"/>
      <c r="Z257" s="33"/>
      <c r="AA257" s="33"/>
      <c r="AB257" s="18" t="s">
        <v>33</v>
      </c>
      <c r="AC257" s="168">
        <f t="shared" si="233"/>
        <v>1</v>
      </c>
      <c r="AD257" s="167">
        <v>0</v>
      </c>
      <c r="AE257" s="167">
        <v>0</v>
      </c>
      <c r="AF257" s="169">
        <f t="shared" si="258"/>
        <v>0</v>
      </c>
      <c r="AG257" s="118">
        <f t="shared" si="259"/>
        <v>0</v>
      </c>
      <c r="AH257" s="80">
        <f t="shared" si="260"/>
        <v>1</v>
      </c>
      <c r="AI257" s="128">
        <f t="shared" si="261"/>
        <v>1</v>
      </c>
      <c r="AJ257" s="111">
        <v>0</v>
      </c>
      <c r="AK257" s="111">
        <v>0</v>
      </c>
      <c r="AL257" s="112">
        <f t="shared" ca="1" si="262"/>
        <v>0</v>
      </c>
      <c r="AM257" s="112">
        <f t="shared" si="263"/>
        <v>0</v>
      </c>
      <c r="AN257" s="80">
        <f t="shared" si="264"/>
        <v>1</v>
      </c>
      <c r="AO257" s="12">
        <f t="shared" si="265"/>
        <v>1</v>
      </c>
      <c r="AP257" s="10">
        <v>0</v>
      </c>
      <c r="AQ257" s="10">
        <v>0</v>
      </c>
      <c r="AR257" s="12">
        <f t="shared" si="266"/>
        <v>0</v>
      </c>
      <c r="AS257" s="12">
        <f t="shared" si="267"/>
        <v>0</v>
      </c>
      <c r="AT257" s="13">
        <f t="shared" si="268"/>
        <v>1</v>
      </c>
      <c r="AU257" s="12">
        <f t="shared" si="269"/>
        <v>1</v>
      </c>
      <c r="AV257" s="10">
        <v>0</v>
      </c>
      <c r="AW257" s="10">
        <v>0</v>
      </c>
      <c r="AX257" s="12">
        <f t="shared" si="270"/>
        <v>0</v>
      </c>
      <c r="AY257" s="12">
        <f t="shared" si="271"/>
        <v>0</v>
      </c>
      <c r="AZ257" s="32">
        <f t="shared" si="272"/>
        <v>1</v>
      </c>
      <c r="BA257" s="12">
        <f t="shared" si="273"/>
        <v>1</v>
      </c>
      <c r="BB257" s="10">
        <v>0</v>
      </c>
      <c r="BC257" s="10">
        <v>0</v>
      </c>
      <c r="BD257" s="12">
        <f t="shared" si="274"/>
        <v>0</v>
      </c>
      <c r="BE257" s="12">
        <f t="shared" si="275"/>
        <v>0</v>
      </c>
      <c r="BF257" s="50">
        <v>1</v>
      </c>
      <c r="BG257" s="68">
        <f t="shared" si="277"/>
        <v>1</v>
      </c>
      <c r="BH257" s="70">
        <v>0</v>
      </c>
      <c r="BI257" s="70">
        <v>0</v>
      </c>
      <c r="BJ257" s="67">
        <f t="shared" si="278"/>
        <v>0</v>
      </c>
      <c r="BK257" s="67">
        <f t="shared" si="279"/>
        <v>0</v>
      </c>
      <c r="BL257" s="50">
        <v>1</v>
      </c>
      <c r="BM257" s="68">
        <f t="shared" si="281"/>
        <v>1</v>
      </c>
      <c r="BN257" s="70">
        <v>0</v>
      </c>
      <c r="BO257" s="70">
        <v>0</v>
      </c>
      <c r="BP257" s="67">
        <f t="shared" si="282"/>
        <v>0</v>
      </c>
      <c r="BQ257" s="67">
        <f t="shared" si="283"/>
        <v>0</v>
      </c>
      <c r="BR257" s="50">
        <v>1</v>
      </c>
      <c r="BS257" s="68">
        <f t="shared" si="285"/>
        <v>1</v>
      </c>
      <c r="BT257" s="70">
        <v>0</v>
      </c>
      <c r="BU257" s="70">
        <v>0</v>
      </c>
      <c r="BV257" s="67">
        <f t="shared" si="286"/>
        <v>0</v>
      </c>
      <c r="BW257" s="67">
        <f t="shared" si="287"/>
        <v>0</v>
      </c>
      <c r="BX257" s="50">
        <v>1</v>
      </c>
      <c r="BY257" s="68">
        <f t="shared" si="289"/>
        <v>1</v>
      </c>
      <c r="BZ257" s="70">
        <v>0</v>
      </c>
      <c r="CA257" s="70">
        <v>0</v>
      </c>
      <c r="CB257" s="67">
        <f t="shared" si="290"/>
        <v>0</v>
      </c>
      <c r="CC257" s="43">
        <f t="shared" si="291"/>
        <v>0</v>
      </c>
      <c r="CD257" s="50">
        <v>1</v>
      </c>
      <c r="CE257" s="71">
        <f t="shared" si="293"/>
        <v>1</v>
      </c>
    </row>
    <row r="258" spans="1:83" ht="17.25">
      <c r="A258" s="35"/>
      <c r="B258" s="35"/>
      <c r="C258" s="178"/>
      <c r="D258" s="35"/>
      <c r="H258" s="36"/>
      <c r="I258" s="179"/>
      <c r="J258" s="57"/>
      <c r="K258" s="143"/>
      <c r="L258" s="15"/>
      <c r="M258" s="15"/>
      <c r="N258" s="137"/>
      <c r="O258" s="137"/>
      <c r="P258" s="57"/>
      <c r="Q258" s="137"/>
      <c r="R258" s="57"/>
      <c r="S258" s="57"/>
      <c r="T258" s="137"/>
      <c r="U258" s="137"/>
      <c r="V258" s="57"/>
      <c r="W258" s="137"/>
      <c r="X258" s="57"/>
      <c r="Y258" s="57"/>
      <c r="Z258" s="137"/>
      <c r="AA258" s="137"/>
      <c r="AB258" s="35"/>
      <c r="AC258" s="138"/>
      <c r="AD258" s="15"/>
      <c r="AE258" s="15"/>
      <c r="AF258" s="138"/>
      <c r="AG258" s="139"/>
      <c r="AH258" s="108"/>
      <c r="AI258" s="140"/>
      <c r="AJ258" s="141"/>
      <c r="AK258" s="141"/>
      <c r="AL258" s="142"/>
      <c r="AM258" s="142"/>
      <c r="AN258" s="80"/>
      <c r="AO258" s="143"/>
      <c r="AP258" s="15"/>
      <c r="AQ258" s="15"/>
      <c r="AR258" s="143"/>
      <c r="AS258" s="143"/>
      <c r="AT258" s="110"/>
      <c r="AU258" s="143"/>
      <c r="AV258" s="15"/>
      <c r="AW258" s="15"/>
      <c r="AX258" s="143"/>
      <c r="AY258" s="143"/>
      <c r="AZ258" s="144"/>
      <c r="BA258" s="143"/>
      <c r="BB258" s="15"/>
      <c r="BC258" s="15"/>
      <c r="BD258" s="143"/>
      <c r="BE258" s="143"/>
      <c r="BF258" s="145"/>
      <c r="BG258" s="143"/>
      <c r="BH258" s="15"/>
      <c r="BI258" s="15"/>
      <c r="BJ258" s="137"/>
      <c r="BK258" s="137"/>
      <c r="BL258" s="145"/>
      <c r="BM258" s="143"/>
      <c r="BN258" s="15"/>
      <c r="BO258" s="15"/>
      <c r="BP258" s="137"/>
      <c r="BQ258" s="137"/>
      <c r="BR258" s="145"/>
      <c r="BS258" s="143"/>
      <c r="BT258" s="15"/>
      <c r="BU258" s="15"/>
      <c r="BV258" s="137"/>
      <c r="BW258" s="137"/>
      <c r="BX258" s="145"/>
      <c r="BY258" s="143"/>
      <c r="BZ258" s="15"/>
      <c r="CA258" s="15"/>
      <c r="CB258" s="137"/>
      <c r="CC258" s="137"/>
      <c r="CD258" s="145"/>
      <c r="CE258" s="143"/>
    </row>
    <row r="259" spans="1:83" ht="17.25">
      <c r="A259" s="35"/>
      <c r="B259" s="35"/>
      <c r="C259" s="178"/>
      <c r="D259" s="35"/>
      <c r="H259" s="36"/>
      <c r="I259" s="179"/>
      <c r="J259" s="57"/>
      <c r="K259" s="143"/>
      <c r="L259" s="15"/>
      <c r="M259" s="15"/>
      <c r="N259" s="137"/>
      <c r="O259" s="137"/>
      <c r="P259" s="57"/>
      <c r="Q259" s="137"/>
      <c r="R259" s="57"/>
      <c r="S259" s="57"/>
      <c r="T259" s="137"/>
      <c r="U259" s="137"/>
      <c r="V259" s="57"/>
      <c r="W259" s="137"/>
      <c r="X259" s="57"/>
      <c r="Y259" s="57"/>
      <c r="Z259" s="137"/>
      <c r="AA259" s="137"/>
      <c r="AB259" s="35"/>
      <c r="AC259" s="138"/>
      <c r="AD259" s="15"/>
      <c r="AE259" s="15"/>
      <c r="AF259" s="138"/>
      <c r="AG259" s="139"/>
      <c r="AH259" s="108"/>
      <c r="AI259" s="140"/>
      <c r="AJ259" s="141"/>
      <c r="AK259" s="141"/>
      <c r="AL259" s="142"/>
      <c r="AM259" s="142"/>
      <c r="AN259" s="80"/>
      <c r="AO259" s="143"/>
      <c r="AP259" s="15"/>
      <c r="AQ259" s="15"/>
      <c r="AR259" s="143"/>
      <c r="AS259" s="143"/>
      <c r="AT259" s="110"/>
      <c r="AU259" s="143"/>
      <c r="AV259" s="15"/>
      <c r="AW259" s="15"/>
      <c r="AX259" s="143"/>
      <c r="AY259" s="143"/>
      <c r="AZ259" s="144"/>
      <c r="BA259" s="143"/>
      <c r="BB259" s="15"/>
      <c r="BC259" s="15"/>
      <c r="BD259" s="143"/>
      <c r="BE259" s="143"/>
      <c r="BF259" s="145"/>
      <c r="BG259" s="143"/>
      <c r="BH259" s="15"/>
      <c r="BI259" s="15"/>
      <c r="BJ259" s="137"/>
      <c r="BK259" s="137"/>
      <c r="BL259" s="145"/>
      <c r="BM259" s="143"/>
      <c r="BN259" s="15"/>
      <c r="BO259" s="15"/>
      <c r="BP259" s="137"/>
      <c r="BQ259" s="137"/>
      <c r="BR259" s="145"/>
      <c r="BS259" s="143"/>
      <c r="BT259" s="15"/>
      <c r="BU259" s="15"/>
      <c r="BV259" s="137"/>
      <c r="BW259" s="137"/>
      <c r="BX259" s="145"/>
      <c r="BY259" s="143"/>
      <c r="BZ259" s="15"/>
      <c r="CA259" s="15"/>
      <c r="CB259" s="137"/>
      <c r="CC259" s="137"/>
      <c r="CD259" s="145"/>
      <c r="CE259" s="143"/>
    </row>
    <row r="260" spans="1:83" ht="17.25">
      <c r="A260" s="35"/>
      <c r="B260" s="35"/>
      <c r="C260" s="178"/>
      <c r="D260" s="35"/>
      <c r="H260" s="36"/>
      <c r="I260" s="179"/>
      <c r="J260" s="57"/>
      <c r="K260" s="143"/>
      <c r="L260" s="15"/>
      <c r="M260" s="15"/>
      <c r="N260" s="137"/>
      <c r="O260" s="137"/>
      <c r="P260" s="57"/>
      <c r="Q260" s="137"/>
      <c r="R260" s="57"/>
      <c r="S260" s="57"/>
      <c r="T260" s="137"/>
      <c r="U260" s="137"/>
      <c r="V260" s="57"/>
      <c r="W260" s="137"/>
      <c r="X260" s="57"/>
      <c r="Y260" s="57"/>
      <c r="Z260" s="137"/>
      <c r="AA260" s="137"/>
      <c r="AB260" s="35"/>
      <c r="AC260" s="138"/>
      <c r="AD260" s="15"/>
      <c r="AE260" s="15"/>
      <c r="AF260" s="138"/>
      <c r="AG260" s="139"/>
      <c r="AH260" s="108"/>
      <c r="AI260" s="140"/>
      <c r="AJ260" s="141"/>
      <c r="AK260" s="141"/>
      <c r="AL260" s="142"/>
      <c r="AM260" s="142"/>
      <c r="AN260" s="80"/>
      <c r="AO260" s="143"/>
      <c r="AP260" s="15"/>
      <c r="AQ260" s="15"/>
      <c r="AR260" s="143"/>
      <c r="AS260" s="143"/>
      <c r="AT260" s="110"/>
      <c r="AU260" s="143"/>
      <c r="AV260" s="15"/>
      <c r="AW260" s="15"/>
      <c r="AX260" s="143"/>
      <c r="AY260" s="143"/>
      <c r="AZ260" s="144"/>
      <c r="BA260" s="143"/>
      <c r="BB260" s="15"/>
      <c r="BC260" s="15"/>
      <c r="BD260" s="143"/>
      <c r="BE260" s="143"/>
      <c r="BF260" s="145"/>
      <c r="BG260" s="143"/>
      <c r="BH260" s="15"/>
      <c r="BI260" s="15"/>
      <c r="BJ260" s="137"/>
      <c r="BK260" s="137"/>
      <c r="BL260" s="145"/>
      <c r="BM260" s="143"/>
      <c r="BN260" s="15"/>
      <c r="BO260" s="15"/>
      <c r="BP260" s="137"/>
      <c r="BQ260" s="137"/>
      <c r="BR260" s="145"/>
      <c r="BS260" s="143"/>
      <c r="BT260" s="15"/>
      <c r="BU260" s="15"/>
      <c r="BV260" s="137"/>
      <c r="BW260" s="137"/>
      <c r="BX260" s="145"/>
      <c r="BY260" s="143"/>
      <c r="BZ260" s="15"/>
      <c r="CA260" s="15"/>
      <c r="CB260" s="137"/>
      <c r="CC260" s="137"/>
      <c r="CD260" s="145"/>
      <c r="CE260" s="143"/>
    </row>
    <row r="261" spans="1:83" ht="17.25">
      <c r="A261" s="35"/>
      <c r="B261" s="35"/>
      <c r="C261" s="178"/>
      <c r="D261" s="35"/>
      <c r="H261" s="36"/>
      <c r="I261" s="179"/>
      <c r="J261" s="57"/>
      <c r="K261" s="143"/>
      <c r="L261" s="15"/>
      <c r="M261" s="15"/>
      <c r="N261" s="137"/>
      <c r="O261" s="137"/>
      <c r="P261" s="57"/>
      <c r="Q261" s="137"/>
      <c r="R261" s="57"/>
      <c r="S261" s="57"/>
      <c r="T261" s="137"/>
      <c r="U261" s="137"/>
      <c r="V261" s="57"/>
      <c r="W261" s="137"/>
      <c r="X261" s="57"/>
      <c r="Y261" s="57"/>
      <c r="Z261" s="137"/>
      <c r="AA261" s="137"/>
      <c r="AB261" s="35"/>
      <c r="AC261" s="138"/>
      <c r="AD261" s="15"/>
      <c r="AE261" s="15"/>
      <c r="AF261" s="138"/>
      <c r="AG261" s="139"/>
      <c r="AH261" s="108"/>
      <c r="AI261" s="140"/>
      <c r="AJ261" s="141"/>
      <c r="AK261" s="141"/>
      <c r="AL261" s="142"/>
      <c r="AM261" s="142"/>
      <c r="AN261" s="80"/>
      <c r="AO261" s="143"/>
      <c r="AP261" s="15"/>
      <c r="AQ261" s="15"/>
      <c r="AR261" s="143"/>
      <c r="AS261" s="143"/>
      <c r="AT261" s="110"/>
      <c r="AU261" s="143"/>
      <c r="AV261" s="15"/>
      <c r="AW261" s="15"/>
      <c r="AX261" s="143"/>
      <c r="AY261" s="143"/>
      <c r="AZ261" s="144"/>
      <c r="BA261" s="143"/>
      <c r="BB261" s="15"/>
      <c r="BC261" s="15"/>
      <c r="BD261" s="143"/>
      <c r="BE261" s="143"/>
      <c r="BF261" s="145"/>
      <c r="BG261" s="143"/>
      <c r="BH261" s="15"/>
      <c r="BI261" s="15"/>
      <c r="BJ261" s="137"/>
      <c r="BK261" s="137"/>
      <c r="BL261" s="145"/>
      <c r="BM261" s="143"/>
      <c r="BN261" s="15"/>
      <c r="BO261" s="15"/>
      <c r="BP261" s="137"/>
      <c r="BQ261" s="137"/>
      <c r="BR261" s="145"/>
      <c r="BS261" s="143"/>
      <c r="BT261" s="15"/>
      <c r="BU261" s="15"/>
      <c r="BV261" s="137"/>
      <c r="BW261" s="137"/>
      <c r="BX261" s="145"/>
      <c r="BY261" s="143"/>
      <c r="BZ261" s="15"/>
      <c r="CA261" s="15"/>
      <c r="CB261" s="137"/>
      <c r="CC261" s="137"/>
      <c r="CD261" s="145"/>
      <c r="CE261" s="143"/>
    </row>
    <row r="262" spans="1:83" ht="15.95">
      <c r="A262" s="35"/>
      <c r="B262" s="28"/>
      <c r="C262" s="36"/>
      <c r="D262" s="36"/>
      <c r="H262" s="28"/>
      <c r="I262" s="136"/>
      <c r="J262" s="57"/>
      <c r="K262" s="137"/>
      <c r="L262" s="15"/>
      <c r="M262" s="15"/>
      <c r="N262" s="137"/>
      <c r="O262" s="137"/>
      <c r="P262" s="57"/>
      <c r="Q262" s="137"/>
      <c r="R262" s="57"/>
      <c r="S262" s="57"/>
      <c r="T262" s="137"/>
      <c r="U262" s="137"/>
      <c r="V262" s="57"/>
      <c r="W262" s="137"/>
      <c r="X262" s="57"/>
      <c r="Y262" s="57"/>
      <c r="Z262" s="137"/>
      <c r="AA262" s="137"/>
      <c r="AB262" s="76"/>
      <c r="AC262" s="138"/>
      <c r="AD262" s="15"/>
      <c r="AE262" s="15"/>
      <c r="AF262" s="138"/>
      <c r="AG262" s="139"/>
      <c r="AH262" s="108"/>
      <c r="AI262" s="140"/>
      <c r="AJ262" s="141"/>
      <c r="AK262" s="141"/>
      <c r="AL262" s="142"/>
      <c r="AM262" s="142"/>
      <c r="AN262" s="80"/>
      <c r="AO262" s="143"/>
      <c r="AP262" s="15"/>
      <c r="AQ262" s="15"/>
      <c r="AR262" s="143"/>
      <c r="AS262" s="143"/>
      <c r="AT262" s="110"/>
      <c r="AU262" s="143"/>
      <c r="AV262" s="15"/>
      <c r="AW262" s="15"/>
      <c r="AX262" s="143"/>
      <c r="AY262" s="143"/>
      <c r="AZ262" s="144"/>
      <c r="BA262" s="143"/>
      <c r="BB262" s="15"/>
      <c r="BC262" s="15"/>
      <c r="BD262" s="143"/>
      <c r="BE262" s="143"/>
      <c r="BF262" s="145"/>
      <c r="BG262" s="143"/>
      <c r="BH262" s="15"/>
      <c r="BI262" s="15"/>
      <c r="BJ262" s="137"/>
      <c r="BK262" s="137"/>
      <c r="BL262" s="145"/>
      <c r="BM262" s="143"/>
      <c r="BN262" s="15"/>
      <c r="BO262" s="15"/>
      <c r="BP262" s="137"/>
      <c r="BQ262" s="137"/>
      <c r="BR262" s="145"/>
      <c r="BS262" s="143"/>
      <c r="BT262" s="15"/>
      <c r="BU262" s="15"/>
      <c r="BV262" s="137"/>
      <c r="BW262" s="137"/>
      <c r="BX262" s="145"/>
      <c r="BY262" s="143"/>
      <c r="BZ262" s="15"/>
      <c r="CA262" s="15"/>
      <c r="CB262" s="137"/>
      <c r="CC262" s="137"/>
      <c r="CD262" s="145"/>
      <c r="CE262" s="143"/>
    </row>
    <row r="263" spans="1:83" ht="15.95">
      <c r="A263" s="35"/>
      <c r="B263" s="35"/>
      <c r="C263" s="35"/>
      <c r="D263" s="35"/>
      <c r="H263" s="35"/>
      <c r="I263" s="38"/>
      <c r="J263" s="57"/>
      <c r="K263" s="84">
        <f>SUM(K5:K220)</f>
        <v>0</v>
      </c>
      <c r="L263" s="83">
        <f>SUM(L5:L220)</f>
        <v>0</v>
      </c>
      <c r="M263" s="83">
        <f>SUM(M5:M220)</f>
        <v>0</v>
      </c>
      <c r="N263" s="91">
        <f>SUM(N5:N220)</f>
        <v>0</v>
      </c>
      <c r="O263" s="91">
        <f>SUM(O5:O220)</f>
        <v>0</v>
      </c>
      <c r="P263" s="74"/>
      <c r="Q263" s="86">
        <f t="shared" ref="Q263:AA263" si="387">SUM(Q5:Q220)</f>
        <v>0</v>
      </c>
      <c r="R263" s="89">
        <f t="shared" si="387"/>
        <v>0</v>
      </c>
      <c r="S263" s="90">
        <f t="shared" si="387"/>
        <v>0</v>
      </c>
      <c r="T263" s="92">
        <f t="shared" si="387"/>
        <v>0</v>
      </c>
      <c r="U263" s="86">
        <f t="shared" si="387"/>
        <v>0</v>
      </c>
      <c r="V263" s="96">
        <f t="shared" si="387"/>
        <v>0</v>
      </c>
      <c r="W263" s="87">
        <f t="shared" si="387"/>
        <v>0</v>
      </c>
      <c r="X263" s="95">
        <f t="shared" si="387"/>
        <v>0</v>
      </c>
      <c r="Y263" s="94">
        <f t="shared" si="387"/>
        <v>0</v>
      </c>
      <c r="Z263" s="88">
        <f t="shared" si="387"/>
        <v>0</v>
      </c>
      <c r="AA263" s="92">
        <f t="shared" si="387"/>
        <v>0</v>
      </c>
      <c r="AB263" s="120">
        <f t="shared" ref="AB263:CC263" si="388">SUM(AB5:AB257)</f>
        <v>8899</v>
      </c>
      <c r="AC263" s="120">
        <f>SUM(AC5:AC257)</f>
        <v>130369</v>
      </c>
      <c r="AD263" s="120">
        <f t="shared" si="388"/>
        <v>0</v>
      </c>
      <c r="AE263" s="120">
        <f t="shared" si="388"/>
        <v>0</v>
      </c>
      <c r="AF263" s="120">
        <f t="shared" si="388"/>
        <v>0</v>
      </c>
      <c r="AG263" s="120">
        <f t="shared" si="388"/>
        <v>0</v>
      </c>
      <c r="AH263" s="120">
        <f t="shared" si="388"/>
        <v>11464</v>
      </c>
      <c r="AI263" s="120">
        <f t="shared" si="388"/>
        <v>130369</v>
      </c>
      <c r="AJ263" s="120">
        <f t="shared" si="388"/>
        <v>11</v>
      </c>
      <c r="AK263" s="120">
        <f t="shared" si="388"/>
        <v>0</v>
      </c>
      <c r="AL263" s="120">
        <f t="shared" ca="1" si="388"/>
        <v>73526.599999999991</v>
      </c>
      <c r="AM263" s="120">
        <f t="shared" si="388"/>
        <v>-165</v>
      </c>
      <c r="AN263" s="120">
        <f t="shared" si="388"/>
        <v>11453</v>
      </c>
      <c r="AO263" s="120">
        <f t="shared" si="388"/>
        <v>130204</v>
      </c>
      <c r="AP263" s="120">
        <f t="shared" si="388"/>
        <v>0</v>
      </c>
      <c r="AQ263" s="120">
        <f t="shared" si="388"/>
        <v>0</v>
      </c>
      <c r="AR263" s="120">
        <f t="shared" si="388"/>
        <v>0</v>
      </c>
      <c r="AS263" s="120">
        <f t="shared" si="388"/>
        <v>0</v>
      </c>
      <c r="AT263" s="120">
        <f t="shared" si="388"/>
        <v>11453</v>
      </c>
      <c r="AU263" s="120">
        <f t="shared" si="388"/>
        <v>130204</v>
      </c>
      <c r="AV263" s="120">
        <f t="shared" si="388"/>
        <v>2</v>
      </c>
      <c r="AW263" s="120">
        <f t="shared" si="388"/>
        <v>65</v>
      </c>
      <c r="AX263" s="120">
        <f t="shared" si="388"/>
        <v>50</v>
      </c>
      <c r="AY263" s="120">
        <f t="shared" si="388"/>
        <v>30</v>
      </c>
      <c r="AZ263" s="120">
        <f t="shared" si="388"/>
        <v>11501</v>
      </c>
      <c r="BA263" s="120">
        <f t="shared" si="388"/>
        <v>130224</v>
      </c>
      <c r="BB263" s="120">
        <f t="shared" si="388"/>
        <v>0</v>
      </c>
      <c r="BC263" s="120">
        <f t="shared" si="388"/>
        <v>0</v>
      </c>
      <c r="BD263" s="120">
        <f t="shared" si="388"/>
        <v>0</v>
      </c>
      <c r="BE263" s="120">
        <f t="shared" si="388"/>
        <v>0</v>
      </c>
      <c r="BF263" s="120">
        <f t="shared" si="388"/>
        <v>8588</v>
      </c>
      <c r="BG263" s="120">
        <f t="shared" si="388"/>
        <v>130174</v>
      </c>
      <c r="BH263" s="120">
        <f t="shared" si="388"/>
        <v>0</v>
      </c>
      <c r="BI263" s="120">
        <f t="shared" si="388"/>
        <v>0</v>
      </c>
      <c r="BJ263" s="120">
        <f t="shared" si="388"/>
        <v>0</v>
      </c>
      <c r="BK263" s="120">
        <f t="shared" si="388"/>
        <v>0</v>
      </c>
      <c r="BL263" s="120">
        <f t="shared" si="388"/>
        <v>8590</v>
      </c>
      <c r="BM263" s="120">
        <f t="shared" si="388"/>
        <v>130174</v>
      </c>
      <c r="BN263" s="120">
        <f t="shared" si="388"/>
        <v>0</v>
      </c>
      <c r="BO263" s="120">
        <f t="shared" si="388"/>
        <v>0</v>
      </c>
      <c r="BP263" s="120">
        <f t="shared" si="388"/>
        <v>0</v>
      </c>
      <c r="BQ263" s="120">
        <f t="shared" si="388"/>
        <v>0</v>
      </c>
      <c r="BR263" s="120">
        <f t="shared" si="388"/>
        <v>8590</v>
      </c>
      <c r="BS263" s="120">
        <f t="shared" si="388"/>
        <v>130174</v>
      </c>
      <c r="BT263" s="120">
        <f t="shared" si="388"/>
        <v>0</v>
      </c>
      <c r="BU263" s="120">
        <f t="shared" si="388"/>
        <v>0</v>
      </c>
      <c r="BV263" s="120">
        <f t="shared" si="388"/>
        <v>0</v>
      </c>
      <c r="BW263" s="120">
        <f t="shared" si="388"/>
        <v>0</v>
      </c>
      <c r="BX263" s="120">
        <f t="shared" si="388"/>
        <v>8590</v>
      </c>
      <c r="BY263" s="120">
        <f t="shared" si="388"/>
        <v>130174</v>
      </c>
      <c r="BZ263" s="120">
        <f t="shared" si="388"/>
        <v>0</v>
      </c>
      <c r="CA263" s="120">
        <f t="shared" si="388"/>
        <v>0</v>
      </c>
      <c r="CB263" s="120">
        <f t="shared" si="388"/>
        <v>0</v>
      </c>
      <c r="CC263" s="120">
        <f t="shared" si="388"/>
        <v>0</v>
      </c>
      <c r="CD263" s="35"/>
      <c r="CE263" s="54"/>
    </row>
    <row r="264" spans="1:83" ht="17.45">
      <c r="A264" s="28"/>
      <c r="B264" s="28"/>
      <c r="C264" s="36"/>
      <c r="D264" s="36"/>
      <c r="H264" s="81"/>
      <c r="I264" s="82">
        <f>SUM(I5:I263)</f>
        <v>1946.2</v>
      </c>
      <c r="P264" s="57"/>
      <c r="AB264" s="37"/>
      <c r="AC264" s="121"/>
      <c r="AD264" s="39"/>
      <c r="AE264" s="39"/>
      <c r="AF264" s="121"/>
      <c r="AG264" s="122"/>
      <c r="AH264" s="60"/>
      <c r="AI264" s="130"/>
      <c r="AJ264" s="99"/>
      <c r="AK264" s="60"/>
      <c r="AL264" s="130"/>
      <c r="AM264" s="130"/>
      <c r="AN264" s="100"/>
      <c r="AO264" s="98"/>
      <c r="AP264" s="98"/>
      <c r="AQ264" s="98"/>
      <c r="AR264" s="98"/>
      <c r="AS264" s="98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8"/>
      <c r="BL264" s="98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101"/>
      <c r="CE264" s="62">
        <f>SUM(CE5:CE220)</f>
        <v>127639</v>
      </c>
    </row>
    <row r="265" spans="1:83" ht="15.95">
      <c r="A265" s="35"/>
      <c r="B265" s="35"/>
      <c r="C265" s="35"/>
      <c r="D265" s="35"/>
      <c r="E265" s="1"/>
      <c r="F265" s="1"/>
      <c r="G265" s="1"/>
      <c r="H265" s="35"/>
      <c r="I265" s="38"/>
      <c r="J265" s="57"/>
      <c r="K265" s="38"/>
      <c r="L265" s="15"/>
      <c r="M265" s="15"/>
      <c r="N265" s="38"/>
      <c r="O265" s="38"/>
      <c r="P265" s="57"/>
      <c r="Q265" s="38"/>
      <c r="R265" s="15"/>
      <c r="S265" s="57"/>
      <c r="T265" s="38"/>
      <c r="U265" s="38"/>
      <c r="V265" s="57"/>
      <c r="W265" s="38"/>
      <c r="X265" s="15"/>
      <c r="Y265" s="15"/>
      <c r="Z265" s="38"/>
      <c r="AA265" s="38"/>
      <c r="AB265" s="108"/>
      <c r="AC265" s="123"/>
      <c r="AD265" s="15"/>
      <c r="AE265" s="15"/>
      <c r="AF265" s="123"/>
      <c r="AG265" s="121"/>
      <c r="AH265" s="108"/>
      <c r="AI265" s="131"/>
      <c r="AJ265" s="109"/>
      <c r="AK265" s="109"/>
      <c r="AL265" s="131"/>
      <c r="AM265" s="131"/>
      <c r="AN265" s="108"/>
      <c r="AO265" s="38"/>
      <c r="AP265" s="15"/>
      <c r="AQ265" s="15"/>
      <c r="AR265" s="38"/>
      <c r="AS265" s="38"/>
      <c r="AT265" s="110">
        <f t="shared" ref="AT265" si="389">AN265-AP265+AQ265</f>
        <v>0</v>
      </c>
      <c r="AU265" s="38"/>
      <c r="AV265" s="15"/>
      <c r="AW265" s="15"/>
      <c r="AX265" s="38"/>
      <c r="AY265" s="38"/>
      <c r="AZ265" s="110"/>
      <c r="BA265" s="38"/>
      <c r="BB265" s="15"/>
      <c r="BC265" s="15"/>
      <c r="BD265" s="38"/>
      <c r="BE265" s="38"/>
      <c r="BF265" s="110"/>
      <c r="BG265" s="38"/>
      <c r="BH265" s="15"/>
      <c r="BI265" s="15"/>
      <c r="BJ265" s="38"/>
      <c r="BK265" s="38"/>
      <c r="BL265" s="110"/>
      <c r="BM265" s="38"/>
      <c r="BN265" s="15"/>
      <c r="BO265" s="15"/>
      <c r="BP265" s="38"/>
      <c r="BQ265" s="38"/>
      <c r="BR265" s="110"/>
      <c r="BS265" s="38"/>
      <c r="BT265" s="15"/>
      <c r="BU265" s="15"/>
      <c r="BV265" s="38"/>
      <c r="BW265" s="38"/>
      <c r="BX265" s="110"/>
      <c r="BY265" s="38"/>
      <c r="BZ265" s="15"/>
      <c r="CA265" s="15"/>
      <c r="CB265" s="38"/>
      <c r="CC265" s="38"/>
      <c r="CD265" s="35"/>
      <c r="CE265" s="38"/>
    </row>
    <row r="266" spans="1:83" ht="15.95">
      <c r="A266" s="35"/>
      <c r="B266" s="28"/>
      <c r="C266" s="37"/>
      <c r="D266" s="37"/>
      <c r="H266" s="37"/>
      <c r="I266" s="38"/>
      <c r="J266" s="57"/>
      <c r="K266" s="39"/>
      <c r="L266" s="15"/>
      <c r="M266" s="15"/>
      <c r="N266" s="39"/>
      <c r="O266" s="39"/>
      <c r="P266" s="57"/>
      <c r="Q266" s="39"/>
      <c r="R266" s="57"/>
      <c r="S266" s="57"/>
      <c r="T266" s="39"/>
      <c r="U266" s="39"/>
      <c r="V266" s="57"/>
      <c r="W266" s="39"/>
      <c r="X266" s="57"/>
      <c r="Y266" s="57"/>
      <c r="Z266" s="39"/>
      <c r="AA266" s="39"/>
      <c r="AB266" s="37"/>
      <c r="AC266" s="121"/>
      <c r="AD266" s="15"/>
      <c r="AE266" s="15"/>
      <c r="AF266" s="121"/>
      <c r="AG266" s="121"/>
      <c r="AH266" s="51"/>
      <c r="AI266" s="121"/>
      <c r="AJ266" s="15"/>
      <c r="AK266" s="15"/>
      <c r="AL266" s="121"/>
      <c r="AM266" s="121"/>
      <c r="AN266" s="78"/>
      <c r="AO266" s="39"/>
      <c r="AP266" s="15"/>
      <c r="AQ266" s="15"/>
      <c r="AR266" s="39"/>
      <c r="AS266" s="39"/>
      <c r="AT266" s="51"/>
      <c r="AU266" s="38"/>
      <c r="AV266" s="15"/>
      <c r="AW266" s="15"/>
      <c r="AX266" s="39"/>
      <c r="AY266" s="39"/>
      <c r="AZ266" s="51"/>
      <c r="BA266" s="38"/>
      <c r="BB266" s="15"/>
      <c r="BC266" s="15"/>
      <c r="BD266" s="39"/>
      <c r="BE266" s="39"/>
      <c r="BF266" s="51"/>
      <c r="BG266" s="38"/>
      <c r="BH266" s="15"/>
      <c r="BI266" s="15"/>
      <c r="BJ266" s="39"/>
      <c r="BK266" s="39"/>
      <c r="BL266" s="51"/>
      <c r="BM266" s="38"/>
      <c r="BN266" s="15"/>
      <c r="BO266" s="15"/>
      <c r="BP266" s="39"/>
      <c r="BQ266" s="39"/>
      <c r="BR266" s="51"/>
      <c r="BS266" s="38"/>
      <c r="BT266" s="15"/>
      <c r="BU266" s="15"/>
      <c r="BV266" s="39"/>
      <c r="BW266" s="39"/>
      <c r="BX266" s="51"/>
      <c r="BY266" s="38"/>
      <c r="BZ266" s="15"/>
      <c r="CA266" s="15"/>
      <c r="CB266" s="39"/>
      <c r="CC266" s="39"/>
      <c r="CD266" s="51"/>
      <c r="CE266" s="38"/>
    </row>
    <row r="267" spans="1:83" ht="15.95">
      <c r="A267" s="35"/>
      <c r="B267" s="28"/>
      <c r="C267" s="37"/>
      <c r="D267" s="37"/>
      <c r="H267" s="37"/>
      <c r="I267" s="38"/>
      <c r="J267" s="57"/>
      <c r="K267" s="39"/>
      <c r="L267" s="15"/>
      <c r="M267" s="15"/>
      <c r="N267" s="39"/>
      <c r="O267" s="39"/>
      <c r="P267" s="57"/>
      <c r="Q267" s="39"/>
      <c r="R267" s="57"/>
      <c r="S267" s="57"/>
      <c r="T267" s="39"/>
      <c r="U267" s="39"/>
      <c r="V267" s="57"/>
      <c r="W267" s="39"/>
      <c r="X267" s="57"/>
      <c r="Y267" s="57"/>
      <c r="Z267" s="39"/>
      <c r="AA267" s="39"/>
      <c r="AB267" s="37"/>
      <c r="AC267" s="121"/>
      <c r="AD267" s="15"/>
      <c r="AE267" s="15"/>
      <c r="AF267" s="121"/>
      <c r="AG267" s="121"/>
      <c r="AH267" s="51"/>
      <c r="AI267" s="121"/>
      <c r="AJ267" s="15"/>
      <c r="AK267" s="15"/>
      <c r="AL267" s="121"/>
      <c r="AM267" s="121"/>
      <c r="AN267" s="78"/>
      <c r="AO267" s="39"/>
      <c r="AP267" s="15"/>
      <c r="AQ267" s="15"/>
      <c r="AR267" s="39"/>
      <c r="AS267" s="39"/>
      <c r="AT267" s="51"/>
      <c r="AU267" s="38"/>
      <c r="AV267" s="15"/>
      <c r="AW267" s="15"/>
      <c r="AX267" s="39"/>
      <c r="AY267" s="39"/>
      <c r="AZ267" s="51"/>
      <c r="BA267" s="38"/>
      <c r="BB267" s="15"/>
      <c r="BC267" s="15"/>
      <c r="BD267" s="39"/>
      <c r="BE267" s="39"/>
      <c r="BF267" s="51"/>
      <c r="BG267" s="38"/>
      <c r="BH267" s="15"/>
      <c r="BI267" s="15"/>
      <c r="BJ267" s="39"/>
      <c r="BK267" s="39"/>
      <c r="BL267" s="51"/>
      <c r="BM267" s="38"/>
      <c r="BN267" s="15"/>
      <c r="BO267" s="15"/>
      <c r="BP267" s="39"/>
      <c r="BQ267" s="39"/>
      <c r="BR267" s="51"/>
      <c r="BS267" s="38"/>
      <c r="BT267" s="15"/>
      <c r="BU267" s="15"/>
      <c r="BV267" s="39"/>
      <c r="BW267" s="39"/>
      <c r="BX267" s="51"/>
      <c r="BY267" s="38"/>
      <c r="BZ267" s="15"/>
      <c r="CA267" s="15"/>
      <c r="CB267" s="39"/>
      <c r="CC267" s="39"/>
      <c r="CD267" s="51"/>
      <c r="CE267" s="38"/>
    </row>
    <row r="268" spans="1:83" ht="15.95">
      <c r="A268" s="35"/>
      <c r="B268" s="28"/>
      <c r="C268" s="37"/>
      <c r="D268" s="37"/>
      <c r="H268" s="37"/>
      <c r="I268" s="38"/>
      <c r="J268" s="57"/>
      <c r="K268" s="39"/>
      <c r="L268" s="15"/>
      <c r="M268" s="15"/>
      <c r="N268" s="39"/>
      <c r="O268" s="39"/>
      <c r="P268" s="57"/>
      <c r="Q268" s="39"/>
      <c r="R268" s="57"/>
      <c r="S268" s="57"/>
      <c r="T268" s="39"/>
      <c r="U268" s="39"/>
      <c r="V268" s="57"/>
      <c r="W268" s="39"/>
      <c r="X268" s="57"/>
      <c r="Y268" s="57"/>
      <c r="Z268" s="39"/>
      <c r="AA268" s="39"/>
      <c r="AB268" s="37"/>
      <c r="AC268" s="121"/>
      <c r="AD268" s="15"/>
      <c r="AE268" s="15"/>
      <c r="AF268" s="121"/>
      <c r="AG268" s="121"/>
      <c r="AH268" s="51"/>
      <c r="AI268" s="121"/>
      <c r="AJ268" s="15"/>
      <c r="AK268" s="15"/>
      <c r="AL268" s="121"/>
      <c r="AM268" s="121"/>
      <c r="AN268" s="78"/>
      <c r="AO268" s="39"/>
      <c r="AP268" s="15"/>
      <c r="AQ268" s="15"/>
      <c r="AR268" s="39"/>
      <c r="AS268" s="39"/>
      <c r="AT268" s="51"/>
      <c r="AU268" s="38"/>
      <c r="AV268" s="15"/>
      <c r="AW268" s="15"/>
      <c r="AX268" s="39"/>
      <c r="AY268" s="39"/>
      <c r="AZ268" s="51"/>
      <c r="BA268" s="38"/>
      <c r="BB268" s="15"/>
      <c r="BC268" s="15"/>
      <c r="BD268" s="39"/>
      <c r="BE268" s="39"/>
      <c r="BF268" s="51"/>
      <c r="BG268" s="38"/>
      <c r="BH268" s="15"/>
      <c r="BI268" s="15"/>
      <c r="BJ268" s="39"/>
      <c r="BK268" s="39"/>
      <c r="BL268" s="51"/>
      <c r="BM268" s="38"/>
      <c r="BN268" s="15"/>
      <c r="BO268" s="15"/>
      <c r="BP268" s="39"/>
      <c r="BQ268" s="39"/>
      <c r="BR268" s="51"/>
      <c r="BS268" s="38"/>
      <c r="BT268" s="15"/>
      <c r="BU268" s="15"/>
      <c r="BV268" s="39"/>
      <c r="BW268" s="39"/>
      <c r="BX268" s="51"/>
      <c r="BY268" s="38"/>
      <c r="BZ268" s="15"/>
      <c r="CA268" s="15"/>
      <c r="CB268" s="39"/>
      <c r="CC268" s="39"/>
      <c r="CD268" s="51"/>
      <c r="CE268" s="38"/>
    </row>
    <row r="269" spans="1:83" ht="15.95">
      <c r="A269" s="35"/>
      <c r="B269" s="28"/>
      <c r="C269" s="37"/>
      <c r="D269" s="37"/>
      <c r="H269" s="37"/>
      <c r="I269" s="38"/>
      <c r="J269" s="57"/>
      <c r="K269" s="39"/>
      <c r="L269" s="15"/>
      <c r="M269" s="15"/>
      <c r="N269" s="39"/>
      <c r="O269" s="39"/>
      <c r="P269" s="57"/>
      <c r="Q269" s="39"/>
      <c r="R269" s="57"/>
      <c r="S269" s="57"/>
      <c r="T269" s="39"/>
      <c r="U269" s="39"/>
      <c r="V269" s="57"/>
      <c r="W269" s="39"/>
      <c r="X269" s="57"/>
      <c r="Y269" s="57"/>
      <c r="Z269" s="39"/>
      <c r="AA269" s="39"/>
      <c r="AB269" s="37"/>
      <c r="AC269" s="121"/>
      <c r="AD269" s="15"/>
      <c r="AE269" s="15"/>
      <c r="AF269" s="121"/>
      <c r="AG269" s="121"/>
      <c r="AH269" s="51"/>
      <c r="AI269" s="121"/>
      <c r="AJ269" s="15"/>
      <c r="AK269" s="15"/>
      <c r="AL269" s="121"/>
      <c r="AM269" s="121"/>
      <c r="AN269" s="78"/>
      <c r="AO269" s="39"/>
      <c r="AP269" s="15"/>
      <c r="AQ269" s="15"/>
      <c r="AR269" s="39"/>
      <c r="AS269" s="39"/>
      <c r="AT269" s="51"/>
      <c r="AU269" s="38"/>
      <c r="AV269" s="15"/>
      <c r="AW269" s="15"/>
      <c r="AX269" s="39"/>
      <c r="AY269" s="39"/>
      <c r="AZ269" s="51"/>
      <c r="BA269" s="38"/>
      <c r="BB269" s="15"/>
      <c r="BC269" s="15"/>
      <c r="BD269" s="39"/>
      <c r="BE269" s="39"/>
      <c r="BF269" s="51"/>
      <c r="BG269" s="38"/>
      <c r="BH269" s="15"/>
      <c r="BI269" s="15"/>
      <c r="BJ269" s="39"/>
      <c r="BK269" s="39"/>
      <c r="BL269" s="51"/>
      <c r="BM269" s="38"/>
      <c r="BN269" s="15"/>
      <c r="BO269" s="15"/>
      <c r="BP269" s="39"/>
      <c r="BQ269" s="39"/>
      <c r="BR269" s="51"/>
      <c r="BS269" s="38"/>
      <c r="BT269" s="15"/>
      <c r="BU269" s="15"/>
      <c r="BV269" s="39"/>
      <c r="BW269" s="39"/>
      <c r="BX269" s="51"/>
      <c r="BY269" s="38"/>
      <c r="BZ269" s="15"/>
      <c r="CA269" s="15"/>
      <c r="CB269" s="39"/>
      <c r="CC269" s="39"/>
      <c r="CD269" s="51"/>
      <c r="CE269" s="38"/>
    </row>
    <row r="270" spans="1:83" ht="15.95">
      <c r="A270" s="47"/>
      <c r="B270" s="35"/>
      <c r="C270" s="35"/>
      <c r="D270" s="35"/>
      <c r="H270" s="35"/>
      <c r="J270" s="35"/>
      <c r="K270" s="38">
        <f>SUM(K5:K269)</f>
        <v>0</v>
      </c>
      <c r="N270" s="63">
        <f>SUM(N5:N269)</f>
        <v>0</v>
      </c>
      <c r="P270" s="57"/>
      <c r="AO270" s="54"/>
      <c r="AP270" s="15"/>
      <c r="AQ270" s="15"/>
      <c r="AR270" s="38"/>
      <c r="AS270" s="38"/>
      <c r="AT270" s="35"/>
      <c r="AU270" s="38"/>
      <c r="AV270" s="15"/>
      <c r="AW270" s="15"/>
      <c r="AX270" s="38"/>
      <c r="AY270" s="38"/>
      <c r="AZ270" s="35"/>
      <c r="BA270" s="38"/>
      <c r="BB270" s="15"/>
      <c r="BC270" s="15"/>
      <c r="BD270" s="38"/>
      <c r="BE270" s="38"/>
      <c r="BF270" s="35"/>
      <c r="BG270" s="38"/>
      <c r="BH270" s="15"/>
      <c r="BI270" s="15"/>
      <c r="BJ270" s="38"/>
      <c r="BK270" s="38"/>
      <c r="BL270" s="35"/>
      <c r="BM270" s="38"/>
      <c r="BN270" s="15"/>
      <c r="BO270" s="15"/>
      <c r="BP270" s="38"/>
      <c r="BQ270" s="38"/>
      <c r="BR270" s="35"/>
      <c r="BS270" s="38"/>
      <c r="BT270" s="15"/>
      <c r="BU270" s="15"/>
      <c r="BV270" s="38"/>
      <c r="BW270" s="38"/>
      <c r="BX270" s="35"/>
      <c r="BY270" s="38"/>
      <c r="BZ270" s="15"/>
      <c r="CA270" s="15"/>
      <c r="CB270" s="38"/>
      <c r="CC270" s="38"/>
      <c r="CD270" s="35"/>
      <c r="CE270" s="38"/>
    </row>
    <row r="271" spans="1:83" ht="15.95">
      <c r="A271" s="28"/>
      <c r="B271" s="28"/>
      <c r="C271" s="35"/>
      <c r="D271" s="35"/>
      <c r="H271" s="35"/>
      <c r="I271" s="38"/>
      <c r="AB271" s="35"/>
      <c r="AC271" s="121"/>
      <c r="AD271" s="39"/>
      <c r="AE271" s="39"/>
      <c r="AF271" s="121"/>
      <c r="AG271" s="122"/>
      <c r="AH271" s="60"/>
      <c r="AI271" s="122"/>
      <c r="AJ271" s="39"/>
      <c r="AK271" s="39"/>
      <c r="AL271" s="121"/>
      <c r="AM271" s="121"/>
      <c r="AN271" s="100"/>
      <c r="AO271" s="54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</row>
    <row r="272" spans="1:83" ht="15.95">
      <c r="A272" s="28"/>
      <c r="B272" s="28"/>
      <c r="C272" s="35"/>
      <c r="D272" s="35"/>
      <c r="H272" s="35"/>
      <c r="I272" s="38"/>
      <c r="AB272" s="35"/>
      <c r="AC272" s="121"/>
      <c r="AD272" s="39"/>
      <c r="AE272" s="39"/>
      <c r="AF272" s="121"/>
      <c r="AG272" s="122"/>
      <c r="AH272" s="52"/>
      <c r="AI272" s="121"/>
      <c r="AJ272" s="39"/>
      <c r="AK272" s="39"/>
      <c r="AL272" s="121"/>
      <c r="AM272" s="121"/>
      <c r="AN272" s="78"/>
      <c r="AO272" s="54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</row>
    <row r="273" spans="1:83" ht="15.95">
      <c r="A273" s="28"/>
      <c r="B273" s="28"/>
      <c r="C273" s="37"/>
      <c r="D273" s="37"/>
      <c r="H273" s="37"/>
      <c r="I273" s="38"/>
      <c r="AB273" s="37"/>
      <c r="AC273" s="121"/>
      <c r="AD273" s="39"/>
      <c r="AE273" s="39"/>
      <c r="AF273" s="121"/>
      <c r="AG273" s="122"/>
      <c r="AH273" s="52"/>
      <c r="AI273" s="121"/>
      <c r="AJ273" s="39"/>
      <c r="AK273" s="39"/>
      <c r="AL273" s="121"/>
      <c r="AM273" s="121"/>
      <c r="AN273" s="78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</row>
    <row r="274" spans="1:83" ht="15.95">
      <c r="A274" s="28"/>
      <c r="B274" s="28"/>
      <c r="C274" s="35"/>
      <c r="D274" s="35"/>
      <c r="H274" s="35"/>
      <c r="I274" s="38"/>
      <c r="AB274" s="35"/>
      <c r="AC274" s="121"/>
      <c r="AD274" s="39"/>
      <c r="AE274" s="39"/>
      <c r="AF274" s="121"/>
      <c r="AG274" s="122"/>
      <c r="AH274" s="52"/>
      <c r="AI274" s="121"/>
      <c r="AJ274" s="39"/>
      <c r="AK274" s="39"/>
      <c r="AL274" s="121"/>
      <c r="AM274" s="121"/>
      <c r="AN274" s="78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</row>
    <row r="275" spans="1:83" ht="15.95">
      <c r="A275" s="28"/>
      <c r="B275" s="28"/>
      <c r="C275" s="37"/>
      <c r="D275" s="37"/>
      <c r="H275" s="37"/>
      <c r="I275" s="38"/>
      <c r="AB275" s="37"/>
      <c r="AC275" s="121"/>
      <c r="AD275" s="39"/>
      <c r="AE275" s="39"/>
      <c r="AF275" s="121"/>
      <c r="AG275" s="122"/>
      <c r="AH275" s="52"/>
      <c r="AI275" s="121"/>
      <c r="AJ275" s="39"/>
      <c r="AK275" s="39"/>
      <c r="AL275" s="121"/>
      <c r="AM275" s="121"/>
      <c r="AN275" s="78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</row>
    <row r="276" spans="1:83" ht="15.95">
      <c r="A276" s="28"/>
      <c r="B276" s="28"/>
      <c r="C276" s="36"/>
      <c r="D276" s="36"/>
      <c r="H276" s="37"/>
      <c r="I276" s="38"/>
      <c r="AB276" s="37"/>
      <c r="AC276" s="121"/>
      <c r="AD276" s="39"/>
      <c r="AE276" s="39"/>
      <c r="AF276" s="121"/>
      <c r="AG276" s="122"/>
      <c r="AH276" s="52"/>
      <c r="AI276" s="121"/>
      <c r="AJ276" s="39"/>
      <c r="AK276" s="39"/>
      <c r="AL276" s="121"/>
      <c r="AM276" s="121"/>
      <c r="AN276" s="78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</row>
    <row r="277" spans="1:83" ht="15.95">
      <c r="A277" s="28"/>
      <c r="B277" s="28"/>
      <c r="C277" s="36"/>
      <c r="D277" s="36"/>
      <c r="H277" s="37"/>
      <c r="I277" s="38"/>
      <c r="AB277" s="37"/>
      <c r="AC277" s="121"/>
      <c r="AD277" s="39"/>
      <c r="AE277" s="39"/>
      <c r="AF277" s="121"/>
      <c r="AG277" s="122"/>
      <c r="AH277" s="52"/>
      <c r="AI277" s="121"/>
      <c r="AJ277" s="39"/>
      <c r="AK277" s="39"/>
      <c r="AL277" s="121"/>
      <c r="AM277" s="121"/>
      <c r="AN277" s="78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</row>
    <row r="278" spans="1:83" ht="15.95">
      <c r="A278" s="28"/>
      <c r="B278" s="28"/>
      <c r="C278" s="37"/>
      <c r="D278" s="37"/>
      <c r="H278" s="37"/>
      <c r="I278" s="38"/>
      <c r="AB278" s="37"/>
      <c r="AC278" s="121"/>
      <c r="AD278" s="39"/>
      <c r="AE278" s="39"/>
      <c r="AF278" s="121"/>
      <c r="AG278" s="122"/>
      <c r="AH278" s="52"/>
      <c r="AI278" s="121"/>
      <c r="AJ278" s="39"/>
      <c r="AK278" s="39"/>
      <c r="AL278" s="121"/>
      <c r="AM278" s="121"/>
      <c r="AN278" s="78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</row>
    <row r="279" spans="1:83" ht="15.95">
      <c r="A279" s="28"/>
      <c r="B279" s="28"/>
      <c r="C279" s="37"/>
      <c r="D279" s="37"/>
      <c r="H279" s="37"/>
      <c r="I279" s="38"/>
      <c r="AB279" s="37"/>
      <c r="AC279" s="121"/>
      <c r="AD279" s="39"/>
      <c r="AE279" s="39"/>
      <c r="AF279" s="121"/>
      <c r="AG279" s="122"/>
      <c r="AH279" s="52"/>
      <c r="AI279" s="121"/>
      <c r="AJ279" s="39"/>
      <c r="AK279" s="39"/>
      <c r="AL279" s="121"/>
      <c r="AM279" s="121"/>
      <c r="AN279" s="78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</row>
    <row r="280" spans="1:83" ht="15.95">
      <c r="A280" s="28"/>
      <c r="B280" s="28"/>
      <c r="C280" s="37"/>
      <c r="D280" s="37"/>
      <c r="H280" s="37"/>
      <c r="I280" s="38"/>
      <c r="AB280" s="37"/>
      <c r="AC280" s="121"/>
      <c r="AD280" s="39"/>
      <c r="AE280" s="39"/>
      <c r="AF280" s="121"/>
      <c r="AG280" s="122"/>
      <c r="AH280" s="52"/>
      <c r="AI280" s="121"/>
      <c r="AJ280" s="39"/>
      <c r="AK280" s="39"/>
      <c r="AL280" s="121"/>
      <c r="AM280" s="121"/>
      <c r="AN280" s="78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</row>
    <row r="281" spans="1:83" ht="15.95">
      <c r="A281" s="28"/>
      <c r="B281" s="28"/>
      <c r="C281" s="36"/>
      <c r="D281" s="36"/>
      <c r="H281" s="37"/>
      <c r="I281" s="38"/>
      <c r="AB281" s="37"/>
      <c r="AC281" s="121"/>
      <c r="AD281" s="39"/>
      <c r="AE281" s="39"/>
      <c r="AF281" s="121"/>
      <c r="AG281" s="122"/>
      <c r="AH281" s="52"/>
      <c r="AI281" s="121"/>
      <c r="AJ281" s="39"/>
      <c r="AK281" s="39"/>
      <c r="AL281" s="121"/>
      <c r="AM281" s="121"/>
      <c r="AN281" s="78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</row>
    <row r="282" spans="1:83" ht="15.95">
      <c r="A282" s="28"/>
      <c r="B282" s="28"/>
      <c r="C282" s="35"/>
      <c r="D282" s="35"/>
      <c r="H282" s="35"/>
      <c r="I282" s="38"/>
      <c r="AB282" s="35"/>
      <c r="AC282" s="121"/>
      <c r="AD282" s="39"/>
      <c r="AE282" s="39"/>
      <c r="AF282" s="121"/>
      <c r="AG282" s="122"/>
      <c r="AH282" s="52"/>
      <c r="AI282" s="121"/>
      <c r="AJ282" s="39"/>
      <c r="AK282" s="39"/>
      <c r="AL282" s="121"/>
      <c r="AM282" s="121"/>
      <c r="AN282" s="78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</row>
    <row r="283" spans="1:83" ht="15.95">
      <c r="A283" s="28"/>
      <c r="B283" s="28"/>
      <c r="C283" s="35"/>
      <c r="D283" s="35"/>
      <c r="H283" s="35"/>
      <c r="I283" s="38"/>
      <c r="AB283" s="35"/>
      <c r="AC283" s="121"/>
      <c r="AD283" s="39"/>
      <c r="AE283" s="39"/>
      <c r="AF283" s="121"/>
      <c r="AG283" s="122"/>
      <c r="AH283" s="52"/>
      <c r="AI283" s="121"/>
      <c r="AJ283" s="39"/>
      <c r="AK283" s="39"/>
      <c r="AL283" s="121"/>
      <c r="AM283" s="121"/>
      <c r="AN283" s="78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</row>
    <row r="284" spans="1:83" ht="15.95">
      <c r="A284" s="28"/>
      <c r="B284" s="28"/>
      <c r="C284" s="35"/>
      <c r="D284" s="35"/>
      <c r="H284" s="35"/>
      <c r="I284" s="38"/>
      <c r="AB284" s="35"/>
      <c r="AC284" s="121"/>
      <c r="AD284" s="39"/>
      <c r="AE284" s="39"/>
      <c r="AF284" s="121"/>
      <c r="AG284" s="122"/>
      <c r="AH284" s="52"/>
      <c r="AI284" s="121"/>
      <c r="AJ284" s="39"/>
      <c r="AK284" s="39"/>
      <c r="AL284" s="121"/>
      <c r="AM284" s="121"/>
      <c r="AN284" s="78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</row>
    <row r="285" spans="1:83" ht="15.95">
      <c r="A285" s="28"/>
      <c r="B285" s="28"/>
      <c r="C285" s="36"/>
      <c r="D285" s="36"/>
      <c r="H285" s="37"/>
      <c r="I285" s="38"/>
      <c r="AB285" s="37"/>
      <c r="AC285" s="121"/>
      <c r="AD285" s="39"/>
      <c r="AE285" s="39"/>
      <c r="AF285" s="121"/>
      <c r="AG285" s="122"/>
      <c r="AH285" s="52"/>
      <c r="AI285" s="121"/>
      <c r="AJ285" s="39"/>
      <c r="AK285" s="39"/>
      <c r="AL285" s="121"/>
      <c r="AM285" s="121"/>
      <c r="AN285" s="78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</row>
    <row r="286" spans="1:83" ht="15.95">
      <c r="A286" s="28"/>
      <c r="B286" s="28"/>
      <c r="C286" s="36"/>
      <c r="D286" s="36"/>
      <c r="H286" s="37"/>
      <c r="I286" s="38"/>
      <c r="AB286" s="37"/>
      <c r="AC286" s="121"/>
      <c r="AD286" s="39"/>
      <c r="AE286" s="39"/>
      <c r="AF286" s="121"/>
      <c r="AG286" s="122"/>
      <c r="AH286" s="52"/>
      <c r="AI286" s="121"/>
      <c r="AJ286" s="39"/>
      <c r="AK286" s="39"/>
      <c r="AL286" s="121"/>
      <c r="AM286" s="121"/>
      <c r="AN286" s="78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</row>
    <row r="287" spans="1:83" ht="15.95">
      <c r="A287" s="28"/>
      <c r="B287" s="28"/>
      <c r="C287" s="37"/>
      <c r="D287" s="37"/>
      <c r="H287" s="37"/>
      <c r="I287" s="38"/>
      <c r="AB287" s="37"/>
      <c r="AC287" s="121"/>
      <c r="AD287" s="39"/>
      <c r="AE287" s="39"/>
      <c r="AF287" s="121"/>
      <c r="AG287" s="122"/>
      <c r="AH287" s="52"/>
      <c r="AI287" s="121"/>
      <c r="AJ287" s="39"/>
      <c r="AK287" s="39"/>
      <c r="AL287" s="121"/>
      <c r="AM287" s="121"/>
      <c r="AN287" s="78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</row>
    <row r="288" spans="1:83" ht="15.95">
      <c r="A288" s="28"/>
      <c r="B288" s="28"/>
      <c r="C288" s="35"/>
      <c r="D288" s="35"/>
      <c r="H288" s="37"/>
      <c r="I288" s="38"/>
      <c r="AB288" s="37"/>
      <c r="AC288" s="121"/>
      <c r="AD288" s="39"/>
      <c r="AE288" s="39"/>
      <c r="AF288" s="121"/>
      <c r="AG288" s="122"/>
      <c r="AH288" s="52"/>
      <c r="AI288" s="121"/>
      <c r="AJ288" s="39"/>
      <c r="AK288" s="39"/>
      <c r="AL288" s="121"/>
      <c r="AM288" s="121"/>
      <c r="AN288" s="78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</row>
    <row r="289" spans="1:83" ht="15.95">
      <c r="A289" s="28"/>
      <c r="B289" s="28"/>
      <c r="C289" s="35"/>
      <c r="D289" s="35"/>
      <c r="H289" s="37"/>
      <c r="I289" s="38"/>
      <c r="AB289" s="37"/>
      <c r="AC289" s="121"/>
      <c r="AD289" s="39"/>
      <c r="AE289" s="39"/>
      <c r="AF289" s="121"/>
      <c r="AG289" s="122"/>
      <c r="AH289" s="52"/>
      <c r="AI289" s="121"/>
      <c r="AJ289" s="39"/>
      <c r="AK289" s="39"/>
      <c r="AL289" s="121"/>
      <c r="AM289" s="121"/>
      <c r="AN289" s="78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</row>
    <row r="290" spans="1:83" ht="15.95">
      <c r="A290" s="28"/>
      <c r="B290" s="28"/>
      <c r="C290" s="36"/>
      <c r="D290" s="36"/>
      <c r="H290" s="37"/>
      <c r="I290" s="38"/>
      <c r="AB290" s="37"/>
      <c r="AC290" s="121"/>
      <c r="AD290" s="39"/>
      <c r="AE290" s="39"/>
      <c r="AF290" s="121"/>
      <c r="AG290" s="122"/>
      <c r="AH290" s="52"/>
      <c r="AI290" s="121"/>
      <c r="AJ290" s="39"/>
      <c r="AK290" s="39"/>
      <c r="AL290" s="121"/>
      <c r="AM290" s="121"/>
      <c r="AN290" s="78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</row>
    <row r="291" spans="1:83" ht="15.95">
      <c r="A291" s="28"/>
      <c r="B291" s="28"/>
      <c r="C291" s="35"/>
      <c r="D291" s="35"/>
      <c r="H291" s="37"/>
      <c r="I291" s="38"/>
      <c r="AB291" s="37"/>
      <c r="AC291" s="121"/>
      <c r="AD291" s="39"/>
      <c r="AE291" s="39"/>
      <c r="AF291" s="121"/>
      <c r="AG291" s="122"/>
      <c r="AH291" s="52"/>
      <c r="AI291" s="121"/>
      <c r="AJ291" s="39"/>
      <c r="AK291" s="39"/>
      <c r="AL291" s="121"/>
      <c r="AM291" s="121"/>
      <c r="AN291" s="78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</row>
    <row r="292" spans="1:83" ht="15.95">
      <c r="A292" s="28"/>
      <c r="B292" s="28"/>
      <c r="C292" s="36"/>
      <c r="D292" s="36"/>
      <c r="H292" s="37"/>
      <c r="I292" s="38"/>
      <c r="AB292" s="37"/>
      <c r="AC292" s="121"/>
      <c r="AD292" s="39"/>
      <c r="AE292" s="39"/>
      <c r="AF292" s="121"/>
      <c r="AG292" s="122"/>
      <c r="AH292" s="52"/>
      <c r="AI292" s="121"/>
      <c r="AJ292" s="39"/>
      <c r="AK292" s="39"/>
      <c r="AL292" s="121"/>
      <c r="AM292" s="121"/>
      <c r="AN292" s="78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</row>
    <row r="293" spans="1:83" ht="15.95">
      <c r="A293" s="28"/>
      <c r="B293" s="28"/>
      <c r="C293" s="35"/>
      <c r="D293" s="35"/>
      <c r="H293" s="37"/>
      <c r="I293" s="38"/>
      <c r="AB293" s="37"/>
      <c r="AC293" s="121"/>
      <c r="AD293" s="39"/>
      <c r="AE293" s="39"/>
      <c r="AF293" s="121"/>
      <c r="AG293" s="122"/>
      <c r="AH293" s="52"/>
      <c r="AI293" s="121"/>
      <c r="AJ293" s="39"/>
      <c r="AK293" s="39"/>
      <c r="AL293" s="121"/>
      <c r="AM293" s="121"/>
      <c r="AN293" s="78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</row>
    <row r="294" spans="1:83" ht="15.95">
      <c r="A294" s="28"/>
      <c r="B294" s="28"/>
      <c r="C294" s="35"/>
      <c r="D294" s="35"/>
      <c r="H294" s="37"/>
      <c r="I294" s="38"/>
      <c r="AB294" s="37"/>
      <c r="AC294" s="121"/>
      <c r="AD294" s="39"/>
      <c r="AE294" s="39"/>
      <c r="AF294" s="121"/>
      <c r="AG294" s="122"/>
      <c r="AH294" s="52"/>
      <c r="AI294" s="121"/>
      <c r="AJ294" s="39"/>
      <c r="AK294" s="39"/>
      <c r="AL294" s="121"/>
      <c r="AM294" s="121"/>
      <c r="AN294" s="78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</row>
    <row r="295" spans="1:83" ht="15.95">
      <c r="A295" s="28"/>
      <c r="B295" s="28"/>
      <c r="C295" s="35"/>
      <c r="D295" s="35"/>
      <c r="H295" s="37"/>
      <c r="I295" s="38"/>
      <c r="AB295" s="37"/>
      <c r="AC295" s="121"/>
      <c r="AD295" s="39"/>
      <c r="AE295" s="39"/>
      <c r="AF295" s="121"/>
      <c r="AG295" s="122"/>
      <c r="AH295" s="52"/>
      <c r="AI295" s="121"/>
      <c r="AJ295" s="39"/>
      <c r="AK295" s="39"/>
      <c r="AL295" s="121"/>
      <c r="AM295" s="121"/>
      <c r="AN295" s="78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</row>
    <row r="296" spans="1:83" ht="15.95">
      <c r="A296" s="28"/>
      <c r="B296" s="28"/>
      <c r="C296" s="35"/>
      <c r="D296" s="35"/>
      <c r="H296" s="37"/>
      <c r="I296" s="38"/>
      <c r="AB296" s="37"/>
      <c r="AC296" s="121"/>
      <c r="AD296" s="39"/>
      <c r="AE296" s="39"/>
      <c r="AF296" s="121"/>
      <c r="AG296" s="122"/>
      <c r="AH296" s="52"/>
      <c r="AI296" s="121"/>
      <c r="AJ296" s="39"/>
      <c r="AK296" s="39"/>
      <c r="AL296" s="121"/>
      <c r="AM296" s="121"/>
      <c r="AN296" s="78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</row>
    <row r="297" spans="1:83" ht="15.95">
      <c r="A297" s="28"/>
      <c r="B297" s="28"/>
      <c r="C297" s="37"/>
      <c r="D297" s="37"/>
      <c r="H297" s="37"/>
      <c r="I297" s="38"/>
      <c r="AB297" s="37"/>
      <c r="AC297" s="121"/>
      <c r="AD297" s="39"/>
      <c r="AE297" s="39"/>
      <c r="AF297" s="121"/>
      <c r="AG297" s="122"/>
      <c r="AH297" s="52"/>
      <c r="AI297" s="121"/>
      <c r="AJ297" s="39"/>
      <c r="AK297" s="39"/>
      <c r="AL297" s="121"/>
      <c r="AM297" s="121"/>
      <c r="AN297" s="78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</row>
  </sheetData>
  <mergeCells count="42">
    <mergeCell ref="E29:E32"/>
    <mergeCell ref="F29:F32"/>
    <mergeCell ref="G29:G32"/>
    <mergeCell ref="E25:E26"/>
    <mergeCell ref="F25:F26"/>
    <mergeCell ref="G25:G26"/>
    <mergeCell ref="E27:E28"/>
    <mergeCell ref="F27:F28"/>
    <mergeCell ref="G27:G28"/>
    <mergeCell ref="BL3:BQ3"/>
    <mergeCell ref="BR3:BW3"/>
    <mergeCell ref="BX3:CC3"/>
    <mergeCell ref="CD3:CD4"/>
    <mergeCell ref="E15:E16"/>
    <mergeCell ref="F15:F16"/>
    <mergeCell ref="G15:G16"/>
    <mergeCell ref="AB3:AG3"/>
    <mergeCell ref="AH3:AM3"/>
    <mergeCell ref="AN3:AS3"/>
    <mergeCell ref="AT3:AY3"/>
    <mergeCell ref="AZ3:BE3"/>
    <mergeCell ref="BF3:BK3"/>
    <mergeCell ref="G3:G4"/>
    <mergeCell ref="H3:H4"/>
    <mergeCell ref="I3:I4"/>
    <mergeCell ref="BJ1:BK1"/>
    <mergeCell ref="A3:A4"/>
    <mergeCell ref="B3:B4"/>
    <mergeCell ref="C3:C4"/>
    <mergeCell ref="E3:E4"/>
    <mergeCell ref="F3:F4"/>
    <mergeCell ref="J3:O3"/>
    <mergeCell ref="P3:U3"/>
    <mergeCell ref="V3:AA3"/>
    <mergeCell ref="AR1:AS1"/>
    <mergeCell ref="B1:I1"/>
    <mergeCell ref="E228:E229"/>
    <mergeCell ref="F228:F229"/>
    <mergeCell ref="G228:G229"/>
    <mergeCell ref="E239:E242"/>
    <mergeCell ref="F239:F242"/>
    <mergeCell ref="G239:G242"/>
  </mergeCells>
  <phoneticPr fontId="16" type="noConversion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A149-DB3A-4119-A606-282C5BBA5FD3}">
  <dimension ref="A1:CF248"/>
  <sheetViews>
    <sheetView zoomScale="70" zoomScaleNormal="70" workbookViewId="0">
      <pane ySplit="4" topLeftCell="A40" activePane="bottomLeft" state="frozen"/>
      <selection pane="bottomLeft" activeCell="H5" sqref="H5"/>
    </sheetView>
  </sheetViews>
  <sheetFormatPr defaultColWidth="9.140625" defaultRowHeight="14.45"/>
  <cols>
    <col min="1" max="1" width="12.28515625" customWidth="1"/>
    <col min="2" max="2" width="18.42578125" customWidth="1"/>
    <col min="3" max="3" width="55.28515625" customWidth="1"/>
    <col min="4" max="4" width="41.7109375" customWidth="1"/>
    <col min="5" max="5" width="20" hidden="1" customWidth="1"/>
    <col min="6" max="6" width="13.42578125" hidden="1" customWidth="1"/>
    <col min="7" max="7" width="35.7109375" hidden="1" customWidth="1"/>
    <col min="8" max="8" width="11" customWidth="1"/>
    <col min="9" max="9" width="13.42578125" customWidth="1"/>
    <col min="10" max="10" width="6.42578125" hidden="1" customWidth="1"/>
    <col min="11" max="11" width="14.140625" hidden="1" customWidth="1"/>
    <col min="12" max="12" width="7.7109375" hidden="1" customWidth="1"/>
    <col min="13" max="14" width="8" hidden="1" customWidth="1"/>
    <col min="15" max="15" width="14.42578125" hidden="1" customWidth="1"/>
    <col min="16" max="16" width="6.42578125" hidden="1" customWidth="1"/>
    <col min="17" max="17" width="14.140625" hidden="1" customWidth="1"/>
    <col min="18" max="18" width="7.7109375" hidden="1" customWidth="1"/>
    <col min="19" max="20" width="8" hidden="1" customWidth="1"/>
    <col min="21" max="21" width="12.28515625" hidden="1" customWidth="1"/>
    <col min="22" max="22" width="9.140625" hidden="1" customWidth="1"/>
    <col min="23" max="23" width="13.42578125" hidden="1" customWidth="1"/>
    <col min="24" max="26" width="9.140625" hidden="1" customWidth="1"/>
    <col min="27" max="27" width="14.140625" hidden="1" customWidth="1"/>
    <col min="28" max="28" width="9.140625" customWidth="1"/>
    <col min="29" max="29" width="13" style="124" customWidth="1"/>
    <col min="30" max="30" width="9.7109375" customWidth="1"/>
    <col min="31" max="31" width="9.85546875" customWidth="1"/>
    <col min="32" max="32" width="9.42578125" style="124" customWidth="1"/>
    <col min="33" max="33" width="15.85546875" style="124" customWidth="1"/>
    <col min="34" max="34" width="8.140625" customWidth="1"/>
    <col min="35" max="35" width="13" style="124" customWidth="1"/>
    <col min="36" max="36" width="10.85546875" customWidth="1"/>
    <col min="37" max="37" width="10.140625" customWidth="1"/>
    <col min="38" max="38" width="11.42578125" style="124" customWidth="1"/>
    <col min="39" max="39" width="17.140625" style="124" customWidth="1"/>
    <col min="40" max="40" width="8.140625" style="79" customWidth="1"/>
    <col min="41" max="41" width="13.42578125" bestFit="1" customWidth="1"/>
    <col min="45" max="45" width="16.7109375" customWidth="1"/>
    <col min="46" max="46" width="11.7109375" bestFit="1" customWidth="1"/>
    <col min="47" max="47" width="13.42578125" bestFit="1" customWidth="1"/>
    <col min="51" max="51" width="12.28515625" bestFit="1" customWidth="1"/>
    <col min="52" max="52" width="11.42578125" bestFit="1" customWidth="1"/>
    <col min="53" max="53" width="13.42578125" bestFit="1" customWidth="1"/>
    <col min="57" max="57" width="10.42578125" customWidth="1"/>
    <col min="58" max="58" width="15.28515625" customWidth="1"/>
    <col min="59" max="59" width="13.42578125" bestFit="1" customWidth="1"/>
    <col min="63" max="63" width="12.28515625" bestFit="1" customWidth="1"/>
    <col min="64" max="64" width="12.85546875" customWidth="1"/>
    <col min="65" max="65" width="13.42578125" bestFit="1" customWidth="1"/>
    <col min="69" max="69" width="12.28515625" bestFit="1" customWidth="1"/>
    <col min="70" max="70" width="12.85546875" customWidth="1"/>
    <col min="71" max="71" width="13.42578125" bestFit="1" customWidth="1"/>
    <col min="75" max="75" width="10.85546875" customWidth="1"/>
    <col min="76" max="76" width="14.85546875" customWidth="1"/>
    <col min="77" max="77" width="13.42578125" bestFit="1" customWidth="1"/>
    <col min="81" max="81" width="12.28515625" bestFit="1" customWidth="1"/>
    <col min="82" max="82" width="13.140625" customWidth="1"/>
    <col min="83" max="83" width="13.42578125" bestFit="1" customWidth="1"/>
  </cols>
  <sheetData>
    <row r="1" spans="1:84" ht="27.6" customHeight="1">
      <c r="A1" s="1"/>
      <c r="B1" s="188" t="s">
        <v>0</v>
      </c>
      <c r="C1" s="188"/>
      <c r="D1" s="188"/>
      <c r="E1" s="188"/>
      <c r="F1" s="188"/>
      <c r="G1" s="188"/>
      <c r="H1" s="188"/>
      <c r="I1" s="18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13"/>
      <c r="AD1" s="3"/>
      <c r="AE1" s="3"/>
      <c r="AF1" s="113"/>
      <c r="AG1" s="114"/>
      <c r="AH1" s="55"/>
      <c r="AI1" s="113"/>
      <c r="AJ1" s="3"/>
      <c r="AK1" s="3"/>
      <c r="AL1" s="113"/>
      <c r="AM1" s="125"/>
      <c r="AN1" s="75"/>
      <c r="AO1" s="1"/>
      <c r="AP1" s="4"/>
      <c r="AQ1" s="4"/>
      <c r="AR1" s="182" t="s">
        <v>1</v>
      </c>
      <c r="AS1" s="182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82" t="s">
        <v>1</v>
      </c>
      <c r="BK1" s="182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5"/>
    </row>
    <row r="2" spans="1:84" ht="27.6" customHeight="1">
      <c r="A2" s="1"/>
      <c r="B2" s="19"/>
      <c r="C2" s="19"/>
      <c r="D2" s="19"/>
      <c r="E2" s="19"/>
      <c r="F2" s="19"/>
      <c r="G2" s="19"/>
      <c r="H2" s="19"/>
      <c r="I2" s="1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113"/>
      <c r="AD2" s="3"/>
      <c r="AE2" s="3"/>
      <c r="AF2" s="113"/>
      <c r="AG2" s="114"/>
      <c r="AH2" s="55"/>
      <c r="AI2" s="113"/>
      <c r="AJ2" s="3"/>
      <c r="AK2" s="3"/>
      <c r="AL2" s="113"/>
      <c r="AM2" s="125"/>
      <c r="AN2" s="75"/>
      <c r="AO2" s="1"/>
      <c r="AP2" s="4"/>
      <c r="AQ2" s="4"/>
      <c r="AR2" s="2"/>
      <c r="AS2" s="2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2"/>
      <c r="BK2" s="2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5"/>
    </row>
    <row r="3" spans="1:84" ht="15">
      <c r="A3" s="183" t="s">
        <v>2</v>
      </c>
      <c r="B3" s="183" t="s">
        <v>3</v>
      </c>
      <c r="C3" s="183" t="s">
        <v>4</v>
      </c>
      <c r="D3" s="105"/>
      <c r="E3" s="185" t="s">
        <v>5</v>
      </c>
      <c r="F3" s="185" t="s">
        <v>6</v>
      </c>
      <c r="G3" s="185" t="s">
        <v>7</v>
      </c>
      <c r="H3" s="185" t="s">
        <v>8</v>
      </c>
      <c r="I3" s="191" t="s">
        <v>9</v>
      </c>
      <c r="J3" s="187" t="s">
        <v>10</v>
      </c>
      <c r="K3" s="187"/>
      <c r="L3" s="187"/>
      <c r="M3" s="187"/>
      <c r="N3" s="187"/>
      <c r="O3" s="187"/>
      <c r="P3" s="187" t="s">
        <v>11</v>
      </c>
      <c r="Q3" s="187"/>
      <c r="R3" s="187"/>
      <c r="S3" s="187"/>
      <c r="T3" s="187"/>
      <c r="U3" s="187"/>
      <c r="V3" s="187" t="s">
        <v>12</v>
      </c>
      <c r="W3" s="187"/>
      <c r="X3" s="187"/>
      <c r="Y3" s="187"/>
      <c r="Z3" s="187"/>
      <c r="AA3" s="187"/>
      <c r="AB3" s="189" t="s">
        <v>13</v>
      </c>
      <c r="AC3" s="189"/>
      <c r="AD3" s="189"/>
      <c r="AE3" s="189"/>
      <c r="AF3" s="189"/>
      <c r="AG3" s="189"/>
      <c r="AH3" s="189" t="s">
        <v>14</v>
      </c>
      <c r="AI3" s="189"/>
      <c r="AJ3" s="189"/>
      <c r="AK3" s="189"/>
      <c r="AL3" s="189"/>
      <c r="AM3" s="189"/>
      <c r="AN3" s="189" t="s">
        <v>15</v>
      </c>
      <c r="AO3" s="189"/>
      <c r="AP3" s="189"/>
      <c r="AQ3" s="189"/>
      <c r="AR3" s="189"/>
      <c r="AS3" s="189"/>
      <c r="AT3" s="189" t="s">
        <v>16</v>
      </c>
      <c r="AU3" s="189"/>
      <c r="AV3" s="189"/>
      <c r="AW3" s="189"/>
      <c r="AX3" s="189"/>
      <c r="AY3" s="189"/>
      <c r="AZ3" s="189" t="s">
        <v>17</v>
      </c>
      <c r="BA3" s="189"/>
      <c r="BB3" s="189"/>
      <c r="BC3" s="189"/>
      <c r="BD3" s="189"/>
      <c r="BE3" s="189"/>
      <c r="BF3" s="189" t="s">
        <v>18</v>
      </c>
      <c r="BG3" s="189"/>
      <c r="BH3" s="189"/>
      <c r="BI3" s="189"/>
      <c r="BJ3" s="189"/>
      <c r="BK3" s="189"/>
      <c r="BL3" s="189" t="s">
        <v>19</v>
      </c>
      <c r="BM3" s="189"/>
      <c r="BN3" s="189"/>
      <c r="BO3" s="189"/>
      <c r="BP3" s="189"/>
      <c r="BQ3" s="189"/>
      <c r="BR3" s="189" t="s">
        <v>20</v>
      </c>
      <c r="BS3" s="189"/>
      <c r="BT3" s="189"/>
      <c r="BU3" s="189"/>
      <c r="BV3" s="189"/>
      <c r="BW3" s="189"/>
      <c r="BX3" s="189" t="s">
        <v>21</v>
      </c>
      <c r="BY3" s="189"/>
      <c r="BZ3" s="189"/>
      <c r="CA3" s="189"/>
      <c r="CB3" s="189"/>
      <c r="CC3" s="189"/>
      <c r="CD3" s="190" t="s">
        <v>22</v>
      </c>
      <c r="CE3" s="2"/>
      <c r="CF3" s="7"/>
    </row>
    <row r="4" spans="1:84" ht="45">
      <c r="A4" s="183"/>
      <c r="B4" s="183"/>
      <c r="C4" s="183"/>
      <c r="D4" s="133" t="s">
        <v>23</v>
      </c>
      <c r="E4" s="185"/>
      <c r="F4" s="185"/>
      <c r="G4" s="185"/>
      <c r="H4" s="185"/>
      <c r="I4" s="191"/>
      <c r="J4" s="8" t="s">
        <v>24</v>
      </c>
      <c r="K4" s="9" t="s">
        <v>25</v>
      </c>
      <c r="L4" s="6" t="s">
        <v>26</v>
      </c>
      <c r="M4" s="6" t="s">
        <v>27</v>
      </c>
      <c r="N4" s="9" t="s">
        <v>28</v>
      </c>
      <c r="O4" s="9" t="s">
        <v>29</v>
      </c>
      <c r="P4" s="8" t="s">
        <v>24</v>
      </c>
      <c r="Q4" s="9" t="s">
        <v>30</v>
      </c>
      <c r="R4" s="6" t="s">
        <v>26</v>
      </c>
      <c r="S4" s="6" t="s">
        <v>27</v>
      </c>
      <c r="T4" s="9" t="s">
        <v>28</v>
      </c>
      <c r="U4" s="9" t="s">
        <v>29</v>
      </c>
      <c r="V4" s="8" t="s">
        <v>24</v>
      </c>
      <c r="W4" s="9" t="s">
        <v>30</v>
      </c>
      <c r="X4" s="6" t="s">
        <v>26</v>
      </c>
      <c r="Y4" s="6" t="s">
        <v>27</v>
      </c>
      <c r="Z4" s="9" t="s">
        <v>28</v>
      </c>
      <c r="AA4" s="9" t="s">
        <v>29</v>
      </c>
      <c r="AB4" s="8" t="s">
        <v>24</v>
      </c>
      <c r="AC4" s="115" t="s">
        <v>31</v>
      </c>
      <c r="AD4" s="6" t="s">
        <v>26</v>
      </c>
      <c r="AE4" s="6" t="s">
        <v>27</v>
      </c>
      <c r="AF4" s="115" t="s">
        <v>28</v>
      </c>
      <c r="AG4" s="116" t="s">
        <v>32</v>
      </c>
      <c r="AH4" s="53" t="s">
        <v>24</v>
      </c>
      <c r="AI4" s="115" t="s">
        <v>31</v>
      </c>
      <c r="AJ4" s="6" t="s">
        <v>26</v>
      </c>
      <c r="AK4" s="6" t="s">
        <v>27</v>
      </c>
      <c r="AL4" s="126" t="s">
        <v>28</v>
      </c>
      <c r="AM4" s="126" t="s">
        <v>32</v>
      </c>
      <c r="AN4" s="53" t="s">
        <v>24</v>
      </c>
      <c r="AO4" s="8" t="s">
        <v>31</v>
      </c>
      <c r="AP4" s="6" t="s">
        <v>26</v>
      </c>
      <c r="AQ4" s="6" t="s">
        <v>27</v>
      </c>
      <c r="AR4" s="8" t="s">
        <v>28</v>
      </c>
      <c r="AS4" s="8" t="s">
        <v>32</v>
      </c>
      <c r="AT4" s="8" t="s">
        <v>24</v>
      </c>
      <c r="AU4" s="8" t="s">
        <v>31</v>
      </c>
      <c r="AV4" s="6" t="s">
        <v>26</v>
      </c>
      <c r="AW4" s="6" t="s">
        <v>27</v>
      </c>
      <c r="AX4" s="8" t="s">
        <v>28</v>
      </c>
      <c r="AY4" s="8" t="s">
        <v>32</v>
      </c>
      <c r="AZ4" s="8" t="s">
        <v>24</v>
      </c>
      <c r="BA4" s="8" t="s">
        <v>31</v>
      </c>
      <c r="BB4" s="6" t="s">
        <v>26</v>
      </c>
      <c r="BC4" s="6" t="s">
        <v>27</v>
      </c>
      <c r="BD4" s="8" t="s">
        <v>28</v>
      </c>
      <c r="BE4" s="8" t="s">
        <v>32</v>
      </c>
      <c r="BF4" s="8" t="s">
        <v>24</v>
      </c>
      <c r="BG4" s="8" t="s">
        <v>31</v>
      </c>
      <c r="BH4" s="6" t="s">
        <v>26</v>
      </c>
      <c r="BI4" s="6" t="s">
        <v>27</v>
      </c>
      <c r="BJ4" s="8" t="s">
        <v>28</v>
      </c>
      <c r="BK4" s="8" t="s">
        <v>32</v>
      </c>
      <c r="BL4" s="8" t="s">
        <v>24</v>
      </c>
      <c r="BM4" s="8" t="s">
        <v>31</v>
      </c>
      <c r="BN4" s="6" t="s">
        <v>26</v>
      </c>
      <c r="BO4" s="6" t="s">
        <v>27</v>
      </c>
      <c r="BP4" s="8" t="s">
        <v>28</v>
      </c>
      <c r="BQ4" s="8" t="s">
        <v>32</v>
      </c>
      <c r="BR4" s="6" t="s">
        <v>24</v>
      </c>
      <c r="BS4" s="8" t="s">
        <v>31</v>
      </c>
      <c r="BT4" s="6" t="s">
        <v>26</v>
      </c>
      <c r="BU4" s="6" t="s">
        <v>27</v>
      </c>
      <c r="BV4" s="8" t="s">
        <v>28</v>
      </c>
      <c r="BW4" s="8" t="s">
        <v>32</v>
      </c>
      <c r="BX4" s="6" t="s">
        <v>24</v>
      </c>
      <c r="BY4" s="8" t="s">
        <v>31</v>
      </c>
      <c r="BZ4" s="6" t="s">
        <v>26</v>
      </c>
      <c r="CA4" s="6" t="s">
        <v>27</v>
      </c>
      <c r="CB4" s="8" t="s">
        <v>28</v>
      </c>
      <c r="CC4" s="8" t="s">
        <v>32</v>
      </c>
      <c r="CD4" s="190"/>
      <c r="CE4" s="8" t="s">
        <v>31</v>
      </c>
      <c r="CF4" s="7"/>
    </row>
    <row r="5" spans="1:84" ht="80.25" customHeight="1">
      <c r="A5" s="27">
        <v>222</v>
      </c>
      <c r="B5" s="18" t="s">
        <v>705</v>
      </c>
      <c r="C5" s="18" t="s">
        <v>706</v>
      </c>
      <c r="D5" s="36" t="s">
        <v>63</v>
      </c>
      <c r="E5" s="21"/>
      <c r="F5" s="21"/>
      <c r="G5" s="21"/>
      <c r="H5" s="171" t="s">
        <v>421</v>
      </c>
      <c r="I5" s="11">
        <v>1</v>
      </c>
      <c r="J5" s="56"/>
      <c r="K5" s="12"/>
      <c r="L5" s="10"/>
      <c r="M5" s="10"/>
      <c r="N5" s="12"/>
      <c r="O5" s="12"/>
      <c r="P5" s="13"/>
      <c r="Q5" s="12"/>
      <c r="R5" s="10"/>
      <c r="S5" s="56"/>
      <c r="T5" s="12"/>
      <c r="U5" s="12"/>
      <c r="V5" s="56"/>
      <c r="W5" s="12"/>
      <c r="X5" s="10"/>
      <c r="Y5" s="10"/>
      <c r="Z5" s="12"/>
      <c r="AA5" s="12"/>
      <c r="AB5" s="80"/>
      <c r="AC5" s="117"/>
      <c r="AD5" s="10"/>
      <c r="AE5" s="10"/>
      <c r="AF5" s="117"/>
      <c r="AG5" s="118"/>
      <c r="AH5" s="80"/>
      <c r="AI5" s="112"/>
      <c r="AJ5" s="111"/>
      <c r="AK5" s="111"/>
      <c r="AL5" s="112"/>
      <c r="AM5" s="112"/>
      <c r="AN5" s="80"/>
      <c r="AO5" s="12"/>
      <c r="AP5" s="10"/>
      <c r="AQ5" s="10"/>
      <c r="AR5" s="12"/>
      <c r="AS5" s="12"/>
      <c r="AT5" s="13"/>
      <c r="AU5" s="12"/>
      <c r="AV5" s="10"/>
      <c r="AW5" s="10"/>
      <c r="AX5" s="12"/>
      <c r="AY5" s="12"/>
      <c r="AZ5" s="32"/>
      <c r="BA5" s="12"/>
      <c r="BB5" s="10"/>
      <c r="BC5" s="10"/>
      <c r="BD5" s="12"/>
      <c r="BE5" s="12"/>
      <c r="BF5" s="13"/>
      <c r="BG5" s="12"/>
      <c r="BH5" s="10"/>
      <c r="BI5" s="10"/>
      <c r="BJ5" s="12"/>
      <c r="BK5" s="12"/>
      <c r="BL5" s="13"/>
      <c r="BM5" s="12"/>
      <c r="BN5" s="10"/>
      <c r="BO5" s="10"/>
      <c r="BP5" s="12"/>
      <c r="BQ5" s="12"/>
      <c r="BR5" s="13"/>
      <c r="BS5" s="12"/>
      <c r="BT5" s="10"/>
      <c r="BU5" s="10"/>
      <c r="BV5" s="12"/>
      <c r="BW5" s="12"/>
      <c r="BX5" s="13"/>
      <c r="BY5" s="12"/>
      <c r="BZ5" s="10"/>
      <c r="CA5" s="10"/>
      <c r="CB5" s="12"/>
      <c r="CC5" s="12"/>
      <c r="CD5" s="31"/>
      <c r="CE5" s="12"/>
      <c r="CF5" s="5"/>
    </row>
    <row r="6" spans="1:84" ht="80.25" customHeight="1">
      <c r="A6" s="27">
        <v>223</v>
      </c>
      <c r="B6" s="18" t="s">
        <v>708</v>
      </c>
      <c r="C6" s="18" t="s">
        <v>709</v>
      </c>
      <c r="D6" s="36" t="s">
        <v>58</v>
      </c>
      <c r="E6" s="21"/>
      <c r="F6" s="21"/>
      <c r="G6" s="21"/>
      <c r="H6" s="171" t="s">
        <v>38</v>
      </c>
      <c r="I6" s="11">
        <v>1</v>
      </c>
      <c r="J6" s="56"/>
      <c r="K6" s="12"/>
      <c r="L6" s="10"/>
      <c r="M6" s="10"/>
      <c r="N6" s="12"/>
      <c r="O6" s="12"/>
      <c r="P6" s="56"/>
      <c r="Q6" s="12"/>
      <c r="R6" s="10"/>
      <c r="S6" s="56"/>
      <c r="T6" s="12"/>
      <c r="U6" s="12"/>
      <c r="V6" s="56"/>
      <c r="W6" s="12"/>
      <c r="X6" s="10"/>
      <c r="Y6" s="10"/>
      <c r="Z6" s="12"/>
      <c r="AA6" s="12"/>
      <c r="AB6" s="80"/>
      <c r="AC6" s="117"/>
      <c r="AD6" s="10"/>
      <c r="AE6" s="10"/>
      <c r="AF6" s="117"/>
      <c r="AG6" s="118"/>
      <c r="AH6" s="80"/>
      <c r="AI6" s="112"/>
      <c r="AJ6" s="111"/>
      <c r="AK6" s="111"/>
      <c r="AL6" s="112"/>
      <c r="AM6" s="112"/>
      <c r="AN6" s="80"/>
      <c r="AO6" s="12"/>
      <c r="AP6" s="10"/>
      <c r="AQ6" s="10"/>
      <c r="AR6" s="12"/>
      <c r="AS6" s="12"/>
      <c r="AT6" s="13"/>
      <c r="AU6" s="12"/>
      <c r="AV6" s="10"/>
      <c r="AW6" s="10"/>
      <c r="AX6" s="12"/>
      <c r="AY6" s="12"/>
      <c r="AZ6" s="32"/>
      <c r="BA6" s="12"/>
      <c r="BB6" s="10"/>
      <c r="BC6" s="10"/>
      <c r="BD6" s="12"/>
      <c r="BE6" s="12"/>
      <c r="BF6" s="13"/>
      <c r="BG6" s="12"/>
      <c r="BH6" s="10"/>
      <c r="BI6" s="10"/>
      <c r="BJ6" s="12"/>
      <c r="BK6" s="12"/>
      <c r="BL6" s="13"/>
      <c r="BM6" s="12"/>
      <c r="BN6" s="10"/>
      <c r="BO6" s="10"/>
      <c r="BP6" s="12"/>
      <c r="BQ6" s="12"/>
      <c r="BR6" s="13"/>
      <c r="BS6" s="12"/>
      <c r="BT6" s="10"/>
      <c r="BU6" s="10"/>
      <c r="BV6" s="12"/>
      <c r="BW6" s="12"/>
      <c r="BX6" s="13"/>
      <c r="BY6" s="12"/>
      <c r="BZ6" s="10"/>
      <c r="CA6" s="10"/>
      <c r="CB6" s="12"/>
      <c r="CC6" s="12"/>
      <c r="CD6" s="31"/>
      <c r="CE6" s="12"/>
      <c r="CF6" s="5"/>
    </row>
    <row r="7" spans="1:84" ht="80.25" customHeight="1">
      <c r="A7" s="27">
        <v>224</v>
      </c>
      <c r="B7" s="18" t="s">
        <v>710</v>
      </c>
      <c r="C7" s="18" t="s">
        <v>711</v>
      </c>
      <c r="D7" s="35" t="s">
        <v>54</v>
      </c>
      <c r="E7" s="21"/>
      <c r="F7" s="21"/>
      <c r="G7" s="21"/>
      <c r="H7" s="171" t="s">
        <v>38</v>
      </c>
      <c r="I7" s="11">
        <v>1</v>
      </c>
      <c r="J7" s="56"/>
      <c r="K7" s="12"/>
      <c r="L7" s="10"/>
      <c r="M7" s="10"/>
      <c r="N7" s="12"/>
      <c r="O7" s="12"/>
      <c r="P7" s="56"/>
      <c r="Q7" s="12"/>
      <c r="R7" s="10"/>
      <c r="S7" s="56"/>
      <c r="T7" s="12"/>
      <c r="U7" s="12"/>
      <c r="V7" s="56"/>
      <c r="W7" s="12"/>
      <c r="X7" s="10"/>
      <c r="Y7" s="10"/>
      <c r="Z7" s="12"/>
      <c r="AA7" s="12"/>
      <c r="AB7" s="80"/>
      <c r="AC7" s="117"/>
      <c r="AD7" s="10"/>
      <c r="AE7" s="10"/>
      <c r="AF7" s="117"/>
      <c r="AG7" s="118"/>
      <c r="AH7" s="80"/>
      <c r="AI7" s="112"/>
      <c r="AJ7" s="111"/>
      <c r="AK7" s="111"/>
      <c r="AL7" s="112"/>
      <c r="AM7" s="112"/>
      <c r="AN7" s="80"/>
      <c r="AO7" s="12"/>
      <c r="AP7" s="10"/>
      <c r="AQ7" s="10"/>
      <c r="AR7" s="12"/>
      <c r="AS7" s="12"/>
      <c r="AT7" s="13"/>
      <c r="AU7" s="12"/>
      <c r="AV7" s="10"/>
      <c r="AW7" s="10"/>
      <c r="AX7" s="12"/>
      <c r="AY7" s="12"/>
      <c r="AZ7" s="32"/>
      <c r="BA7" s="12"/>
      <c r="BB7" s="10"/>
      <c r="BC7" s="10"/>
      <c r="BD7" s="12"/>
      <c r="BE7" s="12"/>
      <c r="BF7" s="13"/>
      <c r="BG7" s="12"/>
      <c r="BH7" s="10"/>
      <c r="BI7" s="10"/>
      <c r="BJ7" s="12"/>
      <c r="BK7" s="12"/>
      <c r="BL7" s="13"/>
      <c r="BM7" s="12"/>
      <c r="BN7" s="10"/>
      <c r="BO7" s="10"/>
      <c r="BP7" s="12"/>
      <c r="BQ7" s="12"/>
      <c r="BR7" s="13"/>
      <c r="BS7" s="12"/>
      <c r="BT7" s="10"/>
      <c r="BU7" s="10"/>
      <c r="BV7" s="12"/>
      <c r="BW7" s="12"/>
      <c r="BX7" s="13"/>
      <c r="BY7" s="12"/>
      <c r="BZ7" s="10"/>
      <c r="CA7" s="10"/>
      <c r="CB7" s="12"/>
      <c r="CC7" s="12"/>
      <c r="CD7" s="31"/>
      <c r="CE7" s="12"/>
      <c r="CF7" s="5"/>
    </row>
    <row r="8" spans="1:84" ht="80.25" customHeight="1">
      <c r="A8" s="27">
        <v>225</v>
      </c>
      <c r="B8" s="18" t="s">
        <v>713</v>
      </c>
      <c r="C8" s="18" t="s">
        <v>714</v>
      </c>
      <c r="D8" s="35" t="s">
        <v>41</v>
      </c>
      <c r="E8" s="21"/>
      <c r="F8" s="21"/>
      <c r="G8" s="21"/>
      <c r="H8" s="171" t="s">
        <v>38</v>
      </c>
      <c r="I8" s="11">
        <v>1</v>
      </c>
      <c r="J8" s="56"/>
      <c r="K8" s="12"/>
      <c r="L8" s="10"/>
      <c r="M8" s="10"/>
      <c r="N8" s="12"/>
      <c r="O8" s="12"/>
      <c r="P8" s="56"/>
      <c r="Q8" s="12"/>
      <c r="R8" s="10"/>
      <c r="S8" s="56"/>
      <c r="T8" s="12"/>
      <c r="U8" s="12"/>
      <c r="V8" s="56"/>
      <c r="W8" s="12"/>
      <c r="X8" s="10"/>
      <c r="Y8" s="10"/>
      <c r="Z8" s="12"/>
      <c r="AA8" s="12"/>
      <c r="AB8" s="80"/>
      <c r="AC8" s="117"/>
      <c r="AD8" s="10"/>
      <c r="AE8" s="10"/>
      <c r="AF8" s="117"/>
      <c r="AG8" s="118"/>
      <c r="AH8" s="80"/>
      <c r="AI8" s="112"/>
      <c r="AJ8" s="111"/>
      <c r="AK8" s="111"/>
      <c r="AL8" s="112"/>
      <c r="AM8" s="112"/>
      <c r="AN8" s="80"/>
      <c r="AO8" s="12"/>
      <c r="AP8" s="10"/>
      <c r="AQ8" s="10"/>
      <c r="AR8" s="12"/>
      <c r="AS8" s="12"/>
      <c r="AT8" s="13"/>
      <c r="AU8" s="12"/>
      <c r="AV8" s="10"/>
      <c r="AW8" s="10"/>
      <c r="AX8" s="12"/>
      <c r="AY8" s="12"/>
      <c r="AZ8" s="32"/>
      <c r="BA8" s="12"/>
      <c r="BB8" s="10"/>
      <c r="BC8" s="10"/>
      <c r="BD8" s="12"/>
      <c r="BE8" s="12"/>
      <c r="BF8" s="13"/>
      <c r="BG8" s="12"/>
      <c r="BH8" s="10"/>
      <c r="BI8" s="10"/>
      <c r="BJ8" s="12"/>
      <c r="BK8" s="12"/>
      <c r="BL8" s="13"/>
      <c r="BM8" s="12"/>
      <c r="BN8" s="10"/>
      <c r="BO8" s="10"/>
      <c r="BP8" s="12"/>
      <c r="BQ8" s="12"/>
      <c r="BR8" s="13"/>
      <c r="BS8" s="12"/>
      <c r="BT8" s="10"/>
      <c r="BU8" s="10"/>
      <c r="BV8" s="12"/>
      <c r="BW8" s="12"/>
      <c r="BX8" s="13"/>
      <c r="BY8" s="12"/>
      <c r="BZ8" s="10"/>
      <c r="CA8" s="10"/>
      <c r="CB8" s="12"/>
      <c r="CC8" s="12"/>
      <c r="CD8" s="31"/>
      <c r="CE8" s="12"/>
      <c r="CF8" s="5"/>
    </row>
    <row r="9" spans="1:84" ht="80.25" customHeight="1">
      <c r="A9" s="27">
        <v>226</v>
      </c>
      <c r="B9" s="18" t="s">
        <v>716</v>
      </c>
      <c r="C9" s="18" t="s">
        <v>717</v>
      </c>
      <c r="D9" s="35" t="s">
        <v>181</v>
      </c>
      <c r="E9" s="21"/>
      <c r="F9" s="21"/>
      <c r="G9" s="21"/>
      <c r="H9" s="171" t="s">
        <v>38</v>
      </c>
      <c r="I9" s="11">
        <v>1</v>
      </c>
      <c r="J9" s="56"/>
      <c r="K9" s="12"/>
      <c r="L9" s="10"/>
      <c r="M9" s="10"/>
      <c r="N9" s="12"/>
      <c r="O9" s="12"/>
      <c r="P9" s="56"/>
      <c r="Q9" s="12"/>
      <c r="R9" s="10"/>
      <c r="S9" s="56"/>
      <c r="T9" s="12"/>
      <c r="U9" s="12"/>
      <c r="V9" s="56"/>
      <c r="W9" s="12"/>
      <c r="X9" s="10"/>
      <c r="Y9" s="10"/>
      <c r="Z9" s="12"/>
      <c r="AA9" s="12"/>
      <c r="AB9" s="80"/>
      <c r="AC9" s="117"/>
      <c r="AD9" s="10"/>
      <c r="AE9" s="10"/>
      <c r="AF9" s="117"/>
      <c r="AG9" s="118"/>
      <c r="AH9" s="80"/>
      <c r="AI9" s="112"/>
      <c r="AJ9" s="111"/>
      <c r="AK9" s="111"/>
      <c r="AL9" s="112"/>
      <c r="AM9" s="112"/>
      <c r="AN9" s="80"/>
      <c r="AO9" s="12"/>
      <c r="AP9" s="10"/>
      <c r="AQ9" s="10"/>
      <c r="AR9" s="12"/>
      <c r="AS9" s="12"/>
      <c r="AT9" s="13"/>
      <c r="AU9" s="12"/>
      <c r="AV9" s="10"/>
      <c r="AW9" s="10"/>
      <c r="AX9" s="12"/>
      <c r="AY9" s="12"/>
      <c r="AZ9" s="32"/>
      <c r="BA9" s="12"/>
      <c r="BB9" s="10"/>
      <c r="BC9" s="10"/>
      <c r="BD9" s="12"/>
      <c r="BE9" s="12"/>
      <c r="BF9" s="13"/>
      <c r="BG9" s="12"/>
      <c r="BH9" s="10"/>
      <c r="BI9" s="10"/>
      <c r="BJ9" s="12"/>
      <c r="BK9" s="12"/>
      <c r="BL9" s="13"/>
      <c r="BM9" s="12"/>
      <c r="BN9" s="10"/>
      <c r="BO9" s="10"/>
      <c r="BP9" s="12"/>
      <c r="BQ9" s="12"/>
      <c r="BR9" s="13"/>
      <c r="BS9" s="12"/>
      <c r="BT9" s="10"/>
      <c r="BU9" s="10"/>
      <c r="BV9" s="12"/>
      <c r="BW9" s="12"/>
      <c r="BX9" s="13"/>
      <c r="BY9" s="12"/>
      <c r="BZ9" s="10"/>
      <c r="CA9" s="10"/>
      <c r="CB9" s="12"/>
      <c r="CC9" s="12"/>
      <c r="CD9" s="31"/>
      <c r="CE9" s="12"/>
      <c r="CF9" s="5"/>
    </row>
    <row r="10" spans="1:84" ht="80.25" customHeight="1">
      <c r="A10" s="27">
        <v>227</v>
      </c>
      <c r="B10" s="18" t="s">
        <v>719</v>
      </c>
      <c r="C10" s="18" t="s">
        <v>720</v>
      </c>
      <c r="D10" s="35" t="s">
        <v>46</v>
      </c>
      <c r="E10" s="34"/>
      <c r="F10" s="34"/>
      <c r="G10" s="34"/>
      <c r="H10" s="171" t="s">
        <v>38</v>
      </c>
      <c r="I10" s="11">
        <v>1</v>
      </c>
      <c r="J10" s="56"/>
      <c r="K10" s="33"/>
      <c r="L10" s="10"/>
      <c r="M10" s="10"/>
      <c r="N10" s="33"/>
      <c r="O10" s="33"/>
      <c r="P10" s="56"/>
      <c r="Q10" s="33"/>
      <c r="R10" s="10"/>
      <c r="S10" s="56"/>
      <c r="T10" s="33"/>
      <c r="U10" s="33"/>
      <c r="V10" s="56"/>
      <c r="W10" s="33"/>
      <c r="X10" s="10"/>
      <c r="Y10" s="10"/>
      <c r="Z10" s="33"/>
      <c r="AA10" s="33"/>
      <c r="AB10" s="80"/>
      <c r="AC10" s="117"/>
      <c r="AD10" s="10"/>
      <c r="AE10" s="10"/>
      <c r="AF10" s="117"/>
      <c r="AG10" s="118"/>
      <c r="AH10" s="80"/>
      <c r="AI10" s="112"/>
      <c r="AJ10" s="111"/>
      <c r="AK10" s="111"/>
      <c r="AL10" s="112"/>
      <c r="AM10" s="112"/>
      <c r="AN10" s="80"/>
      <c r="AO10" s="12"/>
      <c r="AP10" s="10"/>
      <c r="AQ10" s="10"/>
      <c r="AR10" s="12"/>
      <c r="AS10" s="12"/>
      <c r="AT10" s="13"/>
      <c r="AU10" s="12"/>
      <c r="AV10" s="10"/>
      <c r="AW10" s="10"/>
      <c r="AX10" s="12"/>
      <c r="AY10" s="12"/>
      <c r="AZ10" s="32"/>
      <c r="BA10" s="12"/>
      <c r="BB10" s="10"/>
      <c r="BC10" s="10"/>
      <c r="BD10" s="12"/>
      <c r="BE10" s="12"/>
      <c r="BF10" s="13"/>
      <c r="BG10" s="12"/>
      <c r="BH10" s="10"/>
      <c r="BI10" s="10"/>
      <c r="BJ10" s="12"/>
      <c r="BK10" s="12"/>
      <c r="BL10" s="13"/>
      <c r="BM10" s="12"/>
      <c r="BN10" s="10"/>
      <c r="BO10" s="10"/>
      <c r="BP10" s="12"/>
      <c r="BQ10" s="12"/>
      <c r="BR10" s="13"/>
      <c r="BS10" s="12"/>
      <c r="BT10" s="10"/>
      <c r="BU10" s="10"/>
      <c r="BV10" s="12"/>
      <c r="BW10" s="12"/>
      <c r="BX10" s="13"/>
      <c r="BY10" s="12"/>
      <c r="BZ10" s="10"/>
      <c r="CA10" s="10"/>
      <c r="CB10" s="12"/>
      <c r="CC10" s="12"/>
      <c r="CD10" s="18"/>
      <c r="CE10" s="12"/>
      <c r="CF10" s="1"/>
    </row>
    <row r="11" spans="1:84" ht="80.25" customHeight="1">
      <c r="A11" s="27">
        <v>228</v>
      </c>
      <c r="B11" s="18" t="s">
        <v>722</v>
      </c>
      <c r="C11" s="18" t="s">
        <v>723</v>
      </c>
      <c r="D11" s="35" t="s">
        <v>171</v>
      </c>
      <c r="E11" s="21"/>
      <c r="F11" s="21"/>
      <c r="G11" s="21"/>
      <c r="H11" s="171" t="s">
        <v>38</v>
      </c>
      <c r="I11" s="11">
        <v>1</v>
      </c>
      <c r="J11" s="56"/>
      <c r="K11" s="12"/>
      <c r="L11" s="10"/>
      <c r="M11" s="10"/>
      <c r="N11" s="12"/>
      <c r="O11" s="12"/>
      <c r="P11" s="56"/>
      <c r="Q11" s="12"/>
      <c r="R11" s="10"/>
      <c r="S11" s="56"/>
      <c r="T11" s="12"/>
      <c r="U11" s="12"/>
      <c r="V11" s="56"/>
      <c r="W11" s="12"/>
      <c r="X11" s="10"/>
      <c r="Y11" s="10"/>
      <c r="Z11" s="12"/>
      <c r="AA11" s="12"/>
      <c r="AB11" s="80"/>
      <c r="AC11" s="117"/>
      <c r="AD11" s="10"/>
      <c r="AE11" s="10"/>
      <c r="AF11" s="117"/>
      <c r="AG11" s="118"/>
      <c r="AH11" s="80"/>
      <c r="AI11" s="112"/>
      <c r="AJ11" s="111"/>
      <c r="AK11" s="111"/>
      <c r="AL11" s="112"/>
      <c r="AM11" s="112"/>
      <c r="AN11" s="80"/>
      <c r="AO11" s="12"/>
      <c r="AP11" s="10"/>
      <c r="AQ11" s="10"/>
      <c r="AR11" s="12"/>
      <c r="AS11" s="12"/>
      <c r="AT11" s="13"/>
      <c r="AU11" s="12"/>
      <c r="AV11" s="10"/>
      <c r="AW11" s="10"/>
      <c r="AX11" s="12"/>
      <c r="AY11" s="12"/>
      <c r="AZ11" s="32"/>
      <c r="BA11" s="12"/>
      <c r="BB11" s="10"/>
      <c r="BC11" s="10"/>
      <c r="BD11" s="12"/>
      <c r="BE11" s="12"/>
      <c r="BF11" s="13"/>
      <c r="BG11" s="12"/>
      <c r="BH11" s="10"/>
      <c r="BI11" s="10"/>
      <c r="BJ11" s="12"/>
      <c r="BK11" s="12"/>
      <c r="BL11" s="13"/>
      <c r="BM11" s="12"/>
      <c r="BN11" s="10"/>
      <c r="BO11" s="10"/>
      <c r="BP11" s="12"/>
      <c r="BQ11" s="12"/>
      <c r="BR11" s="13"/>
      <c r="BS11" s="12"/>
      <c r="BT11" s="10"/>
      <c r="BU11" s="10"/>
      <c r="BV11" s="12"/>
      <c r="BW11" s="12"/>
      <c r="BX11" s="13"/>
      <c r="BY11" s="12"/>
      <c r="BZ11" s="10"/>
      <c r="CA11" s="10"/>
      <c r="CB11" s="12"/>
      <c r="CC11" s="12"/>
      <c r="CD11" s="31"/>
      <c r="CE11" s="12"/>
      <c r="CF11" s="5"/>
    </row>
    <row r="12" spans="1:84" ht="80.25" customHeight="1">
      <c r="A12" s="27">
        <v>229</v>
      </c>
      <c r="B12" s="18" t="s">
        <v>725</v>
      </c>
      <c r="C12" s="18" t="s">
        <v>726</v>
      </c>
      <c r="D12" s="35" t="s">
        <v>727</v>
      </c>
      <c r="E12" s="192"/>
      <c r="F12" s="192"/>
      <c r="G12" s="192"/>
      <c r="H12" s="171" t="s">
        <v>38</v>
      </c>
      <c r="I12" s="11">
        <v>1</v>
      </c>
      <c r="J12" s="56"/>
      <c r="K12" s="12"/>
      <c r="L12" s="10"/>
      <c r="M12" s="10"/>
      <c r="N12" s="12"/>
      <c r="O12" s="12"/>
      <c r="P12" s="56"/>
      <c r="Q12" s="12"/>
      <c r="R12" s="10"/>
      <c r="S12" s="56"/>
      <c r="T12" s="12"/>
      <c r="U12" s="12"/>
      <c r="V12" s="56"/>
      <c r="W12" s="12"/>
      <c r="X12" s="10"/>
      <c r="Y12" s="10"/>
      <c r="Z12" s="12"/>
      <c r="AA12" s="12"/>
      <c r="AB12" s="80"/>
      <c r="AC12" s="117"/>
      <c r="AD12" s="10"/>
      <c r="AE12" s="10"/>
      <c r="AF12" s="117"/>
      <c r="AG12" s="118"/>
      <c r="AH12" s="80"/>
      <c r="AI12" s="112"/>
      <c r="AJ12" s="111"/>
      <c r="AK12" s="111"/>
      <c r="AL12" s="112"/>
      <c r="AM12" s="112"/>
      <c r="AN12" s="80"/>
      <c r="AO12" s="12"/>
      <c r="AP12" s="10"/>
      <c r="AQ12" s="10"/>
      <c r="AR12" s="12"/>
      <c r="AS12" s="12"/>
      <c r="AT12" s="13"/>
      <c r="AU12" s="12"/>
      <c r="AV12" s="10"/>
      <c r="AW12" s="10"/>
      <c r="AX12" s="12"/>
      <c r="AY12" s="12"/>
      <c r="AZ12" s="32"/>
      <c r="BA12" s="12"/>
      <c r="BB12" s="10"/>
      <c r="BC12" s="10"/>
      <c r="BD12" s="12"/>
      <c r="BE12" s="12"/>
      <c r="BF12" s="13"/>
      <c r="BG12" s="12"/>
      <c r="BH12" s="10"/>
      <c r="BI12" s="10"/>
      <c r="BJ12" s="12"/>
      <c r="BK12" s="12"/>
      <c r="BL12" s="13"/>
      <c r="BM12" s="12"/>
      <c r="BN12" s="10"/>
      <c r="BO12" s="10"/>
      <c r="BP12" s="12"/>
      <c r="BQ12" s="12"/>
      <c r="BR12" s="13"/>
      <c r="BS12" s="12"/>
      <c r="BT12" s="10"/>
      <c r="BU12" s="10"/>
      <c r="BV12" s="12"/>
      <c r="BW12" s="12"/>
      <c r="BX12" s="13"/>
      <c r="BY12" s="12"/>
      <c r="BZ12" s="10"/>
      <c r="CA12" s="10"/>
      <c r="CB12" s="12"/>
      <c r="CC12" s="12"/>
      <c r="CD12" s="31"/>
      <c r="CE12" s="12"/>
      <c r="CF12" s="5"/>
    </row>
    <row r="13" spans="1:84" ht="80.25" customHeight="1">
      <c r="A13" s="27">
        <v>230</v>
      </c>
      <c r="B13" s="18" t="s">
        <v>729</v>
      </c>
      <c r="C13" s="18" t="s">
        <v>730</v>
      </c>
      <c r="D13" s="35" t="s">
        <v>731</v>
      </c>
      <c r="E13" s="192"/>
      <c r="F13" s="192"/>
      <c r="G13" s="192"/>
      <c r="H13" s="171" t="s">
        <v>38</v>
      </c>
      <c r="I13" s="11">
        <v>1</v>
      </c>
      <c r="J13" s="56"/>
      <c r="K13" s="12"/>
      <c r="L13" s="10"/>
      <c r="M13" s="10"/>
      <c r="N13" s="12"/>
      <c r="O13" s="12"/>
      <c r="P13" s="56"/>
      <c r="Q13" s="12"/>
      <c r="R13" s="10"/>
      <c r="S13" s="56"/>
      <c r="T13" s="12"/>
      <c r="U13" s="12"/>
      <c r="V13" s="56"/>
      <c r="W13" s="12"/>
      <c r="X13" s="10"/>
      <c r="Y13" s="10"/>
      <c r="Z13" s="12"/>
      <c r="AA13" s="12"/>
      <c r="AB13" s="80"/>
      <c r="AC13" s="117"/>
      <c r="AD13" s="10"/>
      <c r="AE13" s="10"/>
      <c r="AF13" s="117"/>
      <c r="AG13" s="118"/>
      <c r="AH13" s="80"/>
      <c r="AI13" s="112"/>
      <c r="AJ13" s="111"/>
      <c r="AK13" s="111"/>
      <c r="AL13" s="112"/>
      <c r="AM13" s="112"/>
      <c r="AN13" s="80"/>
      <c r="AO13" s="12"/>
      <c r="AP13" s="10"/>
      <c r="AQ13" s="10"/>
      <c r="AR13" s="12"/>
      <c r="AS13" s="12"/>
      <c r="AT13" s="13"/>
      <c r="AU13" s="12"/>
      <c r="AV13" s="10"/>
      <c r="AW13" s="10"/>
      <c r="AX13" s="12"/>
      <c r="AY13" s="12"/>
      <c r="AZ13" s="32"/>
      <c r="BA13" s="12"/>
      <c r="BB13" s="10"/>
      <c r="BC13" s="10"/>
      <c r="BD13" s="12"/>
      <c r="BE13" s="12"/>
      <c r="BF13" s="13"/>
      <c r="BG13" s="12"/>
      <c r="BH13" s="10"/>
      <c r="BI13" s="10"/>
      <c r="BJ13" s="12"/>
      <c r="BK13" s="12"/>
      <c r="BL13" s="13"/>
      <c r="BM13" s="12"/>
      <c r="BN13" s="10"/>
      <c r="BO13" s="10"/>
      <c r="BP13" s="12"/>
      <c r="BQ13" s="12"/>
      <c r="BR13" s="13"/>
      <c r="BS13" s="12"/>
      <c r="BT13" s="10"/>
      <c r="BU13" s="10"/>
      <c r="BV13" s="12"/>
      <c r="BW13" s="12"/>
      <c r="BX13" s="13"/>
      <c r="BY13" s="12"/>
      <c r="BZ13" s="10"/>
      <c r="CA13" s="10"/>
      <c r="CB13" s="12"/>
      <c r="CC13" s="12"/>
      <c r="CD13" s="31"/>
      <c r="CE13" s="12"/>
      <c r="CF13" s="5"/>
    </row>
    <row r="14" spans="1:84" ht="80.25" customHeight="1">
      <c r="A14" s="27">
        <v>231</v>
      </c>
      <c r="B14" s="18" t="s">
        <v>733</v>
      </c>
      <c r="C14" s="18" t="s">
        <v>734</v>
      </c>
      <c r="D14" s="35" t="s">
        <v>46</v>
      </c>
      <c r="E14" s="22"/>
      <c r="F14" s="22"/>
      <c r="G14" s="22"/>
      <c r="H14" s="171" t="s">
        <v>33</v>
      </c>
      <c r="I14" s="11">
        <v>1</v>
      </c>
      <c r="J14" s="56"/>
      <c r="K14" s="12"/>
      <c r="L14" s="10"/>
      <c r="M14" s="10"/>
      <c r="N14" s="12"/>
      <c r="O14" s="12"/>
      <c r="P14" s="56"/>
      <c r="Q14" s="12"/>
      <c r="R14" s="10"/>
      <c r="S14" s="56"/>
      <c r="T14" s="12"/>
      <c r="U14" s="12"/>
      <c r="V14" s="56"/>
      <c r="W14" s="12"/>
      <c r="X14" s="10"/>
      <c r="Y14" s="10"/>
      <c r="Z14" s="12"/>
      <c r="AA14" s="12"/>
      <c r="AB14" s="80"/>
      <c r="AC14" s="117"/>
      <c r="AD14" s="10"/>
      <c r="AE14" s="10"/>
      <c r="AF14" s="117"/>
      <c r="AG14" s="118"/>
      <c r="AH14" s="80"/>
      <c r="AI14" s="112"/>
      <c r="AJ14" s="111"/>
      <c r="AK14" s="111"/>
      <c r="AL14" s="112"/>
      <c r="AM14" s="112"/>
      <c r="AN14" s="80"/>
      <c r="AO14" s="12"/>
      <c r="AP14" s="10"/>
      <c r="AQ14" s="10"/>
      <c r="AR14" s="12"/>
      <c r="AS14" s="12"/>
      <c r="AT14" s="13"/>
      <c r="AU14" s="12"/>
      <c r="AV14" s="10"/>
      <c r="AW14" s="10"/>
      <c r="AX14" s="12"/>
      <c r="AY14" s="12"/>
      <c r="AZ14" s="32"/>
      <c r="BA14" s="12"/>
      <c r="BB14" s="10"/>
      <c r="BC14" s="10"/>
      <c r="BD14" s="12"/>
      <c r="BE14" s="12"/>
      <c r="BF14" s="13"/>
      <c r="BG14" s="12"/>
      <c r="BH14" s="10"/>
      <c r="BI14" s="10"/>
      <c r="BJ14" s="12"/>
      <c r="BK14" s="12"/>
      <c r="BL14" s="13"/>
      <c r="BM14" s="12"/>
      <c r="BN14" s="10"/>
      <c r="BO14" s="10"/>
      <c r="BP14" s="12"/>
      <c r="BQ14" s="12"/>
      <c r="BR14" s="13"/>
      <c r="BS14" s="12"/>
      <c r="BT14" s="10"/>
      <c r="BU14" s="10"/>
      <c r="BV14" s="12"/>
      <c r="BW14" s="12"/>
      <c r="BX14" s="13"/>
      <c r="BY14" s="12"/>
      <c r="BZ14" s="10"/>
      <c r="CA14" s="10"/>
      <c r="CB14" s="12"/>
      <c r="CC14" s="12"/>
      <c r="CD14" s="31"/>
      <c r="CE14" s="12"/>
      <c r="CF14" s="5"/>
    </row>
    <row r="15" spans="1:84" ht="80.25" customHeight="1">
      <c r="A15" s="27">
        <v>232</v>
      </c>
      <c r="B15" s="18" t="s">
        <v>736</v>
      </c>
      <c r="C15" s="18" t="s">
        <v>737</v>
      </c>
      <c r="D15" s="35" t="s">
        <v>824</v>
      </c>
      <c r="E15" s="22"/>
      <c r="F15" s="22"/>
      <c r="G15" s="22"/>
      <c r="H15" s="171" t="s">
        <v>33</v>
      </c>
      <c r="I15" s="11">
        <v>1</v>
      </c>
      <c r="J15" s="56"/>
      <c r="K15" s="12"/>
      <c r="L15" s="10"/>
      <c r="M15" s="10"/>
      <c r="N15" s="12"/>
      <c r="O15" s="12"/>
      <c r="P15" s="56"/>
      <c r="Q15" s="12"/>
      <c r="R15" s="10"/>
      <c r="S15" s="56"/>
      <c r="T15" s="12"/>
      <c r="U15" s="12"/>
      <c r="V15" s="56"/>
      <c r="W15" s="12"/>
      <c r="X15" s="10"/>
      <c r="Y15" s="10"/>
      <c r="Z15" s="12"/>
      <c r="AA15" s="12"/>
      <c r="AB15" s="80"/>
      <c r="AC15" s="117"/>
      <c r="AD15" s="10"/>
      <c r="AE15" s="10"/>
      <c r="AF15" s="117"/>
      <c r="AG15" s="118"/>
      <c r="AH15" s="80"/>
      <c r="AI15" s="112"/>
      <c r="AJ15" s="111"/>
      <c r="AK15" s="111"/>
      <c r="AL15" s="112"/>
      <c r="AM15" s="112"/>
      <c r="AN15" s="80"/>
      <c r="AO15" s="12"/>
      <c r="AP15" s="10"/>
      <c r="AQ15" s="10"/>
      <c r="AR15" s="12"/>
      <c r="AS15" s="12"/>
      <c r="AT15" s="13"/>
      <c r="AU15" s="12"/>
      <c r="AV15" s="10"/>
      <c r="AW15" s="10"/>
      <c r="AX15" s="12"/>
      <c r="AY15" s="12"/>
      <c r="AZ15" s="32"/>
      <c r="BA15" s="12"/>
      <c r="BB15" s="10"/>
      <c r="BC15" s="10"/>
      <c r="BD15" s="12"/>
      <c r="BE15" s="12"/>
      <c r="BF15" s="13"/>
      <c r="BG15" s="12"/>
      <c r="BH15" s="10"/>
      <c r="BI15" s="10"/>
      <c r="BJ15" s="12"/>
      <c r="BK15" s="12"/>
      <c r="BL15" s="13"/>
      <c r="BM15" s="12"/>
      <c r="BN15" s="10"/>
      <c r="BO15" s="10"/>
      <c r="BP15" s="12"/>
      <c r="BQ15" s="12"/>
      <c r="BR15" s="13"/>
      <c r="BS15" s="12"/>
      <c r="BT15" s="10"/>
      <c r="BU15" s="10"/>
      <c r="BV15" s="12"/>
      <c r="BW15" s="12"/>
      <c r="BX15" s="13"/>
      <c r="BY15" s="12"/>
      <c r="BZ15" s="10"/>
      <c r="CA15" s="10"/>
      <c r="CB15" s="12"/>
      <c r="CC15" s="12"/>
      <c r="CD15" s="31"/>
      <c r="CE15" s="12"/>
      <c r="CF15" s="5"/>
    </row>
    <row r="16" spans="1:84" ht="80.25" customHeight="1">
      <c r="A16" s="27">
        <v>233</v>
      </c>
      <c r="B16" s="18" t="s">
        <v>739</v>
      </c>
      <c r="C16" s="18" t="s">
        <v>740</v>
      </c>
      <c r="D16" s="35" t="s">
        <v>36</v>
      </c>
      <c r="E16" s="22"/>
      <c r="F16" s="22"/>
      <c r="G16" s="22"/>
      <c r="H16" s="171" t="s">
        <v>137</v>
      </c>
      <c r="I16" s="11">
        <v>1</v>
      </c>
      <c r="J16" s="56"/>
      <c r="K16" s="12"/>
      <c r="L16" s="10"/>
      <c r="M16" s="10"/>
      <c r="N16" s="12"/>
      <c r="O16" s="12"/>
      <c r="P16" s="56"/>
      <c r="Q16" s="12"/>
      <c r="R16" s="10"/>
      <c r="S16" s="56"/>
      <c r="T16" s="12"/>
      <c r="U16" s="12"/>
      <c r="V16" s="56"/>
      <c r="W16" s="12"/>
      <c r="X16" s="10"/>
      <c r="Y16" s="10"/>
      <c r="Z16" s="12"/>
      <c r="AA16" s="12"/>
      <c r="AB16" s="80"/>
      <c r="AC16" s="117"/>
      <c r="AD16" s="10"/>
      <c r="AE16" s="10"/>
      <c r="AF16" s="117"/>
      <c r="AG16" s="118"/>
      <c r="AH16" s="80"/>
      <c r="AI16" s="112"/>
      <c r="AJ16" s="111"/>
      <c r="AK16" s="111"/>
      <c r="AL16" s="112"/>
      <c r="AM16" s="112"/>
      <c r="AN16" s="80"/>
      <c r="AO16" s="12"/>
      <c r="AP16" s="10"/>
      <c r="AQ16" s="10"/>
      <c r="AR16" s="12"/>
      <c r="AS16" s="12"/>
      <c r="AT16" s="13"/>
      <c r="AU16" s="12"/>
      <c r="AV16" s="10"/>
      <c r="AW16" s="10"/>
      <c r="AX16" s="12"/>
      <c r="AY16" s="12"/>
      <c r="AZ16" s="32"/>
      <c r="BA16" s="12"/>
      <c r="BB16" s="10"/>
      <c r="BC16" s="10"/>
      <c r="BD16" s="12"/>
      <c r="BE16" s="12"/>
      <c r="BF16" s="13"/>
      <c r="BG16" s="12"/>
      <c r="BH16" s="10"/>
      <c r="BI16" s="10"/>
      <c r="BJ16" s="12"/>
      <c r="BK16" s="12"/>
      <c r="BL16" s="13"/>
      <c r="BM16" s="12"/>
      <c r="BN16" s="10"/>
      <c r="BO16" s="10"/>
      <c r="BP16" s="12"/>
      <c r="BQ16" s="12"/>
      <c r="BR16" s="13"/>
      <c r="BS16" s="12"/>
      <c r="BT16" s="10"/>
      <c r="BU16" s="10"/>
      <c r="BV16" s="12"/>
      <c r="BW16" s="12"/>
      <c r="BX16" s="13"/>
      <c r="BY16" s="12"/>
      <c r="BZ16" s="10"/>
      <c r="CA16" s="10"/>
      <c r="CB16" s="12"/>
      <c r="CC16" s="12"/>
      <c r="CD16" s="31"/>
      <c r="CE16" s="12"/>
      <c r="CF16" s="5"/>
    </row>
    <row r="17" spans="1:84" ht="80.25" customHeight="1">
      <c r="A17" s="27">
        <v>234</v>
      </c>
      <c r="B17" s="18" t="s">
        <v>742</v>
      </c>
      <c r="C17" s="18" t="s">
        <v>743</v>
      </c>
      <c r="D17" s="35" t="s">
        <v>63</v>
      </c>
      <c r="E17" s="22"/>
      <c r="F17" s="22"/>
      <c r="G17" s="22"/>
      <c r="H17" s="171" t="s">
        <v>38</v>
      </c>
      <c r="I17" s="11">
        <v>1</v>
      </c>
      <c r="J17" s="56"/>
      <c r="K17" s="12"/>
      <c r="L17" s="10"/>
      <c r="M17" s="10"/>
      <c r="N17" s="12"/>
      <c r="O17" s="12"/>
      <c r="P17" s="56"/>
      <c r="Q17" s="12"/>
      <c r="R17" s="10"/>
      <c r="S17" s="56"/>
      <c r="T17" s="12"/>
      <c r="U17" s="12"/>
      <c r="V17" s="56"/>
      <c r="W17" s="12"/>
      <c r="X17" s="10"/>
      <c r="Y17" s="10"/>
      <c r="Z17" s="12"/>
      <c r="AA17" s="12"/>
      <c r="AB17" s="80"/>
      <c r="AC17" s="117"/>
      <c r="AD17" s="10"/>
      <c r="AE17" s="10"/>
      <c r="AF17" s="117"/>
      <c r="AG17" s="118"/>
      <c r="AH17" s="80"/>
      <c r="AI17" s="112"/>
      <c r="AJ17" s="111"/>
      <c r="AK17" s="111"/>
      <c r="AL17" s="112"/>
      <c r="AM17" s="112"/>
      <c r="AN17" s="80"/>
      <c r="AO17" s="12"/>
      <c r="AP17" s="10"/>
      <c r="AQ17" s="10"/>
      <c r="AR17" s="12"/>
      <c r="AS17" s="12"/>
      <c r="AT17" s="13"/>
      <c r="AU17" s="12"/>
      <c r="AV17" s="10"/>
      <c r="AW17" s="10"/>
      <c r="AX17" s="12"/>
      <c r="AY17" s="12"/>
      <c r="AZ17" s="32"/>
      <c r="BA17" s="12"/>
      <c r="BB17" s="10"/>
      <c r="BC17" s="10"/>
      <c r="BD17" s="12"/>
      <c r="BE17" s="12"/>
      <c r="BF17" s="13"/>
      <c r="BG17" s="12"/>
      <c r="BH17" s="10"/>
      <c r="BI17" s="10"/>
      <c r="BJ17" s="12"/>
      <c r="BK17" s="12"/>
      <c r="BL17" s="13"/>
      <c r="BM17" s="12"/>
      <c r="BN17" s="10"/>
      <c r="BO17" s="10"/>
      <c r="BP17" s="12"/>
      <c r="BQ17" s="12"/>
      <c r="BR17" s="13"/>
      <c r="BS17" s="12"/>
      <c r="BT17" s="10"/>
      <c r="BU17" s="10"/>
      <c r="BV17" s="12"/>
      <c r="BW17" s="12"/>
      <c r="BX17" s="13"/>
      <c r="BY17" s="12"/>
      <c r="BZ17" s="10"/>
      <c r="CA17" s="10"/>
      <c r="CB17" s="12"/>
      <c r="CC17" s="12"/>
      <c r="CD17" s="31"/>
      <c r="CE17" s="12"/>
      <c r="CF17" s="5"/>
    </row>
    <row r="18" spans="1:84" ht="80.25" customHeight="1">
      <c r="A18" s="27">
        <v>235</v>
      </c>
      <c r="B18" s="18" t="s">
        <v>745</v>
      </c>
      <c r="C18" s="18" t="s">
        <v>746</v>
      </c>
      <c r="D18" s="35" t="s">
        <v>747</v>
      </c>
      <c r="E18" s="22"/>
      <c r="F18" s="22"/>
      <c r="G18" s="22"/>
      <c r="H18" s="171" t="s">
        <v>33</v>
      </c>
      <c r="I18" s="11">
        <v>1</v>
      </c>
      <c r="J18" s="56"/>
      <c r="K18" s="12"/>
      <c r="L18" s="10"/>
      <c r="M18" s="10"/>
      <c r="N18" s="12"/>
      <c r="O18" s="12"/>
      <c r="P18" s="56"/>
      <c r="Q18" s="12"/>
      <c r="R18" s="10"/>
      <c r="S18" s="56"/>
      <c r="T18" s="12"/>
      <c r="U18" s="12"/>
      <c r="V18" s="56"/>
      <c r="W18" s="12"/>
      <c r="X18" s="10"/>
      <c r="Y18" s="10"/>
      <c r="Z18" s="12"/>
      <c r="AA18" s="12"/>
      <c r="AB18" s="80"/>
      <c r="AC18" s="117"/>
      <c r="AD18" s="10"/>
      <c r="AE18" s="10"/>
      <c r="AF18" s="117"/>
      <c r="AG18" s="118"/>
      <c r="AH18" s="80"/>
      <c r="AI18" s="112"/>
      <c r="AJ18" s="111"/>
      <c r="AK18" s="111"/>
      <c r="AL18" s="112"/>
      <c r="AM18" s="112"/>
      <c r="AN18" s="80"/>
      <c r="AO18" s="12"/>
      <c r="AP18" s="10"/>
      <c r="AQ18" s="10"/>
      <c r="AR18" s="12"/>
      <c r="AS18" s="12"/>
      <c r="AT18" s="13"/>
      <c r="AU18" s="12"/>
      <c r="AV18" s="10"/>
      <c r="AW18" s="10"/>
      <c r="AX18" s="12"/>
      <c r="AY18" s="12"/>
      <c r="AZ18" s="32"/>
      <c r="BA18" s="12"/>
      <c r="BB18" s="10"/>
      <c r="BC18" s="10"/>
      <c r="BD18" s="12"/>
      <c r="BE18" s="12"/>
      <c r="BF18" s="13"/>
      <c r="BG18" s="12"/>
      <c r="BH18" s="10"/>
      <c r="BI18" s="10"/>
      <c r="BJ18" s="12"/>
      <c r="BK18" s="12"/>
      <c r="BL18" s="13"/>
      <c r="BM18" s="12"/>
      <c r="BN18" s="10"/>
      <c r="BO18" s="10"/>
      <c r="BP18" s="12"/>
      <c r="BQ18" s="12"/>
      <c r="BR18" s="13"/>
      <c r="BS18" s="12"/>
      <c r="BT18" s="10"/>
      <c r="BU18" s="10"/>
      <c r="BV18" s="12"/>
      <c r="BW18" s="12"/>
      <c r="BX18" s="13"/>
      <c r="BY18" s="12"/>
      <c r="BZ18" s="10"/>
      <c r="CA18" s="10"/>
      <c r="CB18" s="12"/>
      <c r="CC18" s="12"/>
      <c r="CD18" s="31"/>
      <c r="CE18" s="12"/>
      <c r="CF18" s="5"/>
    </row>
    <row r="19" spans="1:84" ht="80.25" customHeight="1">
      <c r="A19" s="27">
        <v>236</v>
      </c>
      <c r="B19" s="18" t="s">
        <v>749</v>
      </c>
      <c r="C19" s="18" t="s">
        <v>750</v>
      </c>
      <c r="D19" s="35" t="s">
        <v>751</v>
      </c>
      <c r="E19" s="22"/>
      <c r="F19" s="22"/>
      <c r="G19" s="22"/>
      <c r="H19" s="171" t="s">
        <v>75</v>
      </c>
      <c r="I19" s="11">
        <v>1</v>
      </c>
      <c r="J19" s="56"/>
      <c r="K19" s="12"/>
      <c r="L19" s="10"/>
      <c r="M19" s="10"/>
      <c r="N19" s="12"/>
      <c r="O19" s="12"/>
      <c r="P19" s="56"/>
      <c r="Q19" s="12"/>
      <c r="R19" s="10"/>
      <c r="S19" s="56"/>
      <c r="T19" s="12"/>
      <c r="U19" s="12"/>
      <c r="V19" s="56"/>
      <c r="W19" s="12"/>
      <c r="X19" s="10"/>
      <c r="Y19" s="10"/>
      <c r="Z19" s="12"/>
      <c r="AA19" s="12"/>
      <c r="AB19" s="80"/>
      <c r="AC19" s="117"/>
      <c r="AD19" s="10"/>
      <c r="AE19" s="10"/>
      <c r="AF19" s="117"/>
      <c r="AG19" s="118"/>
      <c r="AH19" s="80"/>
      <c r="AI19" s="112"/>
      <c r="AJ19" s="111"/>
      <c r="AK19" s="111"/>
      <c r="AL19" s="112"/>
      <c r="AM19" s="112"/>
      <c r="AN19" s="80"/>
      <c r="AO19" s="12"/>
      <c r="AP19" s="10"/>
      <c r="AQ19" s="10"/>
      <c r="AR19" s="12"/>
      <c r="AS19" s="12"/>
      <c r="AT19" s="13"/>
      <c r="AU19" s="12"/>
      <c r="AV19" s="10"/>
      <c r="AW19" s="10"/>
      <c r="AX19" s="12"/>
      <c r="AY19" s="12"/>
      <c r="AZ19" s="32"/>
      <c r="BA19" s="12"/>
      <c r="BB19" s="10"/>
      <c r="BC19" s="10"/>
      <c r="BD19" s="12"/>
      <c r="BE19" s="12"/>
      <c r="BF19" s="13"/>
      <c r="BG19" s="12"/>
      <c r="BH19" s="10"/>
      <c r="BI19" s="10"/>
      <c r="BJ19" s="12"/>
      <c r="BK19" s="12"/>
      <c r="BL19" s="13"/>
      <c r="BM19" s="12"/>
      <c r="BN19" s="10"/>
      <c r="BO19" s="10"/>
      <c r="BP19" s="12"/>
      <c r="BQ19" s="12"/>
      <c r="BR19" s="13"/>
      <c r="BS19" s="12"/>
      <c r="BT19" s="10"/>
      <c r="BU19" s="10"/>
      <c r="BV19" s="12"/>
      <c r="BW19" s="12"/>
      <c r="BX19" s="13"/>
      <c r="BY19" s="12"/>
      <c r="BZ19" s="10"/>
      <c r="CA19" s="10"/>
      <c r="CB19" s="12"/>
      <c r="CC19" s="12"/>
      <c r="CD19" s="18"/>
      <c r="CE19" s="12"/>
      <c r="CF19" s="5"/>
    </row>
    <row r="20" spans="1:84" ht="80.25" customHeight="1">
      <c r="A20" s="27">
        <v>237</v>
      </c>
      <c r="B20" s="18" t="s">
        <v>753</v>
      </c>
      <c r="C20" s="18" t="s">
        <v>754</v>
      </c>
      <c r="D20" s="35" t="s">
        <v>78</v>
      </c>
      <c r="E20" s="23"/>
      <c r="F20" s="23"/>
      <c r="G20" s="23"/>
      <c r="H20" s="171" t="s">
        <v>33</v>
      </c>
      <c r="I20" s="11">
        <v>1</v>
      </c>
      <c r="J20" s="56"/>
      <c r="K20" s="12"/>
      <c r="L20" s="10"/>
      <c r="M20" s="10"/>
      <c r="N20" s="12"/>
      <c r="O20" s="12"/>
      <c r="P20" s="56"/>
      <c r="Q20" s="12"/>
      <c r="R20" s="10"/>
      <c r="S20" s="56"/>
      <c r="T20" s="12"/>
      <c r="U20" s="12"/>
      <c r="V20" s="56"/>
      <c r="W20" s="12"/>
      <c r="X20" s="10"/>
      <c r="Y20" s="10"/>
      <c r="Z20" s="12"/>
      <c r="AA20" s="12"/>
      <c r="AB20" s="80"/>
      <c r="AC20" s="117"/>
      <c r="AD20" s="10"/>
      <c r="AE20" s="10"/>
      <c r="AF20" s="117"/>
      <c r="AG20" s="118"/>
      <c r="AH20" s="80"/>
      <c r="AI20" s="112"/>
      <c r="AJ20" s="111"/>
      <c r="AK20" s="111"/>
      <c r="AL20" s="112"/>
      <c r="AM20" s="112"/>
      <c r="AN20" s="80"/>
      <c r="AO20" s="12"/>
      <c r="AP20" s="10"/>
      <c r="AQ20" s="10"/>
      <c r="AR20" s="12"/>
      <c r="AS20" s="12"/>
      <c r="AT20" s="13"/>
      <c r="AU20" s="12"/>
      <c r="AV20" s="10"/>
      <c r="AW20" s="10"/>
      <c r="AX20" s="12"/>
      <c r="AY20" s="12"/>
      <c r="AZ20" s="32"/>
      <c r="BA20" s="12"/>
      <c r="BB20" s="10"/>
      <c r="BC20" s="10"/>
      <c r="BD20" s="12"/>
      <c r="BE20" s="12"/>
      <c r="BF20" s="13"/>
      <c r="BG20" s="12"/>
      <c r="BH20" s="10"/>
      <c r="BI20" s="10"/>
      <c r="BJ20" s="12"/>
      <c r="BK20" s="12"/>
      <c r="BL20" s="13"/>
      <c r="BM20" s="12"/>
      <c r="BN20" s="10"/>
      <c r="BO20" s="10"/>
      <c r="BP20" s="12"/>
      <c r="BQ20" s="12"/>
      <c r="BR20" s="13"/>
      <c r="BS20" s="12"/>
      <c r="BT20" s="10"/>
      <c r="BU20" s="10"/>
      <c r="BV20" s="12"/>
      <c r="BW20" s="12"/>
      <c r="BX20" s="13"/>
      <c r="BY20" s="12"/>
      <c r="BZ20" s="10"/>
      <c r="CA20" s="10"/>
      <c r="CB20" s="12"/>
      <c r="CC20" s="12"/>
      <c r="CD20" s="31"/>
      <c r="CE20" s="12"/>
      <c r="CF20" s="5"/>
    </row>
    <row r="21" spans="1:84" ht="80.25" customHeight="1">
      <c r="A21" s="27">
        <v>238</v>
      </c>
      <c r="B21" s="18" t="s">
        <v>756</v>
      </c>
      <c r="C21" s="18" t="s">
        <v>757</v>
      </c>
      <c r="D21" s="35" t="s">
        <v>78</v>
      </c>
      <c r="E21" s="23"/>
      <c r="F21" s="23"/>
      <c r="G21" s="23"/>
      <c r="H21" s="171" t="s">
        <v>33</v>
      </c>
      <c r="I21" s="11">
        <v>1</v>
      </c>
      <c r="J21" s="56"/>
      <c r="K21" s="12"/>
      <c r="L21" s="10"/>
      <c r="M21" s="10"/>
      <c r="N21" s="12"/>
      <c r="O21" s="12"/>
      <c r="P21" s="56"/>
      <c r="Q21" s="12"/>
      <c r="R21" s="10"/>
      <c r="S21" s="56"/>
      <c r="T21" s="12"/>
      <c r="U21" s="12"/>
      <c r="V21" s="56"/>
      <c r="W21" s="12"/>
      <c r="X21" s="10"/>
      <c r="Y21" s="10"/>
      <c r="Z21" s="12"/>
      <c r="AA21" s="12"/>
      <c r="AB21" s="80"/>
      <c r="AC21" s="117"/>
      <c r="AD21" s="10"/>
      <c r="AE21" s="10"/>
      <c r="AF21" s="117"/>
      <c r="AG21" s="118"/>
      <c r="AH21" s="80"/>
      <c r="AI21" s="112"/>
      <c r="AJ21" s="111"/>
      <c r="AK21" s="111"/>
      <c r="AL21" s="112"/>
      <c r="AM21" s="112"/>
      <c r="AN21" s="80"/>
      <c r="AO21" s="12"/>
      <c r="AP21" s="10"/>
      <c r="AQ21" s="10"/>
      <c r="AR21" s="12"/>
      <c r="AS21" s="12"/>
      <c r="AT21" s="13"/>
      <c r="AU21" s="12"/>
      <c r="AV21" s="10"/>
      <c r="AW21" s="10"/>
      <c r="AX21" s="12"/>
      <c r="AY21" s="12"/>
      <c r="AZ21" s="32"/>
      <c r="BA21" s="12"/>
      <c r="BB21" s="10"/>
      <c r="BC21" s="10"/>
      <c r="BD21" s="12"/>
      <c r="BE21" s="12"/>
      <c r="BF21" s="13"/>
      <c r="BG21" s="12"/>
      <c r="BH21" s="10"/>
      <c r="BI21" s="10"/>
      <c r="BJ21" s="12"/>
      <c r="BK21" s="12"/>
      <c r="BL21" s="13"/>
      <c r="BM21" s="12"/>
      <c r="BN21" s="10"/>
      <c r="BO21" s="10"/>
      <c r="BP21" s="12"/>
      <c r="BQ21" s="12"/>
      <c r="BR21" s="13"/>
      <c r="BS21" s="12"/>
      <c r="BT21" s="10"/>
      <c r="BU21" s="10"/>
      <c r="BV21" s="12"/>
      <c r="BW21" s="12"/>
      <c r="BX21" s="13"/>
      <c r="BY21" s="12"/>
      <c r="BZ21" s="10"/>
      <c r="CA21" s="10"/>
      <c r="CB21" s="12"/>
      <c r="CC21" s="12"/>
      <c r="CD21" s="18"/>
      <c r="CE21" s="12"/>
      <c r="CF21" s="5"/>
    </row>
    <row r="22" spans="1:84" ht="80.25" customHeight="1">
      <c r="A22" s="27">
        <v>239</v>
      </c>
      <c r="B22" s="18" t="s">
        <v>759</v>
      </c>
      <c r="C22" s="18" t="s">
        <v>760</v>
      </c>
      <c r="D22" s="35" t="s">
        <v>761</v>
      </c>
      <c r="E22" s="23"/>
      <c r="F22" s="23"/>
      <c r="G22" s="23"/>
      <c r="H22" s="171" t="s">
        <v>33</v>
      </c>
      <c r="I22" s="11">
        <v>1</v>
      </c>
      <c r="J22" s="56"/>
      <c r="K22" s="12"/>
      <c r="L22" s="10"/>
      <c r="M22" s="10"/>
      <c r="N22" s="12"/>
      <c r="O22" s="12"/>
      <c r="P22" s="56"/>
      <c r="Q22" s="12"/>
      <c r="R22" s="10"/>
      <c r="S22" s="56"/>
      <c r="T22" s="12"/>
      <c r="U22" s="12"/>
      <c r="V22" s="56"/>
      <c r="W22" s="12"/>
      <c r="X22" s="10"/>
      <c r="Y22" s="10"/>
      <c r="Z22" s="12"/>
      <c r="AA22" s="12"/>
      <c r="AB22" s="80"/>
      <c r="AC22" s="117"/>
      <c r="AD22" s="10"/>
      <c r="AE22" s="10"/>
      <c r="AF22" s="117"/>
      <c r="AG22" s="118"/>
      <c r="AH22" s="80"/>
      <c r="AI22" s="112"/>
      <c r="AJ22" s="111"/>
      <c r="AK22" s="111"/>
      <c r="AL22" s="112"/>
      <c r="AM22" s="112"/>
      <c r="AN22" s="80"/>
      <c r="AO22" s="12"/>
      <c r="AP22" s="10"/>
      <c r="AQ22" s="10"/>
      <c r="AR22" s="12"/>
      <c r="AS22" s="12"/>
      <c r="AT22" s="13"/>
      <c r="AU22" s="12"/>
      <c r="AV22" s="10"/>
      <c r="AW22" s="10"/>
      <c r="AX22" s="12"/>
      <c r="AY22" s="12"/>
      <c r="AZ22" s="32"/>
      <c r="BA22" s="12"/>
      <c r="BB22" s="10"/>
      <c r="BC22" s="10"/>
      <c r="BD22" s="12"/>
      <c r="BE22" s="12"/>
      <c r="BF22" s="13"/>
      <c r="BG22" s="12"/>
      <c r="BH22" s="10"/>
      <c r="BI22" s="10"/>
      <c r="BJ22" s="12"/>
      <c r="BK22" s="12"/>
      <c r="BL22" s="13"/>
      <c r="BM22" s="12"/>
      <c r="BN22" s="10"/>
      <c r="BO22" s="10"/>
      <c r="BP22" s="12"/>
      <c r="BQ22" s="12"/>
      <c r="BR22" s="13"/>
      <c r="BS22" s="12"/>
      <c r="BT22" s="10"/>
      <c r="BU22" s="10"/>
      <c r="BV22" s="12"/>
      <c r="BW22" s="12"/>
      <c r="BX22" s="13"/>
      <c r="BY22" s="12"/>
      <c r="BZ22" s="10"/>
      <c r="CA22" s="10"/>
      <c r="CB22" s="12"/>
      <c r="CC22" s="12"/>
      <c r="CD22" s="31"/>
      <c r="CE22" s="12"/>
      <c r="CF22" s="5"/>
    </row>
    <row r="23" spans="1:84" ht="80.25" customHeight="1">
      <c r="A23" s="27">
        <v>240</v>
      </c>
      <c r="B23" s="18" t="s">
        <v>763</v>
      </c>
      <c r="C23" s="18" t="s">
        <v>764</v>
      </c>
      <c r="D23" s="35" t="s">
        <v>761</v>
      </c>
      <c r="E23" s="192"/>
      <c r="F23" s="192"/>
      <c r="G23" s="192"/>
      <c r="H23" s="171" t="s">
        <v>33</v>
      </c>
      <c r="I23" s="11">
        <v>1</v>
      </c>
      <c r="J23" s="56"/>
      <c r="K23" s="12"/>
      <c r="L23" s="10"/>
      <c r="M23" s="10"/>
      <c r="N23" s="12"/>
      <c r="O23" s="12"/>
      <c r="P23" s="56"/>
      <c r="Q23" s="12"/>
      <c r="R23" s="10"/>
      <c r="S23" s="56"/>
      <c r="T23" s="12"/>
      <c r="U23" s="12"/>
      <c r="V23" s="56"/>
      <c r="W23" s="12"/>
      <c r="X23" s="10"/>
      <c r="Y23" s="10"/>
      <c r="Z23" s="12"/>
      <c r="AA23" s="12"/>
      <c r="AB23" s="80"/>
      <c r="AC23" s="117"/>
      <c r="AD23" s="10"/>
      <c r="AE23" s="10"/>
      <c r="AF23" s="117"/>
      <c r="AG23" s="118"/>
      <c r="AH23" s="80"/>
      <c r="AI23" s="112"/>
      <c r="AJ23" s="111"/>
      <c r="AK23" s="111"/>
      <c r="AL23" s="112"/>
      <c r="AM23" s="112"/>
      <c r="AN23" s="80"/>
      <c r="AO23" s="12"/>
      <c r="AP23" s="10"/>
      <c r="AQ23" s="10"/>
      <c r="AR23" s="12"/>
      <c r="AS23" s="12"/>
      <c r="AT23" s="13"/>
      <c r="AU23" s="12"/>
      <c r="AV23" s="10"/>
      <c r="AW23" s="10"/>
      <c r="AX23" s="12"/>
      <c r="AY23" s="12"/>
      <c r="AZ23" s="32"/>
      <c r="BA23" s="12"/>
      <c r="BB23" s="10"/>
      <c r="BC23" s="10"/>
      <c r="BD23" s="12"/>
      <c r="BE23" s="12"/>
      <c r="BF23" s="13"/>
      <c r="BG23" s="12"/>
      <c r="BH23" s="10"/>
      <c r="BI23" s="10"/>
      <c r="BJ23" s="12"/>
      <c r="BK23" s="12"/>
      <c r="BL23" s="13"/>
      <c r="BM23" s="12"/>
      <c r="BN23" s="10"/>
      <c r="BO23" s="10"/>
      <c r="BP23" s="12"/>
      <c r="BQ23" s="12"/>
      <c r="BR23" s="13"/>
      <c r="BS23" s="12"/>
      <c r="BT23" s="10"/>
      <c r="BU23" s="10"/>
      <c r="BV23" s="12"/>
      <c r="BW23" s="12"/>
      <c r="BX23" s="13"/>
      <c r="BY23" s="12"/>
      <c r="BZ23" s="10"/>
      <c r="CA23" s="10"/>
      <c r="CB23" s="12"/>
      <c r="CC23" s="12"/>
      <c r="CD23" s="31"/>
      <c r="CE23" s="12"/>
      <c r="CF23" s="5"/>
    </row>
    <row r="24" spans="1:84" ht="80.25" customHeight="1">
      <c r="A24" s="27">
        <v>241</v>
      </c>
      <c r="B24" s="18" t="s">
        <v>766</v>
      </c>
      <c r="C24" s="18" t="s">
        <v>767</v>
      </c>
      <c r="D24" s="35" t="s">
        <v>768</v>
      </c>
      <c r="E24" s="192"/>
      <c r="F24" s="192"/>
      <c r="G24" s="192"/>
      <c r="H24" s="171" t="s">
        <v>33</v>
      </c>
      <c r="I24" s="11">
        <v>1</v>
      </c>
      <c r="J24" s="56"/>
      <c r="K24" s="12"/>
      <c r="L24" s="10"/>
      <c r="M24" s="10"/>
      <c r="N24" s="12"/>
      <c r="O24" s="12"/>
      <c r="P24" s="56"/>
      <c r="Q24" s="12"/>
      <c r="R24" s="10"/>
      <c r="S24" s="56"/>
      <c r="T24" s="12"/>
      <c r="U24" s="12"/>
      <c r="V24" s="56"/>
      <c r="W24" s="12"/>
      <c r="X24" s="10"/>
      <c r="Y24" s="10"/>
      <c r="Z24" s="12"/>
      <c r="AA24" s="12"/>
      <c r="AB24" s="80"/>
      <c r="AC24" s="117"/>
      <c r="AD24" s="10"/>
      <c r="AE24" s="10"/>
      <c r="AF24" s="117"/>
      <c r="AG24" s="118"/>
      <c r="AH24" s="80"/>
      <c r="AI24" s="112"/>
      <c r="AJ24" s="111"/>
      <c r="AK24" s="111"/>
      <c r="AL24" s="112"/>
      <c r="AM24" s="112"/>
      <c r="AN24" s="80"/>
      <c r="AO24" s="12"/>
      <c r="AP24" s="10"/>
      <c r="AQ24" s="10"/>
      <c r="AR24" s="12"/>
      <c r="AS24" s="12"/>
      <c r="AT24" s="13"/>
      <c r="AU24" s="12"/>
      <c r="AV24" s="10"/>
      <c r="AW24" s="10"/>
      <c r="AX24" s="12"/>
      <c r="AY24" s="12"/>
      <c r="AZ24" s="32"/>
      <c r="BA24" s="12"/>
      <c r="BB24" s="10"/>
      <c r="BC24" s="10"/>
      <c r="BD24" s="12"/>
      <c r="BE24" s="12"/>
      <c r="BF24" s="13"/>
      <c r="BG24" s="12"/>
      <c r="BH24" s="10"/>
      <c r="BI24" s="10"/>
      <c r="BJ24" s="12"/>
      <c r="BK24" s="12"/>
      <c r="BL24" s="13"/>
      <c r="BM24" s="12"/>
      <c r="BN24" s="10"/>
      <c r="BO24" s="10"/>
      <c r="BP24" s="12"/>
      <c r="BQ24" s="12"/>
      <c r="BR24" s="13"/>
      <c r="BS24" s="12"/>
      <c r="BT24" s="10"/>
      <c r="BU24" s="10"/>
      <c r="BV24" s="12"/>
      <c r="BW24" s="12"/>
      <c r="BX24" s="13"/>
      <c r="BY24" s="12"/>
      <c r="BZ24" s="10"/>
      <c r="CA24" s="10"/>
      <c r="CB24" s="12"/>
      <c r="CC24" s="12"/>
      <c r="CD24" s="31"/>
      <c r="CE24" s="12"/>
      <c r="CF24" s="5"/>
    </row>
    <row r="25" spans="1:84" ht="80.25" customHeight="1">
      <c r="A25" s="27">
        <v>242</v>
      </c>
      <c r="B25" s="18" t="s">
        <v>770</v>
      </c>
      <c r="C25" s="18" t="s">
        <v>771</v>
      </c>
      <c r="D25" s="35" t="s">
        <v>772</v>
      </c>
      <c r="E25" s="192"/>
      <c r="F25" s="192"/>
      <c r="G25" s="192"/>
      <c r="H25" s="171" t="s">
        <v>33</v>
      </c>
      <c r="I25" s="11">
        <v>1</v>
      </c>
      <c r="J25" s="56"/>
      <c r="K25" s="12"/>
      <c r="L25" s="10"/>
      <c r="M25" s="10"/>
      <c r="N25" s="12"/>
      <c r="O25" s="12"/>
      <c r="P25" s="56"/>
      <c r="Q25" s="12"/>
      <c r="R25" s="10"/>
      <c r="S25" s="56"/>
      <c r="T25" s="12"/>
      <c r="U25" s="12"/>
      <c r="V25" s="56"/>
      <c r="W25" s="12"/>
      <c r="X25" s="10"/>
      <c r="Y25" s="10"/>
      <c r="Z25" s="12"/>
      <c r="AA25" s="12"/>
      <c r="AB25" s="80"/>
      <c r="AC25" s="117"/>
      <c r="AD25" s="10"/>
      <c r="AE25" s="10"/>
      <c r="AF25" s="117"/>
      <c r="AG25" s="118"/>
      <c r="AH25" s="80"/>
      <c r="AI25" s="112"/>
      <c r="AJ25" s="111"/>
      <c r="AK25" s="111"/>
      <c r="AL25" s="112"/>
      <c r="AM25" s="112"/>
      <c r="AN25" s="80"/>
      <c r="AO25" s="12"/>
      <c r="AP25" s="10"/>
      <c r="AQ25" s="10"/>
      <c r="AR25" s="12"/>
      <c r="AS25" s="12"/>
      <c r="AT25" s="13"/>
      <c r="AU25" s="12"/>
      <c r="AV25" s="10"/>
      <c r="AW25" s="10"/>
      <c r="AX25" s="12"/>
      <c r="AY25" s="12"/>
      <c r="AZ25" s="32"/>
      <c r="BA25" s="12"/>
      <c r="BB25" s="10"/>
      <c r="BC25" s="10"/>
      <c r="BD25" s="12"/>
      <c r="BE25" s="12"/>
      <c r="BF25" s="13"/>
      <c r="BG25" s="12"/>
      <c r="BH25" s="10"/>
      <c r="BI25" s="10"/>
      <c r="BJ25" s="12"/>
      <c r="BK25" s="12"/>
      <c r="BL25" s="13"/>
      <c r="BM25" s="12"/>
      <c r="BN25" s="10"/>
      <c r="BO25" s="10"/>
      <c r="BP25" s="12"/>
      <c r="BQ25" s="12"/>
      <c r="BR25" s="13"/>
      <c r="BS25" s="12"/>
      <c r="BT25" s="10"/>
      <c r="BU25" s="10"/>
      <c r="BV25" s="12"/>
      <c r="BW25" s="12"/>
      <c r="BX25" s="13"/>
      <c r="BY25" s="12"/>
      <c r="BZ25" s="10"/>
      <c r="CA25" s="10"/>
      <c r="CB25" s="12"/>
      <c r="CC25" s="12"/>
      <c r="CD25" s="31"/>
      <c r="CE25" s="12"/>
      <c r="CF25" s="5"/>
    </row>
    <row r="26" spans="1:84" ht="80.25" customHeight="1">
      <c r="A26" s="27">
        <v>243</v>
      </c>
      <c r="B26" s="18" t="s">
        <v>774</v>
      </c>
      <c r="C26" s="18" t="s">
        <v>775</v>
      </c>
      <c r="D26" s="35" t="s">
        <v>88</v>
      </c>
      <c r="E26" s="192"/>
      <c r="F26" s="192"/>
      <c r="G26" s="192"/>
      <c r="H26" s="171" t="s">
        <v>33</v>
      </c>
      <c r="I26" s="11">
        <v>1</v>
      </c>
      <c r="J26" s="56"/>
      <c r="K26" s="12"/>
      <c r="L26" s="10"/>
      <c r="M26" s="10"/>
      <c r="N26" s="12"/>
      <c r="O26" s="12"/>
      <c r="P26" s="56"/>
      <c r="Q26" s="12"/>
      <c r="R26" s="10"/>
      <c r="S26" s="56"/>
      <c r="T26" s="12"/>
      <c r="U26" s="12"/>
      <c r="V26" s="56"/>
      <c r="W26" s="12"/>
      <c r="X26" s="10"/>
      <c r="Y26" s="10"/>
      <c r="Z26" s="12"/>
      <c r="AA26" s="12"/>
      <c r="AB26" s="80"/>
      <c r="AC26" s="117"/>
      <c r="AD26" s="10"/>
      <c r="AE26" s="10"/>
      <c r="AF26" s="117"/>
      <c r="AG26" s="118"/>
      <c r="AH26" s="80"/>
      <c r="AI26" s="112"/>
      <c r="AJ26" s="111"/>
      <c r="AK26" s="111"/>
      <c r="AL26" s="112"/>
      <c r="AM26" s="112"/>
      <c r="AN26" s="80"/>
      <c r="AO26" s="12"/>
      <c r="AP26" s="10"/>
      <c r="AQ26" s="10"/>
      <c r="AR26" s="12"/>
      <c r="AS26" s="12"/>
      <c r="AT26" s="13"/>
      <c r="AU26" s="12"/>
      <c r="AV26" s="10"/>
      <c r="AW26" s="10"/>
      <c r="AX26" s="12"/>
      <c r="AY26" s="12"/>
      <c r="AZ26" s="32"/>
      <c r="BA26" s="12"/>
      <c r="BB26" s="10"/>
      <c r="BC26" s="10"/>
      <c r="BD26" s="12"/>
      <c r="BE26" s="12"/>
      <c r="BF26" s="13"/>
      <c r="BG26" s="12"/>
      <c r="BH26" s="10"/>
      <c r="BI26" s="10"/>
      <c r="BJ26" s="12"/>
      <c r="BK26" s="12"/>
      <c r="BL26" s="13"/>
      <c r="BM26" s="12"/>
      <c r="BN26" s="10"/>
      <c r="BO26" s="10"/>
      <c r="BP26" s="12"/>
      <c r="BQ26" s="12"/>
      <c r="BR26" s="13"/>
      <c r="BS26" s="12"/>
      <c r="BT26" s="10"/>
      <c r="BU26" s="10"/>
      <c r="BV26" s="12"/>
      <c r="BW26" s="12"/>
      <c r="BX26" s="13"/>
      <c r="BY26" s="12"/>
      <c r="BZ26" s="10"/>
      <c r="CA26" s="10"/>
      <c r="CB26" s="12"/>
      <c r="CC26" s="12"/>
      <c r="CD26" s="31"/>
      <c r="CE26" s="12"/>
      <c r="CF26" s="5"/>
    </row>
    <row r="27" spans="1:84" ht="80.25" customHeight="1">
      <c r="A27" s="27">
        <v>244</v>
      </c>
      <c r="B27" s="18" t="s">
        <v>777</v>
      </c>
      <c r="C27" s="18" t="s">
        <v>778</v>
      </c>
      <c r="D27" s="35" t="s">
        <v>727</v>
      </c>
      <c r="E27" s="24"/>
      <c r="F27" s="24"/>
      <c r="G27" s="24"/>
      <c r="H27" s="171" t="s">
        <v>33</v>
      </c>
      <c r="I27" s="11">
        <v>1</v>
      </c>
      <c r="J27" s="56"/>
      <c r="K27" s="12"/>
      <c r="L27" s="10"/>
      <c r="M27" s="10"/>
      <c r="N27" s="12"/>
      <c r="O27" s="12"/>
      <c r="P27" s="56"/>
      <c r="Q27" s="12"/>
      <c r="R27" s="10"/>
      <c r="S27" s="56"/>
      <c r="T27" s="12"/>
      <c r="U27" s="12"/>
      <c r="V27" s="56"/>
      <c r="W27" s="12"/>
      <c r="X27" s="10"/>
      <c r="Y27" s="10"/>
      <c r="Z27" s="12"/>
      <c r="AA27" s="12"/>
      <c r="AB27" s="80"/>
      <c r="AC27" s="117"/>
      <c r="AD27" s="10"/>
      <c r="AE27" s="10"/>
      <c r="AF27" s="117"/>
      <c r="AG27" s="118"/>
      <c r="AH27" s="80"/>
      <c r="AI27" s="112"/>
      <c r="AJ27" s="111"/>
      <c r="AK27" s="111"/>
      <c r="AL27" s="112"/>
      <c r="AM27" s="112"/>
      <c r="AN27" s="80"/>
      <c r="AO27" s="12"/>
      <c r="AP27" s="10"/>
      <c r="AQ27" s="10"/>
      <c r="AR27" s="12"/>
      <c r="AS27" s="12"/>
      <c r="AT27" s="13"/>
      <c r="AU27" s="12"/>
      <c r="AV27" s="10"/>
      <c r="AW27" s="10"/>
      <c r="AX27" s="12"/>
      <c r="AY27" s="12"/>
      <c r="AZ27" s="32"/>
      <c r="BA27" s="12"/>
      <c r="BB27" s="10"/>
      <c r="BC27" s="10"/>
      <c r="BD27" s="12"/>
      <c r="BE27" s="12"/>
      <c r="BF27" s="13"/>
      <c r="BG27" s="12"/>
      <c r="BH27" s="10"/>
      <c r="BI27" s="10"/>
      <c r="BJ27" s="12"/>
      <c r="BK27" s="12"/>
      <c r="BL27" s="13"/>
      <c r="BM27" s="12"/>
      <c r="BN27" s="10"/>
      <c r="BO27" s="10"/>
      <c r="BP27" s="12"/>
      <c r="BQ27" s="12"/>
      <c r="BR27" s="13"/>
      <c r="BS27" s="12"/>
      <c r="BT27" s="10"/>
      <c r="BU27" s="10"/>
      <c r="BV27" s="12"/>
      <c r="BW27" s="12"/>
      <c r="BX27" s="13"/>
      <c r="BY27" s="12"/>
      <c r="BZ27" s="10"/>
      <c r="CA27" s="10"/>
      <c r="CB27" s="12"/>
      <c r="CC27" s="12"/>
      <c r="CD27" s="31"/>
      <c r="CE27" s="12"/>
      <c r="CF27" s="5"/>
    </row>
    <row r="28" spans="1:84" ht="80.25" customHeight="1">
      <c r="A28" s="27">
        <v>245</v>
      </c>
      <c r="B28" s="18" t="s">
        <v>780</v>
      </c>
      <c r="C28" s="18" t="s">
        <v>781</v>
      </c>
      <c r="D28" s="35" t="s">
        <v>727</v>
      </c>
      <c r="E28" s="14"/>
      <c r="F28" s="14"/>
      <c r="G28" s="14"/>
      <c r="H28" s="171" t="s">
        <v>33</v>
      </c>
      <c r="I28" s="11">
        <v>1</v>
      </c>
      <c r="J28" s="56"/>
      <c r="K28" s="12"/>
      <c r="L28" s="10"/>
      <c r="M28" s="10"/>
      <c r="N28" s="33"/>
      <c r="O28" s="33"/>
      <c r="P28" s="56"/>
      <c r="Q28" s="33"/>
      <c r="R28" s="56"/>
      <c r="S28" s="56"/>
      <c r="T28" s="33"/>
      <c r="U28" s="33"/>
      <c r="V28" s="56"/>
      <c r="W28" s="33"/>
      <c r="X28" s="56"/>
      <c r="Y28" s="56"/>
      <c r="Z28" s="33"/>
      <c r="AA28" s="33"/>
      <c r="AB28" s="80"/>
      <c r="AC28" s="117"/>
      <c r="AD28" s="10"/>
      <c r="AE28" s="10"/>
      <c r="AF28" s="117"/>
      <c r="AG28" s="118"/>
      <c r="AH28" s="80"/>
      <c r="AI28" s="112"/>
      <c r="AJ28" s="111"/>
      <c r="AK28" s="111"/>
      <c r="AL28" s="112"/>
      <c r="AM28" s="112"/>
      <c r="AN28" s="80"/>
      <c r="AO28" s="12"/>
      <c r="AP28" s="10"/>
      <c r="AQ28" s="10"/>
      <c r="AR28" s="12"/>
      <c r="AS28" s="12"/>
      <c r="AT28" s="13"/>
      <c r="AU28" s="12"/>
      <c r="AV28" s="10"/>
      <c r="AW28" s="10"/>
      <c r="AX28" s="12"/>
      <c r="AY28" s="12"/>
      <c r="AZ28" s="32"/>
      <c r="BA28" s="12"/>
      <c r="BB28" s="10"/>
      <c r="BC28" s="10"/>
      <c r="BD28" s="12"/>
      <c r="BE28" s="12"/>
      <c r="BF28" s="18"/>
      <c r="BG28" s="12"/>
      <c r="BH28" s="10"/>
      <c r="BI28" s="10"/>
      <c r="BJ28" s="12"/>
      <c r="BK28" s="12"/>
      <c r="BL28" s="18"/>
      <c r="BM28" s="12"/>
      <c r="BN28" s="10"/>
      <c r="BO28" s="10"/>
      <c r="BP28" s="12"/>
      <c r="BQ28" s="12"/>
      <c r="BR28" s="18"/>
      <c r="BS28" s="12"/>
      <c r="BT28" s="10"/>
      <c r="BU28" s="10"/>
      <c r="BV28" s="12"/>
      <c r="BW28" s="12"/>
      <c r="BX28" s="18"/>
      <c r="BY28" s="12"/>
      <c r="BZ28" s="10"/>
      <c r="CA28" s="10"/>
      <c r="CB28" s="12"/>
      <c r="CC28" s="12"/>
      <c r="CD28" s="31"/>
      <c r="CE28" s="12"/>
      <c r="CF28" s="16"/>
    </row>
    <row r="29" spans="1:84" ht="80.25" customHeight="1">
      <c r="A29" s="27">
        <v>246</v>
      </c>
      <c r="B29" s="18" t="s">
        <v>783</v>
      </c>
      <c r="C29" s="18" t="s">
        <v>784</v>
      </c>
      <c r="D29" s="35" t="s">
        <v>727</v>
      </c>
      <c r="E29" s="14"/>
      <c r="F29" s="14"/>
      <c r="G29" s="14"/>
      <c r="H29" s="171" t="s">
        <v>33</v>
      </c>
      <c r="I29" s="11">
        <v>1</v>
      </c>
      <c r="J29" s="56"/>
      <c r="K29" s="12"/>
      <c r="L29" s="10"/>
      <c r="M29" s="10"/>
      <c r="N29" s="33"/>
      <c r="O29" s="33"/>
      <c r="P29" s="56"/>
      <c r="Q29" s="33"/>
      <c r="R29" s="56"/>
      <c r="S29" s="56"/>
      <c r="T29" s="33"/>
      <c r="U29" s="33"/>
      <c r="V29" s="56"/>
      <c r="W29" s="33"/>
      <c r="X29" s="56"/>
      <c r="Y29" s="56"/>
      <c r="Z29" s="33"/>
      <c r="AA29" s="33"/>
      <c r="AB29" s="80"/>
      <c r="AC29" s="117"/>
      <c r="AD29" s="10"/>
      <c r="AE29" s="10"/>
      <c r="AF29" s="117"/>
      <c r="AG29" s="118"/>
      <c r="AH29" s="80"/>
      <c r="AI29" s="112"/>
      <c r="AJ29" s="111"/>
      <c r="AK29" s="111"/>
      <c r="AL29" s="112"/>
      <c r="AM29" s="112"/>
      <c r="AN29" s="80"/>
      <c r="AO29" s="12"/>
      <c r="AP29" s="10"/>
      <c r="AQ29" s="10"/>
      <c r="AR29" s="12"/>
      <c r="AS29" s="12"/>
      <c r="AT29" s="13"/>
      <c r="AU29" s="12"/>
      <c r="AV29" s="10"/>
      <c r="AW29" s="10"/>
      <c r="AX29" s="12"/>
      <c r="AY29" s="12"/>
      <c r="AZ29" s="32"/>
      <c r="BA29" s="12"/>
      <c r="BB29" s="10"/>
      <c r="BC29" s="10"/>
      <c r="BD29" s="12"/>
      <c r="BE29" s="12"/>
      <c r="BF29" s="31"/>
      <c r="BG29" s="12"/>
      <c r="BH29" s="10"/>
      <c r="BI29" s="10"/>
      <c r="BJ29" s="12"/>
      <c r="BK29" s="12"/>
      <c r="BL29" s="31"/>
      <c r="BM29" s="12"/>
      <c r="BN29" s="10"/>
      <c r="BO29" s="10"/>
      <c r="BP29" s="12"/>
      <c r="BQ29" s="12"/>
      <c r="BR29" s="31"/>
      <c r="BS29" s="12"/>
      <c r="BT29" s="10"/>
      <c r="BU29" s="10"/>
      <c r="BV29" s="12"/>
      <c r="BW29" s="12"/>
      <c r="BX29" s="31"/>
      <c r="BY29" s="12"/>
      <c r="BZ29" s="10"/>
      <c r="CA29" s="10"/>
      <c r="CB29" s="12"/>
      <c r="CC29" s="12"/>
      <c r="CD29" s="31"/>
      <c r="CE29" s="12"/>
      <c r="CF29" s="16"/>
    </row>
    <row r="30" spans="1:84" ht="80.25" customHeight="1">
      <c r="A30" s="27">
        <v>247</v>
      </c>
      <c r="B30" s="18" t="s">
        <v>786</v>
      </c>
      <c r="C30" s="18" t="s">
        <v>787</v>
      </c>
      <c r="D30" s="35" t="s">
        <v>727</v>
      </c>
      <c r="E30" s="25"/>
      <c r="F30" s="25"/>
      <c r="G30" s="25"/>
      <c r="H30" s="171" t="s">
        <v>33</v>
      </c>
      <c r="I30" s="11">
        <v>1</v>
      </c>
      <c r="J30" s="56"/>
      <c r="K30" s="12"/>
      <c r="L30" s="10"/>
      <c r="M30" s="10"/>
      <c r="N30" s="33"/>
      <c r="O30" s="33"/>
      <c r="P30" s="56"/>
      <c r="Q30" s="33"/>
      <c r="R30" s="56"/>
      <c r="S30" s="56"/>
      <c r="T30" s="33"/>
      <c r="U30" s="33"/>
      <c r="V30" s="56"/>
      <c r="W30" s="33"/>
      <c r="X30" s="56"/>
      <c r="Y30" s="56"/>
      <c r="Z30" s="33"/>
      <c r="AA30" s="33"/>
      <c r="AB30" s="80"/>
      <c r="AC30" s="117"/>
      <c r="AD30" s="10"/>
      <c r="AE30" s="10"/>
      <c r="AF30" s="117"/>
      <c r="AG30" s="118"/>
      <c r="AH30" s="80"/>
      <c r="AI30" s="112"/>
      <c r="AJ30" s="111"/>
      <c r="AK30" s="111"/>
      <c r="AL30" s="112"/>
      <c r="AM30" s="112"/>
      <c r="AN30" s="80"/>
      <c r="AO30" s="12"/>
      <c r="AP30" s="10"/>
      <c r="AQ30" s="10"/>
      <c r="AR30" s="12"/>
      <c r="AS30" s="12"/>
      <c r="AT30" s="13"/>
      <c r="AU30" s="12"/>
      <c r="AV30" s="10"/>
      <c r="AW30" s="10"/>
      <c r="AX30" s="12"/>
      <c r="AY30" s="12"/>
      <c r="AZ30" s="32"/>
      <c r="BA30" s="12"/>
      <c r="BB30" s="10"/>
      <c r="BC30" s="10"/>
      <c r="BD30" s="12"/>
      <c r="BE30" s="12"/>
      <c r="BF30" s="31"/>
      <c r="BG30" s="12"/>
      <c r="BH30" s="10"/>
      <c r="BI30" s="10"/>
      <c r="BJ30" s="12"/>
      <c r="BK30" s="12"/>
      <c r="BL30" s="31"/>
      <c r="BM30" s="12"/>
      <c r="BN30" s="10"/>
      <c r="BO30" s="10"/>
      <c r="BP30" s="12"/>
      <c r="BQ30" s="12"/>
      <c r="BR30" s="31"/>
      <c r="BS30" s="12"/>
      <c r="BT30" s="10"/>
      <c r="BU30" s="10"/>
      <c r="BV30" s="12"/>
      <c r="BW30" s="12"/>
      <c r="BX30" s="31"/>
      <c r="BY30" s="12"/>
      <c r="BZ30" s="10"/>
      <c r="CA30" s="10"/>
      <c r="CB30" s="12"/>
      <c r="CC30" s="12"/>
      <c r="CD30" s="31"/>
      <c r="CE30" s="12"/>
      <c r="CF30" s="5"/>
    </row>
    <row r="31" spans="1:84" ht="80.25" customHeight="1">
      <c r="A31" s="27">
        <v>248</v>
      </c>
      <c r="B31" s="18" t="s">
        <v>789</v>
      </c>
      <c r="C31" s="18" t="s">
        <v>790</v>
      </c>
      <c r="D31" s="35" t="s">
        <v>727</v>
      </c>
      <c r="E31" s="25"/>
      <c r="F31" s="25"/>
      <c r="G31" s="25"/>
      <c r="H31" s="171" t="s">
        <v>33</v>
      </c>
      <c r="I31" s="11">
        <v>1</v>
      </c>
      <c r="J31" s="56"/>
      <c r="K31" s="12"/>
      <c r="L31" s="10"/>
      <c r="M31" s="10"/>
      <c r="N31" s="33"/>
      <c r="O31" s="33"/>
      <c r="P31" s="56"/>
      <c r="Q31" s="33"/>
      <c r="R31" s="56"/>
      <c r="S31" s="56"/>
      <c r="T31" s="33"/>
      <c r="U31" s="33"/>
      <c r="V31" s="56"/>
      <c r="W31" s="33"/>
      <c r="X31" s="56"/>
      <c r="Y31" s="56"/>
      <c r="Z31" s="33"/>
      <c r="AA31" s="33"/>
      <c r="AB31" s="80"/>
      <c r="AC31" s="117"/>
      <c r="AD31" s="10"/>
      <c r="AE31" s="10"/>
      <c r="AF31" s="117"/>
      <c r="AG31" s="118"/>
      <c r="AH31" s="80"/>
      <c r="AI31" s="112"/>
      <c r="AJ31" s="111"/>
      <c r="AK31" s="111"/>
      <c r="AL31" s="112"/>
      <c r="AM31" s="112"/>
      <c r="AN31" s="80"/>
      <c r="AO31" s="12"/>
      <c r="AP31" s="10"/>
      <c r="AQ31" s="10"/>
      <c r="AR31" s="12"/>
      <c r="AS31" s="12"/>
      <c r="AT31" s="13"/>
      <c r="AU31" s="12"/>
      <c r="AV31" s="10"/>
      <c r="AW31" s="10"/>
      <c r="AX31" s="12"/>
      <c r="AY31" s="12"/>
      <c r="AZ31" s="32"/>
      <c r="BA31" s="12"/>
      <c r="BB31" s="10"/>
      <c r="BC31" s="10"/>
      <c r="BD31" s="12"/>
      <c r="BE31" s="12"/>
      <c r="BF31" s="31"/>
      <c r="BG31" s="12"/>
      <c r="BH31" s="10"/>
      <c r="BI31" s="10"/>
      <c r="BJ31" s="12"/>
      <c r="BK31" s="12"/>
      <c r="BL31" s="31"/>
      <c r="BM31" s="12"/>
      <c r="BN31" s="10"/>
      <c r="BO31" s="10"/>
      <c r="BP31" s="12"/>
      <c r="BQ31" s="12"/>
      <c r="BR31" s="31"/>
      <c r="BS31" s="12"/>
      <c r="BT31" s="10"/>
      <c r="BU31" s="10"/>
      <c r="BV31" s="12"/>
      <c r="BW31" s="12"/>
      <c r="BX31" s="31"/>
      <c r="BY31" s="12"/>
      <c r="BZ31" s="10"/>
      <c r="CA31" s="10"/>
      <c r="CB31" s="12"/>
      <c r="CC31" s="12"/>
      <c r="CD31" s="31"/>
      <c r="CE31" s="12"/>
      <c r="CF31" s="5"/>
    </row>
    <row r="32" spans="1:84" ht="80.25" customHeight="1">
      <c r="A32" s="27">
        <v>249</v>
      </c>
      <c r="B32" s="18" t="s">
        <v>792</v>
      </c>
      <c r="C32" s="18" t="s">
        <v>793</v>
      </c>
      <c r="D32" s="35" t="s">
        <v>727</v>
      </c>
      <c r="E32" s="25"/>
      <c r="F32" s="25"/>
      <c r="G32" s="25"/>
      <c r="H32" s="171" t="s">
        <v>33</v>
      </c>
      <c r="I32" s="11">
        <v>1</v>
      </c>
      <c r="J32" s="56"/>
      <c r="K32" s="12"/>
      <c r="L32" s="10"/>
      <c r="M32" s="10"/>
      <c r="N32" s="33"/>
      <c r="O32" s="33"/>
      <c r="P32" s="56"/>
      <c r="Q32" s="33"/>
      <c r="R32" s="56"/>
      <c r="S32" s="56"/>
      <c r="T32" s="33"/>
      <c r="U32" s="33"/>
      <c r="V32" s="56"/>
      <c r="W32" s="33"/>
      <c r="X32" s="56"/>
      <c r="Y32" s="56"/>
      <c r="Z32" s="33"/>
      <c r="AA32" s="33"/>
      <c r="AB32" s="80"/>
      <c r="AC32" s="117"/>
      <c r="AD32" s="10"/>
      <c r="AE32" s="10"/>
      <c r="AF32" s="117"/>
      <c r="AG32" s="118"/>
      <c r="AH32" s="80"/>
      <c r="AI32" s="112"/>
      <c r="AJ32" s="111"/>
      <c r="AK32" s="111"/>
      <c r="AL32" s="112"/>
      <c r="AM32" s="112"/>
      <c r="AN32" s="80"/>
      <c r="AO32" s="12"/>
      <c r="AP32" s="10"/>
      <c r="AQ32" s="10"/>
      <c r="AR32" s="12"/>
      <c r="AS32" s="12"/>
      <c r="AT32" s="13"/>
      <c r="AU32" s="12"/>
      <c r="AV32" s="10"/>
      <c r="AW32" s="10"/>
      <c r="AX32" s="12"/>
      <c r="AY32" s="12"/>
      <c r="AZ32" s="32"/>
      <c r="BA32" s="12"/>
      <c r="BB32" s="10"/>
      <c r="BC32" s="10"/>
      <c r="BD32" s="12"/>
      <c r="BE32" s="12"/>
      <c r="BF32" s="31"/>
      <c r="BG32" s="12"/>
      <c r="BH32" s="10"/>
      <c r="BI32" s="10"/>
      <c r="BJ32" s="12"/>
      <c r="BK32" s="12"/>
      <c r="BL32" s="31"/>
      <c r="BM32" s="12"/>
      <c r="BN32" s="10"/>
      <c r="BO32" s="10"/>
      <c r="BP32" s="12"/>
      <c r="BQ32" s="12"/>
      <c r="BR32" s="31"/>
      <c r="BS32" s="12"/>
      <c r="BT32" s="10"/>
      <c r="BU32" s="10"/>
      <c r="BV32" s="12"/>
      <c r="BW32" s="12"/>
      <c r="BX32" s="31"/>
      <c r="BY32" s="12"/>
      <c r="BZ32" s="10"/>
      <c r="CA32" s="10"/>
      <c r="CB32" s="12"/>
      <c r="CC32" s="12"/>
      <c r="CD32" s="31"/>
      <c r="CE32" s="12"/>
      <c r="CF32" s="5"/>
    </row>
    <row r="33" spans="1:84" ht="80.25" customHeight="1">
      <c r="A33" s="27">
        <v>250</v>
      </c>
      <c r="B33" s="18" t="s">
        <v>795</v>
      </c>
      <c r="C33" s="18" t="s">
        <v>796</v>
      </c>
      <c r="D33" s="35" t="s">
        <v>727</v>
      </c>
      <c r="E33" s="26"/>
      <c r="F33" s="26"/>
      <c r="G33" s="26"/>
      <c r="H33" s="171" t="s">
        <v>33</v>
      </c>
      <c r="I33" s="11">
        <v>1</v>
      </c>
      <c r="J33" s="56"/>
      <c r="K33" s="12"/>
      <c r="L33" s="10"/>
      <c r="M33" s="10"/>
      <c r="N33" s="33"/>
      <c r="O33" s="33"/>
      <c r="P33" s="56"/>
      <c r="Q33" s="33"/>
      <c r="R33" s="56"/>
      <c r="S33" s="56"/>
      <c r="T33" s="33"/>
      <c r="U33" s="33"/>
      <c r="V33" s="56"/>
      <c r="W33" s="33"/>
      <c r="X33" s="56"/>
      <c r="Y33" s="56"/>
      <c r="Z33" s="33"/>
      <c r="AA33" s="33"/>
      <c r="AB33" s="80"/>
      <c r="AC33" s="117"/>
      <c r="AD33" s="10"/>
      <c r="AE33" s="10"/>
      <c r="AF33" s="117"/>
      <c r="AG33" s="118"/>
      <c r="AH33" s="80"/>
      <c r="AI33" s="112"/>
      <c r="AJ33" s="111"/>
      <c r="AK33" s="111"/>
      <c r="AL33" s="112"/>
      <c r="AM33" s="112"/>
      <c r="AN33" s="80"/>
      <c r="AO33" s="12"/>
      <c r="AP33" s="10"/>
      <c r="AQ33" s="10"/>
      <c r="AR33" s="12"/>
      <c r="AS33" s="12"/>
      <c r="AT33" s="13"/>
      <c r="AU33" s="12"/>
      <c r="AV33" s="10"/>
      <c r="AW33" s="10"/>
      <c r="AX33" s="12"/>
      <c r="AY33" s="12"/>
      <c r="AZ33" s="32"/>
      <c r="BA33" s="12"/>
      <c r="BB33" s="10"/>
      <c r="BC33" s="10"/>
      <c r="BD33" s="12"/>
      <c r="BE33" s="12"/>
      <c r="BF33" s="31"/>
      <c r="BG33" s="12"/>
      <c r="BH33" s="10"/>
      <c r="BI33" s="10"/>
      <c r="BJ33" s="12"/>
      <c r="BK33" s="12"/>
      <c r="BL33" s="31"/>
      <c r="BM33" s="12"/>
      <c r="BN33" s="10"/>
      <c r="BO33" s="10"/>
      <c r="BP33" s="12"/>
      <c r="BQ33" s="12"/>
      <c r="BR33" s="31"/>
      <c r="BS33" s="12"/>
      <c r="BT33" s="10"/>
      <c r="BU33" s="10"/>
      <c r="BV33" s="12"/>
      <c r="BW33" s="12"/>
      <c r="BX33" s="31"/>
      <c r="BY33" s="12"/>
      <c r="BZ33" s="10"/>
      <c r="CA33" s="10"/>
      <c r="CB33" s="12"/>
      <c r="CC33" s="12"/>
      <c r="CD33" s="31"/>
      <c r="CE33" s="12"/>
      <c r="CF33" s="5"/>
    </row>
    <row r="34" spans="1:84" ht="80.25" customHeight="1">
      <c r="A34" s="27">
        <v>251</v>
      </c>
      <c r="B34" s="18" t="s">
        <v>798</v>
      </c>
      <c r="C34" s="18" t="s">
        <v>799</v>
      </c>
      <c r="D34" s="35" t="s">
        <v>171</v>
      </c>
      <c r="E34" s="25"/>
      <c r="F34" s="25"/>
      <c r="G34" s="26"/>
      <c r="H34" s="171" t="s">
        <v>70</v>
      </c>
      <c r="I34" s="11">
        <v>1</v>
      </c>
      <c r="J34" s="56"/>
      <c r="K34" s="12"/>
      <c r="L34" s="10"/>
      <c r="M34" s="10"/>
      <c r="N34" s="33"/>
      <c r="O34" s="33"/>
      <c r="P34" s="56"/>
      <c r="Q34" s="33"/>
      <c r="R34" s="56"/>
      <c r="S34" s="56"/>
      <c r="T34" s="33"/>
      <c r="U34" s="33"/>
      <c r="V34" s="56"/>
      <c r="W34" s="33"/>
      <c r="X34" s="56"/>
      <c r="Y34" s="56"/>
      <c r="Z34" s="33"/>
      <c r="AA34" s="33"/>
      <c r="AB34" s="80"/>
      <c r="AC34" s="117"/>
      <c r="AD34" s="10"/>
      <c r="AE34" s="10"/>
      <c r="AF34" s="117"/>
      <c r="AG34" s="118"/>
      <c r="AH34" s="80"/>
      <c r="AI34" s="112"/>
      <c r="AJ34" s="111"/>
      <c r="AK34" s="111"/>
      <c r="AL34" s="112"/>
      <c r="AM34" s="112"/>
      <c r="AN34" s="80"/>
      <c r="AO34" s="12"/>
      <c r="AP34" s="10"/>
      <c r="AQ34" s="10"/>
      <c r="AR34" s="12"/>
      <c r="AS34" s="12"/>
      <c r="AT34" s="13"/>
      <c r="AU34" s="12"/>
      <c r="AV34" s="10"/>
      <c r="AW34" s="10"/>
      <c r="AX34" s="12"/>
      <c r="AY34" s="12"/>
      <c r="AZ34" s="32"/>
      <c r="BA34" s="12"/>
      <c r="BB34" s="10"/>
      <c r="BC34" s="10"/>
      <c r="BD34" s="12"/>
      <c r="BE34" s="12"/>
      <c r="BF34" s="31"/>
      <c r="BG34" s="12"/>
      <c r="BH34" s="10"/>
      <c r="BI34" s="10"/>
      <c r="BJ34" s="12"/>
      <c r="BK34" s="12"/>
      <c r="BL34" s="31"/>
      <c r="BM34" s="12"/>
      <c r="BN34" s="10"/>
      <c r="BO34" s="10"/>
      <c r="BP34" s="12"/>
      <c r="BQ34" s="12"/>
      <c r="BR34" s="31"/>
      <c r="BS34" s="12"/>
      <c r="BT34" s="10"/>
      <c r="BU34" s="10"/>
      <c r="BV34" s="12"/>
      <c r="BW34" s="12"/>
      <c r="BX34" s="31"/>
      <c r="BY34" s="12"/>
      <c r="BZ34" s="10"/>
      <c r="CA34" s="10"/>
      <c r="CB34" s="12"/>
      <c r="CC34" s="12"/>
      <c r="CD34" s="31"/>
      <c r="CE34" s="12"/>
      <c r="CF34" s="5"/>
    </row>
    <row r="35" spans="1:84" ht="80.25" customHeight="1">
      <c r="A35" s="27">
        <v>252</v>
      </c>
      <c r="B35" s="18" t="s">
        <v>801</v>
      </c>
      <c r="C35" s="18" t="s">
        <v>802</v>
      </c>
      <c r="D35" s="35" t="s">
        <v>727</v>
      </c>
      <c r="E35" s="25"/>
      <c r="F35" s="25"/>
      <c r="G35" s="26"/>
      <c r="H35" s="171" t="s">
        <v>33</v>
      </c>
      <c r="I35" s="11">
        <v>1</v>
      </c>
      <c r="J35" s="56"/>
      <c r="K35" s="12"/>
      <c r="L35" s="10"/>
      <c r="M35" s="10"/>
      <c r="N35" s="33"/>
      <c r="O35" s="33"/>
      <c r="P35" s="56"/>
      <c r="Q35" s="33"/>
      <c r="R35" s="56"/>
      <c r="S35" s="56"/>
      <c r="T35" s="33"/>
      <c r="U35" s="33"/>
      <c r="V35" s="56"/>
      <c r="W35" s="33"/>
      <c r="X35" s="56"/>
      <c r="Y35" s="56"/>
      <c r="Z35" s="33"/>
      <c r="AA35" s="33"/>
      <c r="AB35" s="80"/>
      <c r="AC35" s="117"/>
      <c r="AD35" s="10"/>
      <c r="AE35" s="10"/>
      <c r="AF35" s="117"/>
      <c r="AG35" s="118"/>
      <c r="AH35" s="80"/>
      <c r="AI35" s="112"/>
      <c r="AJ35" s="111"/>
      <c r="AK35" s="111"/>
      <c r="AL35" s="112"/>
      <c r="AM35" s="112"/>
      <c r="AN35" s="80"/>
      <c r="AO35" s="12"/>
      <c r="AP35" s="10"/>
      <c r="AQ35" s="10"/>
      <c r="AR35" s="12"/>
      <c r="AS35" s="12"/>
      <c r="AT35" s="13"/>
      <c r="AU35" s="12"/>
      <c r="AV35" s="10"/>
      <c r="AW35" s="10"/>
      <c r="AX35" s="12"/>
      <c r="AY35" s="12"/>
      <c r="AZ35" s="32"/>
      <c r="BA35" s="12"/>
      <c r="BB35" s="10"/>
      <c r="BC35" s="10"/>
      <c r="BD35" s="12"/>
      <c r="BE35" s="12"/>
      <c r="BF35" s="31"/>
      <c r="BG35" s="12"/>
      <c r="BH35" s="10"/>
      <c r="BI35" s="10"/>
      <c r="BJ35" s="12"/>
      <c r="BK35" s="12"/>
      <c r="BL35" s="31"/>
      <c r="BM35" s="12"/>
      <c r="BN35" s="10"/>
      <c r="BO35" s="10"/>
      <c r="BP35" s="12"/>
      <c r="BQ35" s="12"/>
      <c r="BR35" s="31"/>
      <c r="BS35" s="12"/>
      <c r="BT35" s="10"/>
      <c r="BU35" s="10"/>
      <c r="BV35" s="12"/>
      <c r="BW35" s="12"/>
      <c r="BX35" s="31"/>
      <c r="BY35" s="12"/>
      <c r="BZ35" s="10"/>
      <c r="CA35" s="10"/>
      <c r="CB35" s="12"/>
      <c r="CC35" s="12"/>
      <c r="CD35" s="31"/>
      <c r="CE35" s="12"/>
      <c r="CF35" s="5"/>
    </row>
    <row r="36" spans="1:84" ht="80.25" customHeight="1">
      <c r="A36" s="27">
        <v>253</v>
      </c>
      <c r="B36" s="18" t="s">
        <v>804</v>
      </c>
      <c r="C36" s="18" t="s">
        <v>805</v>
      </c>
      <c r="D36" s="35" t="s">
        <v>110</v>
      </c>
      <c r="H36" s="171" t="s">
        <v>806</v>
      </c>
      <c r="I36" s="11">
        <v>1</v>
      </c>
      <c r="J36" s="56"/>
      <c r="K36" s="12"/>
      <c r="L36" s="10"/>
      <c r="M36" s="10"/>
      <c r="N36" s="33"/>
      <c r="O36" s="33"/>
      <c r="P36" s="56"/>
      <c r="Q36" s="33"/>
      <c r="R36" s="56"/>
      <c r="S36" s="56"/>
      <c r="T36" s="33"/>
      <c r="U36" s="33"/>
      <c r="V36" s="56"/>
      <c r="W36" s="33"/>
      <c r="X36" s="56"/>
      <c r="Y36" s="56"/>
      <c r="Z36" s="33"/>
      <c r="AA36" s="33"/>
      <c r="AB36" s="80"/>
      <c r="AC36" s="117"/>
      <c r="AD36" s="10"/>
      <c r="AE36" s="10"/>
      <c r="AF36" s="117"/>
      <c r="AG36" s="118"/>
      <c r="AH36" s="80"/>
      <c r="AI36" s="112"/>
      <c r="AJ36" s="111"/>
      <c r="AK36" s="111"/>
      <c r="AL36" s="112"/>
      <c r="AM36" s="112"/>
      <c r="AN36" s="80"/>
      <c r="AO36" s="12"/>
      <c r="AP36" s="10"/>
      <c r="AQ36" s="10"/>
      <c r="AR36" s="12"/>
      <c r="AS36" s="12"/>
      <c r="AT36" s="13"/>
      <c r="AU36" s="12"/>
      <c r="AV36" s="10"/>
      <c r="AW36" s="10"/>
      <c r="AX36" s="12"/>
      <c r="AY36" s="12"/>
      <c r="AZ36" s="32"/>
      <c r="BA36" s="12"/>
      <c r="BB36" s="10"/>
      <c r="BC36" s="10"/>
      <c r="BD36" s="12"/>
      <c r="BE36" s="12"/>
      <c r="BF36" s="31"/>
      <c r="BG36" s="12"/>
      <c r="BH36" s="10"/>
      <c r="BI36" s="10"/>
      <c r="BJ36" s="12"/>
      <c r="BK36" s="12"/>
      <c r="BL36" s="31"/>
      <c r="BM36" s="12"/>
      <c r="BN36" s="10"/>
      <c r="BO36" s="10"/>
      <c r="BP36" s="12"/>
      <c r="BQ36" s="12"/>
      <c r="BR36" s="31"/>
      <c r="BS36" s="12"/>
      <c r="BT36" s="10"/>
      <c r="BU36" s="10"/>
      <c r="BV36" s="12"/>
      <c r="BW36" s="12"/>
      <c r="BX36" s="31"/>
      <c r="BY36" s="12"/>
      <c r="BZ36" s="10"/>
      <c r="CA36" s="10"/>
      <c r="CB36" s="12"/>
      <c r="CC36" s="12"/>
      <c r="CD36" s="31"/>
      <c r="CE36" s="12"/>
      <c r="CF36" s="17"/>
    </row>
    <row r="37" spans="1:84" ht="80.25" customHeight="1">
      <c r="A37" s="27">
        <v>254</v>
      </c>
      <c r="B37" s="18" t="s">
        <v>807</v>
      </c>
      <c r="C37" s="18" t="s">
        <v>808</v>
      </c>
      <c r="D37" s="35" t="s">
        <v>181</v>
      </c>
      <c r="H37" s="171" t="s">
        <v>809</v>
      </c>
      <c r="I37" s="11">
        <v>1</v>
      </c>
      <c r="J37" s="56"/>
      <c r="K37" s="12"/>
      <c r="L37" s="10"/>
      <c r="M37" s="10"/>
      <c r="N37" s="33"/>
      <c r="O37" s="33"/>
      <c r="P37" s="56"/>
      <c r="Q37" s="33"/>
      <c r="R37" s="56"/>
      <c r="S37" s="56"/>
      <c r="T37" s="33"/>
      <c r="U37" s="33"/>
      <c r="V37" s="56"/>
      <c r="W37" s="33"/>
      <c r="X37" s="56"/>
      <c r="Y37" s="56"/>
      <c r="Z37" s="33"/>
      <c r="AA37" s="33"/>
      <c r="AB37" s="80"/>
      <c r="AC37" s="117"/>
      <c r="AD37" s="10"/>
      <c r="AE37" s="10"/>
      <c r="AF37" s="117"/>
      <c r="AG37" s="118"/>
      <c r="AH37" s="80"/>
      <c r="AI37" s="112"/>
      <c r="AJ37" s="111"/>
      <c r="AK37" s="111"/>
      <c r="AL37" s="112"/>
      <c r="AM37" s="112"/>
      <c r="AN37" s="80"/>
      <c r="AO37" s="12"/>
      <c r="AP37" s="10"/>
      <c r="AQ37" s="10"/>
      <c r="AR37" s="12"/>
      <c r="AS37" s="12"/>
      <c r="AT37" s="13"/>
      <c r="AU37" s="12"/>
      <c r="AV37" s="10"/>
      <c r="AW37" s="10"/>
      <c r="AX37" s="12"/>
      <c r="AY37" s="12"/>
      <c r="AZ37" s="32"/>
      <c r="BA37" s="12"/>
      <c r="BB37" s="10"/>
      <c r="BC37" s="10"/>
      <c r="BD37" s="12"/>
      <c r="BE37" s="12"/>
      <c r="BF37" s="31"/>
      <c r="BG37" s="12"/>
      <c r="BH37" s="10"/>
      <c r="BI37" s="10"/>
      <c r="BJ37" s="12"/>
      <c r="BK37" s="12"/>
      <c r="BL37" s="31"/>
      <c r="BM37" s="12"/>
      <c r="BN37" s="10"/>
      <c r="BO37" s="10"/>
      <c r="BP37" s="12"/>
      <c r="BQ37" s="12"/>
      <c r="BR37" s="31"/>
      <c r="BS37" s="12"/>
      <c r="BT37" s="10"/>
      <c r="BU37" s="10"/>
      <c r="BV37" s="12"/>
      <c r="BW37" s="12"/>
      <c r="BX37" s="31"/>
      <c r="BY37" s="12"/>
      <c r="BZ37" s="10"/>
      <c r="CA37" s="10"/>
      <c r="CB37" s="12"/>
      <c r="CC37" s="12"/>
      <c r="CD37" s="31"/>
      <c r="CE37" s="12"/>
      <c r="CF37" s="17"/>
    </row>
    <row r="38" spans="1:84" ht="80.25" customHeight="1">
      <c r="A38" s="27">
        <v>255</v>
      </c>
      <c r="B38" s="18" t="s">
        <v>811</v>
      </c>
      <c r="C38" s="18" t="s">
        <v>812</v>
      </c>
      <c r="D38" s="35" t="s">
        <v>46</v>
      </c>
      <c r="H38" s="171" t="s">
        <v>813</v>
      </c>
      <c r="I38" s="11">
        <v>1</v>
      </c>
      <c r="J38" s="56"/>
      <c r="K38" s="12"/>
      <c r="L38" s="10"/>
      <c r="M38" s="10"/>
      <c r="N38" s="33"/>
      <c r="O38" s="33"/>
      <c r="P38" s="56"/>
      <c r="Q38" s="33"/>
      <c r="R38" s="56"/>
      <c r="S38" s="56"/>
      <c r="T38" s="33"/>
      <c r="U38" s="33"/>
      <c r="V38" s="56"/>
      <c r="W38" s="33"/>
      <c r="X38" s="56"/>
      <c r="Y38" s="56"/>
      <c r="Z38" s="33"/>
      <c r="AA38" s="33"/>
      <c r="AB38" s="80"/>
      <c r="AC38" s="117"/>
      <c r="AD38" s="10"/>
      <c r="AE38" s="10"/>
      <c r="AF38" s="117"/>
      <c r="AG38" s="118"/>
      <c r="AH38" s="80"/>
      <c r="AI38" s="112"/>
      <c r="AJ38" s="111"/>
      <c r="AK38" s="111"/>
      <c r="AL38" s="112"/>
      <c r="AM38" s="112"/>
      <c r="AN38" s="80"/>
      <c r="AO38" s="12"/>
      <c r="AP38" s="10"/>
      <c r="AQ38" s="10"/>
      <c r="AR38" s="12"/>
      <c r="AS38" s="12"/>
      <c r="AT38" s="13"/>
      <c r="AU38" s="12"/>
      <c r="AV38" s="10"/>
      <c r="AW38" s="10"/>
      <c r="AX38" s="12"/>
      <c r="AY38" s="12"/>
      <c r="AZ38" s="32"/>
      <c r="BA38" s="12"/>
      <c r="BB38" s="10"/>
      <c r="BC38" s="10"/>
      <c r="BD38" s="12"/>
      <c r="BE38" s="12"/>
      <c r="BF38" s="31"/>
      <c r="BG38" s="12"/>
      <c r="BH38" s="10"/>
      <c r="BI38" s="10"/>
      <c r="BJ38" s="12"/>
      <c r="BK38" s="12"/>
      <c r="BL38" s="31"/>
      <c r="BM38" s="12"/>
      <c r="BN38" s="10"/>
      <c r="BO38" s="10"/>
      <c r="BP38" s="12"/>
      <c r="BQ38" s="12"/>
      <c r="BR38" s="31"/>
      <c r="BS38" s="12"/>
      <c r="BT38" s="10"/>
      <c r="BU38" s="10"/>
      <c r="BV38" s="12"/>
      <c r="BW38" s="12"/>
      <c r="BX38" s="31"/>
      <c r="BY38" s="12"/>
      <c r="BZ38" s="10"/>
      <c r="CA38" s="10"/>
      <c r="CB38" s="12"/>
      <c r="CC38" s="12"/>
      <c r="CD38" s="31"/>
      <c r="CE38" s="12"/>
      <c r="CF38" s="17"/>
    </row>
    <row r="39" spans="1:84" ht="80.25" customHeight="1">
      <c r="A39" s="27">
        <v>256</v>
      </c>
      <c r="B39" s="18" t="s">
        <v>815</v>
      </c>
      <c r="C39" s="18" t="s">
        <v>816</v>
      </c>
      <c r="D39" s="35" t="s">
        <v>110</v>
      </c>
      <c r="H39" s="171" t="s">
        <v>620</v>
      </c>
      <c r="I39" s="11">
        <v>1</v>
      </c>
      <c r="J39" s="56"/>
      <c r="K39" s="12"/>
      <c r="L39" s="10"/>
      <c r="M39" s="10"/>
      <c r="N39" s="33"/>
      <c r="O39" s="33"/>
      <c r="P39" s="56"/>
      <c r="Q39" s="33"/>
      <c r="R39" s="56"/>
      <c r="S39" s="56"/>
      <c r="T39" s="33"/>
      <c r="U39" s="33"/>
      <c r="V39" s="56"/>
      <c r="W39" s="33"/>
      <c r="X39" s="56"/>
      <c r="Y39" s="56"/>
      <c r="Z39" s="33"/>
      <c r="AA39" s="33"/>
      <c r="AB39" s="80"/>
      <c r="AC39" s="117"/>
      <c r="AD39" s="10"/>
      <c r="AE39" s="10"/>
      <c r="AF39" s="117"/>
      <c r="AG39" s="118"/>
      <c r="AH39" s="80"/>
      <c r="AI39" s="112"/>
      <c r="AJ39" s="111"/>
      <c r="AK39" s="111"/>
      <c r="AL39" s="112"/>
      <c r="AM39" s="112"/>
      <c r="AN39" s="80"/>
      <c r="AO39" s="12"/>
      <c r="AP39" s="10"/>
      <c r="AQ39" s="10"/>
      <c r="AR39" s="12"/>
      <c r="AS39" s="12"/>
      <c r="AT39" s="13"/>
      <c r="AU39" s="12"/>
      <c r="AV39" s="10"/>
      <c r="AW39" s="10"/>
      <c r="AX39" s="12"/>
      <c r="AY39" s="12"/>
      <c r="AZ39" s="32"/>
      <c r="BA39" s="12"/>
      <c r="BB39" s="10"/>
      <c r="BC39" s="10"/>
      <c r="BD39" s="12"/>
      <c r="BE39" s="12"/>
      <c r="BF39" s="31"/>
      <c r="BG39" s="12"/>
      <c r="BH39" s="10"/>
      <c r="BI39" s="10"/>
      <c r="BJ39" s="12"/>
      <c r="BK39" s="12"/>
      <c r="BL39" s="31"/>
      <c r="BM39" s="12"/>
      <c r="BN39" s="10"/>
      <c r="BO39" s="10"/>
      <c r="BP39" s="12"/>
      <c r="BQ39" s="12"/>
      <c r="BR39" s="31"/>
      <c r="BS39" s="12"/>
      <c r="BT39" s="10"/>
      <c r="BU39" s="10"/>
      <c r="BV39" s="12"/>
      <c r="BW39" s="12"/>
      <c r="BX39" s="31"/>
      <c r="BY39" s="12"/>
      <c r="BZ39" s="10"/>
      <c r="CA39" s="10"/>
      <c r="CB39" s="12"/>
      <c r="CC39" s="12"/>
      <c r="CD39" s="31"/>
      <c r="CE39" s="12"/>
    </row>
    <row r="40" spans="1:84" ht="80.25" customHeight="1">
      <c r="A40" s="27">
        <v>257</v>
      </c>
      <c r="B40" s="18" t="s">
        <v>818</v>
      </c>
      <c r="C40" s="18" t="s">
        <v>819</v>
      </c>
      <c r="D40" s="35" t="s">
        <v>820</v>
      </c>
      <c r="H40" s="171" t="s">
        <v>74</v>
      </c>
      <c r="I40" s="11">
        <v>1</v>
      </c>
      <c r="J40" s="56"/>
      <c r="K40" s="12"/>
      <c r="L40" s="10"/>
      <c r="M40" s="10"/>
      <c r="N40" s="33"/>
      <c r="O40" s="33"/>
      <c r="P40" s="56"/>
      <c r="Q40" s="33"/>
      <c r="R40" s="56"/>
      <c r="S40" s="56"/>
      <c r="T40" s="33"/>
      <c r="U40" s="33"/>
      <c r="V40" s="56"/>
      <c r="W40" s="33"/>
      <c r="X40" s="56"/>
      <c r="Y40" s="56"/>
      <c r="Z40" s="33"/>
      <c r="AA40" s="33"/>
      <c r="AB40" s="80"/>
      <c r="AC40" s="117"/>
      <c r="AD40" s="10"/>
      <c r="AE40" s="10"/>
      <c r="AF40" s="117"/>
      <c r="AG40" s="118"/>
      <c r="AH40" s="80"/>
      <c r="AI40" s="112"/>
      <c r="AJ40" s="111"/>
      <c r="AK40" s="111"/>
      <c r="AL40" s="112"/>
      <c r="AM40" s="112"/>
      <c r="AN40" s="80"/>
      <c r="AO40" s="12"/>
      <c r="AP40" s="10"/>
      <c r="AQ40" s="10"/>
      <c r="AR40" s="12"/>
      <c r="AS40" s="12"/>
      <c r="AT40" s="13"/>
      <c r="AU40" s="12"/>
      <c r="AV40" s="10"/>
      <c r="AW40" s="10"/>
      <c r="AX40" s="12"/>
      <c r="AY40" s="12"/>
      <c r="AZ40" s="32"/>
      <c r="BA40" s="12"/>
      <c r="BB40" s="10"/>
      <c r="BC40" s="10"/>
      <c r="BD40" s="12"/>
      <c r="BE40" s="12"/>
      <c r="BF40" s="31"/>
      <c r="BG40" s="12"/>
      <c r="BH40" s="10"/>
      <c r="BI40" s="10"/>
      <c r="BJ40" s="12"/>
      <c r="BK40" s="12"/>
      <c r="BL40" s="31"/>
      <c r="BM40" s="12"/>
      <c r="BN40" s="10"/>
      <c r="BO40" s="10"/>
      <c r="BP40" s="12"/>
      <c r="BQ40" s="12"/>
      <c r="BR40" s="31"/>
      <c r="BS40" s="12"/>
      <c r="BT40" s="10"/>
      <c r="BU40" s="10"/>
      <c r="BV40" s="12"/>
      <c r="BW40" s="12"/>
      <c r="BX40" s="31"/>
      <c r="BY40" s="12"/>
      <c r="BZ40" s="10"/>
      <c r="CA40" s="10"/>
      <c r="CB40" s="12"/>
      <c r="CC40" s="12"/>
      <c r="CD40" s="18"/>
      <c r="CE40" s="12"/>
    </row>
    <row r="41" spans="1:84" ht="80.25" customHeight="1">
      <c r="A41" s="20" t="s">
        <v>825</v>
      </c>
      <c r="B41" s="18" t="s">
        <v>822</v>
      </c>
      <c r="C41" s="18" t="s">
        <v>823</v>
      </c>
      <c r="D41" s="35" t="s">
        <v>824</v>
      </c>
      <c r="H41" s="171" t="s">
        <v>33</v>
      </c>
      <c r="I41" s="11">
        <v>1</v>
      </c>
      <c r="J41" s="56"/>
      <c r="K41" s="12"/>
      <c r="L41" s="10"/>
      <c r="M41" s="10"/>
      <c r="N41" s="33"/>
      <c r="O41" s="33"/>
      <c r="P41" s="56"/>
      <c r="Q41" s="33"/>
      <c r="R41" s="56"/>
      <c r="S41" s="56"/>
      <c r="T41" s="33"/>
      <c r="U41" s="33"/>
      <c r="V41" s="56"/>
      <c r="W41" s="33"/>
      <c r="X41" s="56"/>
      <c r="Y41" s="56"/>
      <c r="Z41" s="33"/>
      <c r="AA41" s="33"/>
      <c r="AB41" s="80"/>
      <c r="AC41" s="117"/>
      <c r="AD41" s="10"/>
      <c r="AE41" s="10"/>
      <c r="AF41" s="117"/>
      <c r="AG41" s="118"/>
      <c r="AH41" s="80"/>
      <c r="AI41" s="112"/>
      <c r="AJ41" s="111"/>
      <c r="AK41" s="111"/>
      <c r="AL41" s="112"/>
      <c r="AM41" s="112"/>
      <c r="AN41" s="80"/>
      <c r="AO41" s="12"/>
      <c r="AP41" s="10"/>
      <c r="AQ41" s="10"/>
      <c r="AR41" s="12"/>
      <c r="AS41" s="12"/>
      <c r="AT41" s="13"/>
      <c r="AU41" s="12"/>
      <c r="AV41" s="10"/>
      <c r="AW41" s="10"/>
      <c r="AX41" s="12"/>
      <c r="AY41" s="12"/>
      <c r="AZ41" s="32"/>
      <c r="BA41" s="12"/>
      <c r="BB41" s="10"/>
      <c r="BC41" s="10"/>
      <c r="BD41" s="12"/>
      <c r="BE41" s="12"/>
      <c r="BF41" s="31"/>
      <c r="BG41" s="12"/>
      <c r="BH41" s="10"/>
      <c r="BI41" s="10"/>
      <c r="BJ41" s="12"/>
      <c r="BK41" s="12"/>
      <c r="BL41" s="31"/>
      <c r="BM41" s="12"/>
      <c r="BN41" s="10"/>
      <c r="BO41" s="10"/>
      <c r="BP41" s="12"/>
      <c r="BQ41" s="12"/>
      <c r="BR41" s="31"/>
      <c r="BS41" s="12"/>
      <c r="BT41" s="10"/>
      <c r="BU41" s="10"/>
      <c r="BV41" s="12"/>
      <c r="BW41" s="12"/>
      <c r="BX41" s="31"/>
      <c r="BY41" s="12"/>
      <c r="BZ41" s="10"/>
      <c r="CA41" s="10"/>
      <c r="CB41" s="12"/>
      <c r="CC41" s="12"/>
      <c r="CD41" s="31"/>
      <c r="CE41" s="12"/>
    </row>
    <row r="42" spans="1:84" ht="80.25" customHeight="1">
      <c r="A42" s="20"/>
      <c r="B42" s="18"/>
      <c r="C42" s="18"/>
      <c r="D42" s="35"/>
      <c r="H42" s="18"/>
      <c r="I42" s="11"/>
      <c r="J42" s="56"/>
      <c r="K42" s="12"/>
      <c r="L42" s="10"/>
      <c r="M42" s="10"/>
      <c r="N42" s="33"/>
      <c r="O42" s="33"/>
      <c r="P42" s="56"/>
      <c r="Q42" s="33"/>
      <c r="R42" s="56"/>
      <c r="S42" s="56"/>
      <c r="T42" s="33"/>
      <c r="U42" s="33"/>
      <c r="V42" s="56"/>
      <c r="W42" s="33"/>
      <c r="X42" s="56"/>
      <c r="Y42" s="56"/>
      <c r="Z42" s="33"/>
      <c r="AA42" s="33"/>
      <c r="AB42" s="80"/>
      <c r="AC42" s="117"/>
      <c r="AD42" s="10"/>
      <c r="AE42" s="10"/>
      <c r="AF42" s="117"/>
      <c r="AG42" s="118"/>
      <c r="AH42" s="80"/>
      <c r="AI42" s="112"/>
      <c r="AJ42" s="111"/>
      <c r="AK42" s="111"/>
      <c r="AL42" s="112"/>
      <c r="AM42" s="112"/>
      <c r="AN42" s="80"/>
      <c r="AO42" s="12"/>
      <c r="AP42" s="10"/>
      <c r="AQ42" s="10"/>
      <c r="AR42" s="12"/>
      <c r="AS42" s="12"/>
      <c r="AT42" s="13"/>
      <c r="AU42" s="12"/>
      <c r="AV42" s="10"/>
      <c r="AW42" s="10"/>
      <c r="AX42" s="12"/>
      <c r="AY42" s="12"/>
      <c r="AZ42" s="32"/>
      <c r="BA42" s="12"/>
      <c r="BB42" s="10"/>
      <c r="BC42" s="10"/>
      <c r="BD42" s="12"/>
      <c r="BE42" s="12"/>
      <c r="BF42" s="31"/>
      <c r="BG42" s="12"/>
      <c r="BH42" s="10"/>
      <c r="BI42" s="10"/>
      <c r="BJ42" s="12"/>
      <c r="BK42" s="12"/>
      <c r="BL42" s="31"/>
      <c r="BM42" s="12"/>
      <c r="BN42" s="10"/>
      <c r="BO42" s="10"/>
      <c r="BP42" s="12"/>
      <c r="BQ42" s="12"/>
      <c r="BR42" s="31"/>
      <c r="BS42" s="12"/>
      <c r="BT42" s="10"/>
      <c r="BU42" s="10"/>
      <c r="BV42" s="12"/>
      <c r="BW42" s="12"/>
      <c r="BX42" s="31"/>
      <c r="BY42" s="12"/>
      <c r="BZ42" s="10"/>
      <c r="CA42" s="10"/>
      <c r="CB42" s="12"/>
      <c r="CC42" s="12"/>
      <c r="CD42" s="31"/>
      <c r="CE42" s="12"/>
    </row>
    <row r="43" spans="1:84" ht="80.25" customHeight="1">
      <c r="A43" s="20"/>
      <c r="B43" s="18"/>
      <c r="C43" s="18"/>
      <c r="D43" s="35"/>
      <c r="H43" s="18"/>
      <c r="I43" s="11"/>
      <c r="J43" s="56"/>
      <c r="K43" s="12"/>
      <c r="L43" s="10"/>
      <c r="M43" s="10"/>
      <c r="N43" s="33"/>
      <c r="O43" s="33"/>
      <c r="P43" s="56"/>
      <c r="Q43" s="33"/>
      <c r="R43" s="56"/>
      <c r="S43" s="56"/>
      <c r="T43" s="33"/>
      <c r="U43" s="33"/>
      <c r="V43" s="56"/>
      <c r="W43" s="33"/>
      <c r="X43" s="56"/>
      <c r="Y43" s="56"/>
      <c r="Z43" s="33"/>
      <c r="AA43" s="33"/>
      <c r="AB43" s="80"/>
      <c r="AC43" s="117"/>
      <c r="AD43" s="10"/>
      <c r="AE43" s="10"/>
      <c r="AF43" s="117"/>
      <c r="AG43" s="118"/>
      <c r="AH43" s="80"/>
      <c r="AI43" s="112"/>
      <c r="AJ43" s="111"/>
      <c r="AK43" s="111"/>
      <c r="AL43" s="112"/>
      <c r="AM43" s="112"/>
      <c r="AN43" s="80"/>
      <c r="AO43" s="12"/>
      <c r="AP43" s="10"/>
      <c r="AQ43" s="10"/>
      <c r="AR43" s="12"/>
      <c r="AS43" s="12"/>
      <c r="AT43" s="13"/>
      <c r="AU43" s="12"/>
      <c r="AV43" s="10"/>
      <c r="AW43" s="10"/>
      <c r="AX43" s="12"/>
      <c r="AY43" s="12"/>
      <c r="AZ43" s="32"/>
      <c r="BA43" s="12"/>
      <c r="BB43" s="10"/>
      <c r="BC43" s="10"/>
      <c r="BD43" s="12"/>
      <c r="BE43" s="12"/>
      <c r="BF43" s="31"/>
      <c r="BG43" s="12"/>
      <c r="BH43" s="10"/>
      <c r="BI43" s="10"/>
      <c r="BJ43" s="12"/>
      <c r="BK43" s="12"/>
      <c r="BL43" s="31"/>
      <c r="BM43" s="12"/>
      <c r="BN43" s="10"/>
      <c r="BO43" s="10"/>
      <c r="BP43" s="12"/>
      <c r="BQ43" s="12"/>
      <c r="BR43" s="31"/>
      <c r="BS43" s="12"/>
      <c r="BT43" s="10"/>
      <c r="BU43" s="10"/>
      <c r="BV43" s="12"/>
      <c r="BW43" s="12"/>
      <c r="BX43" s="31"/>
      <c r="BY43" s="12"/>
      <c r="BZ43" s="10"/>
      <c r="CA43" s="10"/>
      <c r="CB43" s="12"/>
      <c r="CC43" s="12"/>
      <c r="CD43" s="31"/>
      <c r="CE43" s="12"/>
    </row>
    <row r="44" spans="1:84" ht="80.25" customHeight="1">
      <c r="A44" s="20"/>
      <c r="B44" s="18"/>
      <c r="C44" s="18"/>
      <c r="D44" s="35"/>
      <c r="H44" s="18"/>
      <c r="I44" s="11"/>
      <c r="J44" s="56"/>
      <c r="K44" s="12"/>
      <c r="L44" s="10"/>
      <c r="M44" s="10"/>
      <c r="N44" s="33"/>
      <c r="O44" s="33"/>
      <c r="P44" s="56"/>
      <c r="Q44" s="33"/>
      <c r="R44" s="56"/>
      <c r="S44" s="56"/>
      <c r="T44" s="33"/>
      <c r="U44" s="33"/>
      <c r="V44" s="56"/>
      <c r="W44" s="33"/>
      <c r="X44" s="56"/>
      <c r="Y44" s="56"/>
      <c r="Z44" s="33"/>
      <c r="AA44" s="33"/>
      <c r="AB44" s="80"/>
      <c r="AC44" s="117"/>
      <c r="AD44" s="10"/>
      <c r="AE44" s="10"/>
      <c r="AF44" s="117"/>
      <c r="AG44" s="118"/>
      <c r="AH44" s="80"/>
      <c r="AI44" s="112"/>
      <c r="AJ44" s="111"/>
      <c r="AK44" s="111"/>
      <c r="AL44" s="112"/>
      <c r="AM44" s="112"/>
      <c r="AN44" s="80"/>
      <c r="AO44" s="12"/>
      <c r="AP44" s="10"/>
      <c r="AQ44" s="10"/>
      <c r="AR44" s="12"/>
      <c r="AS44" s="12"/>
      <c r="AT44" s="13"/>
      <c r="AU44" s="12"/>
      <c r="AV44" s="10"/>
      <c r="AW44" s="10"/>
      <c r="AX44" s="12"/>
      <c r="AY44" s="12"/>
      <c r="AZ44" s="32"/>
      <c r="BA44" s="12"/>
      <c r="BB44" s="10"/>
      <c r="BC44" s="10"/>
      <c r="BD44" s="12"/>
      <c r="BE44" s="12"/>
      <c r="BF44" s="31"/>
      <c r="BG44" s="12"/>
      <c r="BH44" s="10"/>
      <c r="BI44" s="10"/>
      <c r="BJ44" s="12"/>
      <c r="BK44" s="12"/>
      <c r="BL44" s="31"/>
      <c r="BM44" s="12"/>
      <c r="BN44" s="10"/>
      <c r="BO44" s="10"/>
      <c r="BP44" s="12"/>
      <c r="BQ44" s="12"/>
      <c r="BR44" s="31"/>
      <c r="BS44" s="12"/>
      <c r="BT44" s="10"/>
      <c r="BU44" s="10"/>
      <c r="BV44" s="12"/>
      <c r="BW44" s="12"/>
      <c r="BX44" s="31"/>
      <c r="BY44" s="12"/>
      <c r="BZ44" s="10"/>
      <c r="CA44" s="10"/>
      <c r="CB44" s="12"/>
      <c r="CC44" s="12"/>
      <c r="CD44" s="31"/>
      <c r="CE44" s="12"/>
    </row>
    <row r="45" spans="1:84" ht="80.25" customHeight="1">
      <c r="A45" s="20"/>
      <c r="B45" s="18"/>
      <c r="C45" s="18"/>
      <c r="D45" s="35"/>
      <c r="H45" s="18"/>
      <c r="I45" s="11"/>
      <c r="J45" s="56"/>
      <c r="K45" s="12"/>
      <c r="L45" s="10"/>
      <c r="M45" s="10"/>
      <c r="N45" s="33"/>
      <c r="O45" s="33"/>
      <c r="P45" s="56"/>
      <c r="Q45" s="33"/>
      <c r="R45" s="56"/>
      <c r="S45" s="56"/>
      <c r="T45" s="33"/>
      <c r="U45" s="33"/>
      <c r="V45" s="56"/>
      <c r="W45" s="33"/>
      <c r="X45" s="56"/>
      <c r="Y45" s="56"/>
      <c r="Z45" s="33"/>
      <c r="AA45" s="33"/>
      <c r="AB45" s="80"/>
      <c r="AC45" s="117"/>
      <c r="AD45" s="10"/>
      <c r="AE45" s="10"/>
      <c r="AF45" s="117"/>
      <c r="AG45" s="118"/>
      <c r="AH45" s="80"/>
      <c r="AI45" s="112"/>
      <c r="AJ45" s="111"/>
      <c r="AK45" s="111"/>
      <c r="AL45" s="112"/>
      <c r="AM45" s="112"/>
      <c r="AN45" s="80"/>
      <c r="AO45" s="12"/>
      <c r="AP45" s="10"/>
      <c r="AQ45" s="10"/>
      <c r="AR45" s="12"/>
      <c r="AS45" s="12"/>
      <c r="AT45" s="13"/>
      <c r="AU45" s="12"/>
      <c r="AV45" s="10"/>
      <c r="AW45" s="10"/>
      <c r="AX45" s="12"/>
      <c r="AY45" s="12"/>
      <c r="AZ45" s="32"/>
      <c r="BA45" s="12"/>
      <c r="BB45" s="10"/>
      <c r="BC45" s="10"/>
      <c r="BD45" s="12"/>
      <c r="BE45" s="12"/>
      <c r="BF45" s="31"/>
      <c r="BG45" s="12"/>
      <c r="BH45" s="10"/>
      <c r="BI45" s="10"/>
      <c r="BJ45" s="12"/>
      <c r="BK45" s="12"/>
      <c r="BL45" s="31"/>
      <c r="BM45" s="12"/>
      <c r="BN45" s="10"/>
      <c r="BO45" s="10"/>
      <c r="BP45" s="12"/>
      <c r="BQ45" s="12"/>
      <c r="BR45" s="31"/>
      <c r="BS45" s="12"/>
      <c r="BT45" s="10"/>
      <c r="BU45" s="10"/>
      <c r="BV45" s="12"/>
      <c r="BW45" s="12"/>
      <c r="BX45" s="31"/>
      <c r="BY45" s="12"/>
      <c r="BZ45" s="10"/>
      <c r="CA45" s="10"/>
      <c r="CB45" s="12"/>
      <c r="CC45" s="12"/>
      <c r="CD45" s="31"/>
      <c r="CE45" s="12"/>
    </row>
    <row r="46" spans="1:84" ht="80.25" customHeight="1">
      <c r="A46" s="20"/>
      <c r="B46" s="18"/>
      <c r="C46" s="18"/>
      <c r="D46" s="35"/>
      <c r="H46" s="18"/>
      <c r="I46" s="11"/>
      <c r="J46" s="56"/>
      <c r="K46" s="12"/>
      <c r="L46" s="10"/>
      <c r="M46" s="10"/>
      <c r="N46" s="33"/>
      <c r="O46" s="33"/>
      <c r="P46" s="56"/>
      <c r="Q46" s="33"/>
      <c r="R46" s="56"/>
      <c r="S46" s="56"/>
      <c r="T46" s="33"/>
      <c r="U46" s="33"/>
      <c r="V46" s="56"/>
      <c r="W46" s="33"/>
      <c r="X46" s="56"/>
      <c r="Y46" s="56"/>
      <c r="Z46" s="33"/>
      <c r="AA46" s="33"/>
      <c r="AB46" s="80"/>
      <c r="AC46" s="117"/>
      <c r="AD46" s="10"/>
      <c r="AE46" s="10"/>
      <c r="AF46" s="117"/>
      <c r="AG46" s="118"/>
      <c r="AH46" s="80"/>
      <c r="AI46" s="112"/>
      <c r="AJ46" s="111"/>
      <c r="AK46" s="111"/>
      <c r="AL46" s="112"/>
      <c r="AM46" s="112"/>
      <c r="AN46" s="80"/>
      <c r="AO46" s="12"/>
      <c r="AP46" s="10"/>
      <c r="AQ46" s="10"/>
      <c r="AR46" s="12"/>
      <c r="AS46" s="12"/>
      <c r="AT46" s="13"/>
      <c r="AU46" s="12"/>
      <c r="AV46" s="10"/>
      <c r="AW46" s="10"/>
      <c r="AX46" s="12"/>
      <c r="AY46" s="12"/>
      <c r="AZ46" s="32"/>
      <c r="BA46" s="12"/>
      <c r="BB46" s="10"/>
      <c r="BC46" s="10"/>
      <c r="BD46" s="12"/>
      <c r="BE46" s="12"/>
      <c r="BF46" s="31"/>
      <c r="BG46" s="12"/>
      <c r="BH46" s="10"/>
      <c r="BI46" s="10"/>
      <c r="BJ46" s="12"/>
      <c r="BK46" s="12"/>
      <c r="BL46" s="31"/>
      <c r="BM46" s="12"/>
      <c r="BN46" s="10"/>
      <c r="BO46" s="10"/>
      <c r="BP46" s="12"/>
      <c r="BQ46" s="12"/>
      <c r="BR46" s="31"/>
      <c r="BS46" s="12"/>
      <c r="BT46" s="10"/>
      <c r="BU46" s="10"/>
      <c r="BV46" s="12"/>
      <c r="BW46" s="12"/>
      <c r="BX46" s="31"/>
      <c r="BY46" s="12"/>
      <c r="BZ46" s="10"/>
      <c r="CA46" s="10"/>
      <c r="CB46" s="12"/>
      <c r="CC46" s="12"/>
      <c r="CD46" s="31"/>
      <c r="CE46" s="12"/>
    </row>
    <row r="47" spans="1:84" ht="80.25" customHeight="1">
      <c r="A47" s="20"/>
      <c r="B47" s="18"/>
      <c r="C47" s="18"/>
      <c r="D47" s="35"/>
      <c r="H47" s="18"/>
      <c r="I47" s="11"/>
      <c r="J47" s="56"/>
      <c r="K47" s="12"/>
      <c r="L47" s="10"/>
      <c r="M47" s="10"/>
      <c r="N47" s="33"/>
      <c r="O47" s="33"/>
      <c r="P47" s="56"/>
      <c r="Q47" s="33"/>
      <c r="R47" s="56"/>
      <c r="S47" s="56"/>
      <c r="T47" s="33"/>
      <c r="U47" s="33"/>
      <c r="V47" s="56"/>
      <c r="W47" s="33"/>
      <c r="X47" s="56"/>
      <c r="Y47" s="56"/>
      <c r="Z47" s="33"/>
      <c r="AA47" s="33"/>
      <c r="AB47" s="80"/>
      <c r="AC47" s="117"/>
      <c r="AD47" s="10"/>
      <c r="AE47" s="10"/>
      <c r="AF47" s="117"/>
      <c r="AG47" s="118"/>
      <c r="AH47" s="80"/>
      <c r="AI47" s="112"/>
      <c r="AJ47" s="111"/>
      <c r="AK47" s="111"/>
      <c r="AL47" s="112"/>
      <c r="AM47" s="112"/>
      <c r="AN47" s="80"/>
      <c r="AO47" s="12"/>
      <c r="AP47" s="10"/>
      <c r="AQ47" s="10"/>
      <c r="AR47" s="12"/>
      <c r="AS47" s="12"/>
      <c r="AT47" s="13"/>
      <c r="AU47" s="12"/>
      <c r="AV47" s="10"/>
      <c r="AW47" s="10"/>
      <c r="AX47" s="12"/>
      <c r="AY47" s="12"/>
      <c r="AZ47" s="32"/>
      <c r="BA47" s="12"/>
      <c r="BB47" s="10"/>
      <c r="BC47" s="10"/>
      <c r="BD47" s="12"/>
      <c r="BE47" s="12"/>
      <c r="BF47" s="31"/>
      <c r="BG47" s="12"/>
      <c r="BH47" s="10"/>
      <c r="BI47" s="10"/>
      <c r="BJ47" s="12"/>
      <c r="BK47" s="12"/>
      <c r="BL47" s="31"/>
      <c r="BM47" s="12"/>
      <c r="BN47" s="10"/>
      <c r="BO47" s="10"/>
      <c r="BP47" s="12"/>
      <c r="BQ47" s="12"/>
      <c r="BR47" s="31"/>
      <c r="BS47" s="12"/>
      <c r="BT47" s="10"/>
      <c r="BU47" s="10"/>
      <c r="BV47" s="12"/>
      <c r="BW47" s="12"/>
      <c r="BX47" s="31"/>
      <c r="BY47" s="12"/>
      <c r="BZ47" s="10"/>
      <c r="CA47" s="10"/>
      <c r="CB47" s="12"/>
      <c r="CC47" s="12"/>
      <c r="CD47" s="31"/>
      <c r="CE47" s="12"/>
    </row>
    <row r="48" spans="1:84" ht="80.25" customHeight="1">
      <c r="A48" s="20"/>
      <c r="B48" s="18"/>
      <c r="C48" s="18"/>
      <c r="D48" s="35"/>
      <c r="H48" s="18"/>
      <c r="I48" s="11"/>
      <c r="J48" s="56"/>
      <c r="K48" s="12"/>
      <c r="L48" s="10"/>
      <c r="M48" s="10"/>
      <c r="N48" s="33"/>
      <c r="O48" s="33"/>
      <c r="P48" s="56"/>
      <c r="Q48" s="33"/>
      <c r="R48" s="56"/>
      <c r="S48" s="56"/>
      <c r="T48" s="33"/>
      <c r="U48" s="33"/>
      <c r="V48" s="56"/>
      <c r="W48" s="33"/>
      <c r="X48" s="56"/>
      <c r="Y48" s="56"/>
      <c r="Z48" s="33"/>
      <c r="AA48" s="33"/>
      <c r="AB48" s="80"/>
      <c r="AC48" s="117"/>
      <c r="AD48" s="10"/>
      <c r="AE48" s="10"/>
      <c r="AF48" s="117"/>
      <c r="AG48" s="118"/>
      <c r="AH48" s="80"/>
      <c r="AI48" s="112"/>
      <c r="AJ48" s="111"/>
      <c r="AK48" s="111"/>
      <c r="AL48" s="112"/>
      <c r="AM48" s="112"/>
      <c r="AN48" s="80"/>
      <c r="AO48" s="12"/>
      <c r="AP48" s="10"/>
      <c r="AQ48" s="10"/>
      <c r="AR48" s="12"/>
      <c r="AS48" s="12"/>
      <c r="AT48" s="13"/>
      <c r="AU48" s="12"/>
      <c r="AV48" s="10"/>
      <c r="AW48" s="10"/>
      <c r="AX48" s="12"/>
      <c r="AY48" s="12"/>
      <c r="AZ48" s="32"/>
      <c r="BA48" s="12"/>
      <c r="BB48" s="10"/>
      <c r="BC48" s="10"/>
      <c r="BD48" s="12"/>
      <c r="BE48" s="12"/>
      <c r="BF48" s="18"/>
      <c r="BG48" s="12"/>
      <c r="BH48" s="10"/>
      <c r="BI48" s="10"/>
      <c r="BJ48" s="12"/>
      <c r="BK48" s="12"/>
      <c r="BL48" s="18"/>
      <c r="BM48" s="12"/>
      <c r="BN48" s="10"/>
      <c r="BO48" s="10"/>
      <c r="BP48" s="12"/>
      <c r="BQ48" s="12"/>
      <c r="BR48" s="18"/>
      <c r="BS48" s="12"/>
      <c r="BT48" s="10"/>
      <c r="BU48" s="10"/>
      <c r="BV48" s="12"/>
      <c r="BW48" s="12"/>
      <c r="BX48" s="18"/>
      <c r="BY48" s="12"/>
      <c r="BZ48" s="10"/>
      <c r="CA48" s="10"/>
      <c r="CB48" s="12"/>
      <c r="CC48" s="12"/>
      <c r="CD48" s="18"/>
      <c r="CE48" s="12"/>
    </row>
    <row r="49" spans="1:83" ht="80.25" customHeight="1">
      <c r="A49" s="20"/>
      <c r="B49" s="18"/>
      <c r="C49" s="18"/>
      <c r="D49" s="35"/>
      <c r="H49" s="18"/>
      <c r="I49" s="11"/>
      <c r="J49" s="56"/>
      <c r="K49" s="12"/>
      <c r="L49" s="10"/>
      <c r="M49" s="10"/>
      <c r="N49" s="33"/>
      <c r="O49" s="33"/>
      <c r="P49" s="56"/>
      <c r="Q49" s="33"/>
      <c r="R49" s="56"/>
      <c r="S49" s="56"/>
      <c r="T49" s="33"/>
      <c r="U49" s="33"/>
      <c r="V49" s="56"/>
      <c r="W49" s="33"/>
      <c r="X49" s="56"/>
      <c r="Y49" s="56"/>
      <c r="Z49" s="33"/>
      <c r="AA49" s="33"/>
      <c r="AB49" s="80"/>
      <c r="AC49" s="117"/>
      <c r="AD49" s="10"/>
      <c r="AE49" s="10"/>
      <c r="AF49" s="117"/>
      <c r="AG49" s="118"/>
      <c r="AH49" s="80"/>
      <c r="AI49" s="112"/>
      <c r="AJ49" s="111"/>
      <c r="AK49" s="111"/>
      <c r="AL49" s="112"/>
      <c r="AM49" s="112"/>
      <c r="AN49" s="80"/>
      <c r="AO49" s="12"/>
      <c r="AP49" s="10"/>
      <c r="AQ49" s="10"/>
      <c r="AR49" s="12"/>
      <c r="AS49" s="12"/>
      <c r="AT49" s="13"/>
      <c r="AU49" s="12"/>
      <c r="AV49" s="10"/>
      <c r="AW49" s="10"/>
      <c r="AX49" s="12"/>
      <c r="AY49" s="12"/>
      <c r="AZ49" s="32"/>
      <c r="BA49" s="12"/>
      <c r="BB49" s="10"/>
      <c r="BC49" s="10"/>
      <c r="BD49" s="12"/>
      <c r="BE49" s="12"/>
      <c r="BF49" s="31"/>
      <c r="BG49" s="12"/>
      <c r="BH49" s="10"/>
      <c r="BI49" s="10"/>
      <c r="BJ49" s="12"/>
      <c r="BK49" s="12"/>
      <c r="BL49" s="31"/>
      <c r="BM49" s="12"/>
      <c r="BN49" s="10"/>
      <c r="BO49" s="10"/>
      <c r="BP49" s="12"/>
      <c r="BQ49" s="12"/>
      <c r="BR49" s="31"/>
      <c r="BS49" s="12"/>
      <c r="BT49" s="10"/>
      <c r="BU49" s="10"/>
      <c r="BV49" s="12"/>
      <c r="BW49" s="12"/>
      <c r="BX49" s="31"/>
      <c r="BY49" s="12"/>
      <c r="BZ49" s="10"/>
      <c r="CA49" s="10"/>
      <c r="CB49" s="12"/>
      <c r="CC49" s="12"/>
      <c r="CD49" s="31"/>
      <c r="CE49" s="12"/>
    </row>
    <row r="50" spans="1:83" ht="80.25" customHeight="1">
      <c r="A50" s="20"/>
      <c r="B50" s="18"/>
      <c r="C50" s="18"/>
      <c r="D50" s="35"/>
      <c r="H50" s="18"/>
      <c r="I50" s="11"/>
      <c r="J50" s="56"/>
      <c r="K50" s="12"/>
      <c r="L50" s="10"/>
      <c r="M50" s="10"/>
      <c r="N50" s="33"/>
      <c r="O50" s="33"/>
      <c r="P50" s="56"/>
      <c r="Q50" s="33"/>
      <c r="R50" s="56"/>
      <c r="S50" s="56"/>
      <c r="T50" s="33"/>
      <c r="U50" s="33"/>
      <c r="V50" s="56"/>
      <c r="W50" s="33"/>
      <c r="X50" s="56"/>
      <c r="Y50" s="56"/>
      <c r="Z50" s="33"/>
      <c r="AA50" s="33"/>
      <c r="AB50" s="80"/>
      <c r="AC50" s="117"/>
      <c r="AD50" s="10"/>
      <c r="AE50" s="10"/>
      <c r="AF50" s="117"/>
      <c r="AG50" s="118"/>
      <c r="AH50" s="80"/>
      <c r="AI50" s="112"/>
      <c r="AJ50" s="111"/>
      <c r="AK50" s="111"/>
      <c r="AL50" s="112"/>
      <c r="AM50" s="112"/>
      <c r="AN50" s="80"/>
      <c r="AO50" s="12"/>
      <c r="AP50" s="10"/>
      <c r="AQ50" s="10"/>
      <c r="AR50" s="12"/>
      <c r="AS50" s="12"/>
      <c r="AT50" s="13"/>
      <c r="AU50" s="12"/>
      <c r="AV50" s="10"/>
      <c r="AW50" s="10"/>
      <c r="AX50" s="12"/>
      <c r="AY50" s="12"/>
      <c r="AZ50" s="32"/>
      <c r="BA50" s="12"/>
      <c r="BB50" s="10"/>
      <c r="BC50" s="10"/>
      <c r="BD50" s="12"/>
      <c r="BE50" s="12"/>
      <c r="BF50" s="31"/>
      <c r="BG50" s="12"/>
      <c r="BH50" s="10"/>
      <c r="BI50" s="10"/>
      <c r="BJ50" s="12"/>
      <c r="BK50" s="12"/>
      <c r="BL50" s="31"/>
      <c r="BM50" s="12"/>
      <c r="BN50" s="10"/>
      <c r="BO50" s="10"/>
      <c r="BP50" s="12"/>
      <c r="BQ50" s="12"/>
      <c r="BR50" s="31"/>
      <c r="BS50" s="12"/>
      <c r="BT50" s="10"/>
      <c r="BU50" s="10"/>
      <c r="BV50" s="12"/>
      <c r="BW50" s="12"/>
      <c r="BX50" s="31"/>
      <c r="BY50" s="12"/>
      <c r="BZ50" s="10"/>
      <c r="CA50" s="10"/>
      <c r="CB50" s="12"/>
      <c r="CC50" s="12"/>
      <c r="CD50" s="31"/>
      <c r="CE50" s="12"/>
    </row>
    <row r="51" spans="1:83" ht="80.25" customHeight="1">
      <c r="A51" s="20"/>
      <c r="B51" s="18"/>
      <c r="C51" s="18"/>
      <c r="D51" s="35"/>
      <c r="H51" s="18"/>
      <c r="I51" s="11"/>
      <c r="J51" s="56"/>
      <c r="K51" s="12"/>
      <c r="L51" s="10"/>
      <c r="M51" s="10"/>
      <c r="N51" s="33"/>
      <c r="O51" s="33"/>
      <c r="P51" s="56"/>
      <c r="Q51" s="33"/>
      <c r="R51" s="56"/>
      <c r="S51" s="56"/>
      <c r="T51" s="33"/>
      <c r="U51" s="33"/>
      <c r="V51" s="56"/>
      <c r="W51" s="33"/>
      <c r="X51" s="56"/>
      <c r="Y51" s="56"/>
      <c r="Z51" s="33"/>
      <c r="AA51" s="33"/>
      <c r="AB51" s="80"/>
      <c r="AC51" s="117"/>
      <c r="AD51" s="10"/>
      <c r="AE51" s="10"/>
      <c r="AF51" s="117"/>
      <c r="AG51" s="118"/>
      <c r="AH51" s="80"/>
      <c r="AI51" s="112"/>
      <c r="AJ51" s="111"/>
      <c r="AK51" s="111"/>
      <c r="AL51" s="112"/>
      <c r="AM51" s="112"/>
      <c r="AN51" s="80"/>
      <c r="AO51" s="12"/>
      <c r="AP51" s="10"/>
      <c r="AQ51" s="10"/>
      <c r="AR51" s="12"/>
      <c r="AS51" s="12"/>
      <c r="AT51" s="13"/>
      <c r="AU51" s="12"/>
      <c r="AV51" s="10"/>
      <c r="AW51" s="10"/>
      <c r="AX51" s="12"/>
      <c r="AY51" s="12"/>
      <c r="AZ51" s="32"/>
      <c r="BA51" s="12"/>
      <c r="BB51" s="10"/>
      <c r="BC51" s="10"/>
      <c r="BD51" s="12"/>
      <c r="BE51" s="12"/>
      <c r="BF51" s="31"/>
      <c r="BG51" s="12"/>
      <c r="BH51" s="10"/>
      <c r="BI51" s="10"/>
      <c r="BJ51" s="12"/>
      <c r="BK51" s="12"/>
      <c r="BL51" s="31"/>
      <c r="BM51" s="12"/>
      <c r="BN51" s="10"/>
      <c r="BO51" s="10"/>
      <c r="BP51" s="12"/>
      <c r="BQ51" s="12"/>
      <c r="BR51" s="31"/>
      <c r="BS51" s="12"/>
      <c r="BT51" s="10"/>
      <c r="BU51" s="10"/>
      <c r="BV51" s="12"/>
      <c r="BW51" s="12"/>
      <c r="BX51" s="31"/>
      <c r="BY51" s="12"/>
      <c r="BZ51" s="10"/>
      <c r="CA51" s="10"/>
      <c r="CB51" s="12"/>
      <c r="CC51" s="12"/>
      <c r="CD51" s="31"/>
      <c r="CE51" s="12"/>
    </row>
    <row r="52" spans="1:83" ht="80.25" customHeight="1">
      <c r="A52" s="20"/>
      <c r="B52" s="18"/>
      <c r="C52" s="18"/>
      <c r="D52" s="35"/>
      <c r="H52" s="18"/>
      <c r="I52" s="11"/>
      <c r="J52" s="56"/>
      <c r="K52" s="12"/>
      <c r="L52" s="10"/>
      <c r="M52" s="10"/>
      <c r="N52" s="33"/>
      <c r="O52" s="33"/>
      <c r="P52" s="56"/>
      <c r="Q52" s="33"/>
      <c r="R52" s="56"/>
      <c r="S52" s="56"/>
      <c r="T52" s="33"/>
      <c r="U52" s="33"/>
      <c r="V52" s="56"/>
      <c r="W52" s="33"/>
      <c r="X52" s="56"/>
      <c r="Y52" s="56"/>
      <c r="Z52" s="33"/>
      <c r="AA52" s="33"/>
      <c r="AB52" s="80"/>
      <c r="AC52" s="117"/>
      <c r="AD52" s="10"/>
      <c r="AE52" s="10"/>
      <c r="AF52" s="117"/>
      <c r="AG52" s="118"/>
      <c r="AH52" s="80"/>
      <c r="AI52" s="112"/>
      <c r="AJ52" s="111"/>
      <c r="AK52" s="111"/>
      <c r="AL52" s="112"/>
      <c r="AM52" s="112"/>
      <c r="AN52" s="80"/>
      <c r="AO52" s="12"/>
      <c r="AP52" s="10"/>
      <c r="AQ52" s="10"/>
      <c r="AR52" s="12"/>
      <c r="AS52" s="12"/>
      <c r="AT52" s="13"/>
      <c r="AU52" s="12"/>
      <c r="AV52" s="10"/>
      <c r="AW52" s="10"/>
      <c r="AX52" s="12"/>
      <c r="AY52" s="12"/>
      <c r="AZ52" s="32"/>
      <c r="BA52" s="12"/>
      <c r="BB52" s="10"/>
      <c r="BC52" s="10"/>
      <c r="BD52" s="12"/>
      <c r="BE52" s="12"/>
      <c r="BF52" s="31"/>
      <c r="BG52" s="12"/>
      <c r="BH52" s="10"/>
      <c r="BI52" s="10"/>
      <c r="BJ52" s="12"/>
      <c r="BK52" s="12"/>
      <c r="BL52" s="31"/>
      <c r="BM52" s="12"/>
      <c r="BN52" s="10"/>
      <c r="BO52" s="10"/>
      <c r="BP52" s="12"/>
      <c r="BQ52" s="12"/>
      <c r="BR52" s="31"/>
      <c r="BS52" s="12"/>
      <c r="BT52" s="10"/>
      <c r="BU52" s="10"/>
      <c r="BV52" s="12"/>
      <c r="BW52" s="12"/>
      <c r="BX52" s="31"/>
      <c r="BY52" s="12"/>
      <c r="BZ52" s="10"/>
      <c r="CA52" s="10"/>
      <c r="CB52" s="12"/>
      <c r="CC52" s="12"/>
      <c r="CD52" s="31"/>
      <c r="CE52" s="12"/>
    </row>
    <row r="53" spans="1:83" ht="80.25" customHeight="1">
      <c r="A53" s="20"/>
      <c r="B53" s="18"/>
      <c r="C53" s="18"/>
      <c r="D53" s="35"/>
      <c r="H53" s="18"/>
      <c r="I53" s="11"/>
      <c r="J53" s="56"/>
      <c r="K53" s="12"/>
      <c r="L53" s="10"/>
      <c r="M53" s="10"/>
      <c r="N53" s="33"/>
      <c r="O53" s="33"/>
      <c r="P53" s="56"/>
      <c r="Q53" s="33"/>
      <c r="R53" s="56"/>
      <c r="S53" s="56"/>
      <c r="T53" s="33"/>
      <c r="U53" s="33"/>
      <c r="V53" s="56"/>
      <c r="W53" s="33"/>
      <c r="X53" s="56"/>
      <c r="Y53" s="56"/>
      <c r="Z53" s="33"/>
      <c r="AA53" s="33"/>
      <c r="AB53" s="80"/>
      <c r="AC53" s="117"/>
      <c r="AD53" s="10"/>
      <c r="AE53" s="10"/>
      <c r="AF53" s="117"/>
      <c r="AG53" s="118"/>
      <c r="AH53" s="80"/>
      <c r="AI53" s="112"/>
      <c r="AJ53" s="111"/>
      <c r="AK53" s="111"/>
      <c r="AL53" s="112"/>
      <c r="AM53" s="112"/>
      <c r="AN53" s="80"/>
      <c r="AO53" s="12"/>
      <c r="AP53" s="10"/>
      <c r="AQ53" s="10"/>
      <c r="AR53" s="12"/>
      <c r="AS53" s="12"/>
      <c r="AT53" s="13"/>
      <c r="AU53" s="12"/>
      <c r="AV53" s="10"/>
      <c r="AW53" s="10"/>
      <c r="AX53" s="12"/>
      <c r="AY53" s="12"/>
      <c r="AZ53" s="32"/>
      <c r="BA53" s="12"/>
      <c r="BB53" s="10"/>
      <c r="BC53" s="10"/>
      <c r="BD53" s="12"/>
      <c r="BE53" s="12"/>
      <c r="BF53" s="31"/>
      <c r="BG53" s="12"/>
      <c r="BH53" s="10"/>
      <c r="BI53" s="10"/>
      <c r="BJ53" s="12"/>
      <c r="BK53" s="12"/>
      <c r="BL53" s="31"/>
      <c r="BM53" s="12"/>
      <c r="BN53" s="10"/>
      <c r="BO53" s="10"/>
      <c r="BP53" s="12"/>
      <c r="BQ53" s="12"/>
      <c r="BR53" s="31"/>
      <c r="BS53" s="12"/>
      <c r="BT53" s="10"/>
      <c r="BU53" s="10"/>
      <c r="BV53" s="12"/>
      <c r="BW53" s="12"/>
      <c r="BX53" s="31"/>
      <c r="BY53" s="12"/>
      <c r="BZ53" s="10"/>
      <c r="CA53" s="10"/>
      <c r="CB53" s="12"/>
      <c r="CC53" s="12"/>
      <c r="CD53" s="31"/>
      <c r="CE53" s="12"/>
    </row>
    <row r="54" spans="1:83" ht="80.25" customHeight="1">
      <c r="A54" s="20"/>
      <c r="B54" s="18"/>
      <c r="C54" s="18"/>
      <c r="D54" s="35"/>
      <c r="H54" s="18"/>
      <c r="I54" s="11"/>
      <c r="J54" s="56"/>
      <c r="K54" s="12"/>
      <c r="L54" s="10"/>
      <c r="M54" s="10"/>
      <c r="N54" s="33"/>
      <c r="O54" s="33"/>
      <c r="P54" s="56"/>
      <c r="Q54" s="33"/>
      <c r="R54" s="56"/>
      <c r="S54" s="56"/>
      <c r="T54" s="33"/>
      <c r="U54" s="33"/>
      <c r="V54" s="56"/>
      <c r="W54" s="33"/>
      <c r="X54" s="56"/>
      <c r="Y54" s="56"/>
      <c r="Z54" s="33"/>
      <c r="AA54" s="33"/>
      <c r="AB54" s="80"/>
      <c r="AC54" s="117"/>
      <c r="AD54" s="10"/>
      <c r="AE54" s="10"/>
      <c r="AF54" s="117"/>
      <c r="AG54" s="118"/>
      <c r="AH54" s="80"/>
      <c r="AI54" s="112"/>
      <c r="AJ54" s="111"/>
      <c r="AK54" s="111"/>
      <c r="AL54" s="112"/>
      <c r="AM54" s="112"/>
      <c r="AN54" s="80"/>
      <c r="AO54" s="12"/>
      <c r="AP54" s="10"/>
      <c r="AQ54" s="10"/>
      <c r="AR54" s="12"/>
      <c r="AS54" s="12"/>
      <c r="AT54" s="13"/>
      <c r="AU54" s="12"/>
      <c r="AV54" s="10"/>
      <c r="AW54" s="10"/>
      <c r="AX54" s="12"/>
      <c r="AY54" s="12"/>
      <c r="AZ54" s="32"/>
      <c r="BA54" s="12"/>
      <c r="BB54" s="10"/>
      <c r="BC54" s="10"/>
      <c r="BD54" s="12"/>
      <c r="BE54" s="12"/>
      <c r="BF54" s="31"/>
      <c r="BG54" s="12"/>
      <c r="BH54" s="10"/>
      <c r="BI54" s="10"/>
      <c r="BJ54" s="12"/>
      <c r="BK54" s="12"/>
      <c r="BL54" s="31"/>
      <c r="BM54" s="12"/>
      <c r="BN54" s="10"/>
      <c r="BO54" s="10"/>
      <c r="BP54" s="12"/>
      <c r="BQ54" s="12"/>
      <c r="BR54" s="31"/>
      <c r="BS54" s="12"/>
      <c r="BT54" s="10"/>
      <c r="BU54" s="10"/>
      <c r="BV54" s="12"/>
      <c r="BW54" s="12"/>
      <c r="BX54" s="31"/>
      <c r="BY54" s="12"/>
      <c r="BZ54" s="10"/>
      <c r="CA54" s="10"/>
      <c r="CB54" s="12"/>
      <c r="CC54" s="12"/>
      <c r="CD54" s="31"/>
      <c r="CE54" s="12"/>
    </row>
    <row r="55" spans="1:83" ht="80.25" customHeight="1">
      <c r="A55" s="20"/>
      <c r="B55" s="18"/>
      <c r="C55" s="18"/>
      <c r="D55" s="35"/>
      <c r="H55" s="18"/>
      <c r="I55" s="11"/>
      <c r="J55" s="56"/>
      <c r="K55" s="12"/>
      <c r="L55" s="10"/>
      <c r="M55" s="10"/>
      <c r="N55" s="33"/>
      <c r="O55" s="33"/>
      <c r="P55" s="56"/>
      <c r="Q55" s="33"/>
      <c r="R55" s="56"/>
      <c r="S55" s="56"/>
      <c r="T55" s="33"/>
      <c r="U55" s="33"/>
      <c r="V55" s="56"/>
      <c r="W55" s="33"/>
      <c r="X55" s="56"/>
      <c r="Y55" s="56"/>
      <c r="Z55" s="33"/>
      <c r="AA55" s="33"/>
      <c r="AB55" s="80"/>
      <c r="AC55" s="117"/>
      <c r="AD55" s="10"/>
      <c r="AE55" s="10"/>
      <c r="AF55" s="117"/>
      <c r="AG55" s="118"/>
      <c r="AH55" s="80"/>
      <c r="AI55" s="112"/>
      <c r="AJ55" s="111"/>
      <c r="AK55" s="111"/>
      <c r="AL55" s="112"/>
      <c r="AM55" s="112"/>
      <c r="AN55" s="80"/>
      <c r="AO55" s="12"/>
      <c r="AP55" s="10"/>
      <c r="AQ55" s="10"/>
      <c r="AR55" s="12"/>
      <c r="AS55" s="12"/>
      <c r="AT55" s="13"/>
      <c r="AU55" s="12"/>
      <c r="AV55" s="10"/>
      <c r="AW55" s="10"/>
      <c r="AX55" s="12"/>
      <c r="AY55" s="12"/>
      <c r="AZ55" s="32"/>
      <c r="BA55" s="12"/>
      <c r="BB55" s="10"/>
      <c r="BC55" s="10"/>
      <c r="BD55" s="12"/>
      <c r="BE55" s="12"/>
      <c r="BF55" s="18"/>
      <c r="BG55" s="12"/>
      <c r="BH55" s="10"/>
      <c r="BI55" s="10"/>
      <c r="BJ55" s="12"/>
      <c r="BK55" s="12"/>
      <c r="BL55" s="18"/>
      <c r="BM55" s="12"/>
      <c r="BN55" s="10"/>
      <c r="BO55" s="10"/>
      <c r="BP55" s="12"/>
      <c r="BQ55" s="12"/>
      <c r="BR55" s="18"/>
      <c r="BS55" s="12"/>
      <c r="BT55" s="10"/>
      <c r="BU55" s="10"/>
      <c r="BV55" s="12"/>
      <c r="BW55" s="12"/>
      <c r="BX55" s="18"/>
      <c r="BY55" s="12"/>
      <c r="BZ55" s="10"/>
      <c r="CA55" s="10"/>
      <c r="CB55" s="12"/>
      <c r="CC55" s="12"/>
      <c r="CD55" s="18"/>
      <c r="CE55" s="12"/>
    </row>
    <row r="56" spans="1:83" ht="80.25" customHeight="1">
      <c r="A56" s="20"/>
      <c r="B56" s="18"/>
      <c r="C56" s="18"/>
      <c r="D56" s="35"/>
      <c r="H56" s="18"/>
      <c r="I56" s="11"/>
      <c r="J56" s="56"/>
      <c r="K56" s="12"/>
      <c r="L56" s="10"/>
      <c r="M56" s="10"/>
      <c r="N56" s="33"/>
      <c r="O56" s="33"/>
      <c r="P56" s="56"/>
      <c r="Q56" s="33"/>
      <c r="R56" s="56"/>
      <c r="S56" s="56"/>
      <c r="T56" s="33"/>
      <c r="U56" s="33"/>
      <c r="V56" s="56"/>
      <c r="W56" s="33"/>
      <c r="X56" s="56"/>
      <c r="Y56" s="56"/>
      <c r="Z56" s="33"/>
      <c r="AA56" s="33"/>
      <c r="AB56" s="80"/>
      <c r="AC56" s="117"/>
      <c r="AD56" s="10"/>
      <c r="AE56" s="10"/>
      <c r="AF56" s="117"/>
      <c r="AG56" s="118"/>
      <c r="AH56" s="80"/>
      <c r="AI56" s="112"/>
      <c r="AJ56" s="111"/>
      <c r="AK56" s="111"/>
      <c r="AL56" s="112"/>
      <c r="AM56" s="112"/>
      <c r="AN56" s="80"/>
      <c r="AO56" s="12"/>
      <c r="AP56" s="10"/>
      <c r="AQ56" s="10"/>
      <c r="AR56" s="12"/>
      <c r="AS56" s="12"/>
      <c r="AT56" s="13"/>
      <c r="AU56" s="12"/>
      <c r="AV56" s="10"/>
      <c r="AW56" s="10"/>
      <c r="AX56" s="12"/>
      <c r="AY56" s="12"/>
      <c r="AZ56" s="32"/>
      <c r="BA56" s="12"/>
      <c r="BB56" s="10"/>
      <c r="BC56" s="10"/>
      <c r="BD56" s="12"/>
      <c r="BE56" s="12"/>
      <c r="BF56" s="18"/>
      <c r="BG56" s="12"/>
      <c r="BH56" s="10"/>
      <c r="BI56" s="10"/>
      <c r="BJ56" s="12"/>
      <c r="BK56" s="12"/>
      <c r="BL56" s="18"/>
      <c r="BM56" s="12"/>
      <c r="BN56" s="10"/>
      <c r="BO56" s="10"/>
      <c r="BP56" s="12"/>
      <c r="BQ56" s="12"/>
      <c r="BR56" s="18"/>
      <c r="BS56" s="12"/>
      <c r="BT56" s="10"/>
      <c r="BU56" s="10"/>
      <c r="BV56" s="12"/>
      <c r="BW56" s="12"/>
      <c r="BX56" s="18"/>
      <c r="BY56" s="12"/>
      <c r="BZ56" s="10"/>
      <c r="CA56" s="10"/>
      <c r="CB56" s="12"/>
      <c r="CC56" s="12"/>
      <c r="CD56" s="18"/>
      <c r="CE56" s="12"/>
    </row>
    <row r="57" spans="1:83" ht="80.25" customHeight="1">
      <c r="A57" s="20"/>
      <c r="B57" s="18"/>
      <c r="C57" s="18"/>
      <c r="D57" s="35"/>
      <c r="H57" s="18"/>
      <c r="I57" s="11"/>
      <c r="J57" s="56"/>
      <c r="K57" s="12"/>
      <c r="L57" s="10"/>
      <c r="M57" s="10"/>
      <c r="N57" s="33"/>
      <c r="O57" s="33"/>
      <c r="P57" s="56"/>
      <c r="Q57" s="33"/>
      <c r="R57" s="56"/>
      <c r="S57" s="56"/>
      <c r="T57" s="33"/>
      <c r="U57" s="33"/>
      <c r="V57" s="56"/>
      <c r="W57" s="33"/>
      <c r="X57" s="56"/>
      <c r="Y57" s="56"/>
      <c r="Z57" s="33"/>
      <c r="AA57" s="33"/>
      <c r="AB57" s="80"/>
      <c r="AC57" s="117"/>
      <c r="AD57" s="10"/>
      <c r="AE57" s="10"/>
      <c r="AF57" s="117"/>
      <c r="AG57" s="118"/>
      <c r="AH57" s="80"/>
      <c r="AI57" s="112"/>
      <c r="AJ57" s="111"/>
      <c r="AK57" s="111"/>
      <c r="AL57" s="112"/>
      <c r="AM57" s="112"/>
      <c r="AN57" s="80"/>
      <c r="AO57" s="12"/>
      <c r="AP57" s="10"/>
      <c r="AQ57" s="10"/>
      <c r="AR57" s="12"/>
      <c r="AS57" s="12"/>
      <c r="AT57" s="13"/>
      <c r="AU57" s="12"/>
      <c r="AV57" s="10"/>
      <c r="AW57" s="10"/>
      <c r="AX57" s="12"/>
      <c r="AY57" s="12"/>
      <c r="AZ57" s="32"/>
      <c r="BA57" s="12"/>
      <c r="BB57" s="10"/>
      <c r="BC57" s="10"/>
      <c r="BD57" s="12"/>
      <c r="BE57" s="12"/>
      <c r="BF57" s="31"/>
      <c r="BG57" s="12"/>
      <c r="BH57" s="10"/>
      <c r="BI57" s="10"/>
      <c r="BJ57" s="12"/>
      <c r="BK57" s="12"/>
      <c r="BL57" s="31"/>
      <c r="BM57" s="12"/>
      <c r="BN57" s="10"/>
      <c r="BO57" s="10"/>
      <c r="BP57" s="12"/>
      <c r="BQ57" s="12"/>
      <c r="BR57" s="31"/>
      <c r="BS57" s="12"/>
      <c r="BT57" s="10"/>
      <c r="BU57" s="10"/>
      <c r="BV57" s="12"/>
      <c r="BW57" s="12"/>
      <c r="BX57" s="31"/>
      <c r="BY57" s="12"/>
      <c r="BZ57" s="10"/>
      <c r="CA57" s="10"/>
      <c r="CB57" s="12"/>
      <c r="CC57" s="12"/>
      <c r="CD57" s="31"/>
      <c r="CE57" s="12"/>
    </row>
    <row r="58" spans="1:83" ht="80.25" customHeight="1">
      <c r="A58" s="20"/>
      <c r="B58" s="18"/>
      <c r="C58" s="18"/>
      <c r="D58" s="35"/>
      <c r="H58" s="18"/>
      <c r="I58" s="11"/>
      <c r="J58" s="56"/>
      <c r="K58" s="12"/>
      <c r="L58" s="10"/>
      <c r="M58" s="10"/>
      <c r="N58" s="33"/>
      <c r="O58" s="33"/>
      <c r="P58" s="56"/>
      <c r="Q58" s="33"/>
      <c r="R58" s="56"/>
      <c r="S58" s="56"/>
      <c r="T58" s="33"/>
      <c r="U58" s="33"/>
      <c r="V58" s="56"/>
      <c r="W58" s="33"/>
      <c r="X58" s="56"/>
      <c r="Y58" s="56"/>
      <c r="Z58" s="33"/>
      <c r="AA58" s="33"/>
      <c r="AB58" s="80"/>
      <c r="AC58" s="117"/>
      <c r="AD58" s="10"/>
      <c r="AE58" s="10"/>
      <c r="AF58" s="117"/>
      <c r="AG58" s="118"/>
      <c r="AH58" s="80"/>
      <c r="AI58" s="112"/>
      <c r="AJ58" s="111"/>
      <c r="AK58" s="111"/>
      <c r="AL58" s="112"/>
      <c r="AM58" s="112"/>
      <c r="AN58" s="80"/>
      <c r="AO58" s="12"/>
      <c r="AP58" s="10"/>
      <c r="AQ58" s="10"/>
      <c r="AR58" s="12"/>
      <c r="AS58" s="12"/>
      <c r="AT58" s="13"/>
      <c r="AU58" s="12"/>
      <c r="AV58" s="10"/>
      <c r="AW58" s="10"/>
      <c r="AX58" s="12"/>
      <c r="AY58" s="12"/>
      <c r="AZ58" s="32"/>
      <c r="BA58" s="12"/>
      <c r="BB58" s="10"/>
      <c r="BC58" s="10"/>
      <c r="BD58" s="12"/>
      <c r="BE58" s="12"/>
      <c r="BF58" s="31"/>
      <c r="BG58" s="12"/>
      <c r="BH58" s="10"/>
      <c r="BI58" s="10"/>
      <c r="BJ58" s="12"/>
      <c r="BK58" s="12"/>
      <c r="BL58" s="31"/>
      <c r="BM58" s="12"/>
      <c r="BN58" s="10"/>
      <c r="BO58" s="10"/>
      <c r="BP58" s="12"/>
      <c r="BQ58" s="12"/>
      <c r="BR58" s="31"/>
      <c r="BS58" s="12"/>
      <c r="BT58" s="10"/>
      <c r="BU58" s="10"/>
      <c r="BV58" s="12"/>
      <c r="BW58" s="12"/>
      <c r="BX58" s="31"/>
      <c r="BY58" s="12"/>
      <c r="BZ58" s="10"/>
      <c r="CA58" s="10"/>
      <c r="CB58" s="12"/>
      <c r="CC58" s="12"/>
      <c r="CD58" s="31"/>
      <c r="CE58" s="12"/>
    </row>
    <row r="59" spans="1:83" ht="80.25" customHeight="1">
      <c r="A59" s="20"/>
      <c r="B59" s="18"/>
      <c r="C59" s="18"/>
      <c r="D59" s="35"/>
      <c r="H59" s="18"/>
      <c r="I59" s="11"/>
      <c r="J59" s="56"/>
      <c r="K59" s="12"/>
      <c r="L59" s="10"/>
      <c r="M59" s="10"/>
      <c r="N59" s="33"/>
      <c r="O59" s="33"/>
      <c r="P59" s="56"/>
      <c r="Q59" s="33"/>
      <c r="R59" s="56"/>
      <c r="S59" s="56"/>
      <c r="T59" s="33"/>
      <c r="U59" s="33"/>
      <c r="V59" s="56"/>
      <c r="W59" s="33"/>
      <c r="X59" s="56"/>
      <c r="Y59" s="56"/>
      <c r="Z59" s="33"/>
      <c r="AA59" s="33"/>
      <c r="AB59" s="80"/>
      <c r="AC59" s="117"/>
      <c r="AD59" s="10"/>
      <c r="AE59" s="10"/>
      <c r="AF59" s="117"/>
      <c r="AG59" s="118"/>
      <c r="AH59" s="80"/>
      <c r="AI59" s="112"/>
      <c r="AJ59" s="111"/>
      <c r="AK59" s="111"/>
      <c r="AL59" s="112"/>
      <c r="AM59" s="112"/>
      <c r="AN59" s="80"/>
      <c r="AO59" s="12"/>
      <c r="AP59" s="10"/>
      <c r="AQ59" s="10"/>
      <c r="AR59" s="12"/>
      <c r="AS59" s="12"/>
      <c r="AT59" s="13"/>
      <c r="AU59" s="12"/>
      <c r="AV59" s="10"/>
      <c r="AW59" s="10"/>
      <c r="AX59" s="12"/>
      <c r="AY59" s="12"/>
      <c r="AZ59" s="32"/>
      <c r="BA59" s="12"/>
      <c r="BB59" s="10"/>
      <c r="BC59" s="10"/>
      <c r="BD59" s="12"/>
      <c r="BE59" s="12"/>
      <c r="BF59" s="31"/>
      <c r="BG59" s="12"/>
      <c r="BH59" s="10"/>
      <c r="BI59" s="10"/>
      <c r="BJ59" s="12"/>
      <c r="BK59" s="12"/>
      <c r="BL59" s="31"/>
      <c r="BM59" s="12"/>
      <c r="BN59" s="10"/>
      <c r="BO59" s="10"/>
      <c r="BP59" s="12"/>
      <c r="BQ59" s="12"/>
      <c r="BR59" s="31"/>
      <c r="BS59" s="12"/>
      <c r="BT59" s="10"/>
      <c r="BU59" s="10"/>
      <c r="BV59" s="12"/>
      <c r="BW59" s="12"/>
      <c r="BX59" s="31"/>
      <c r="BY59" s="12"/>
      <c r="BZ59" s="10"/>
      <c r="CA59" s="10"/>
      <c r="CB59" s="12"/>
      <c r="CC59" s="12"/>
      <c r="CD59" s="31"/>
      <c r="CE59" s="12"/>
    </row>
    <row r="60" spans="1:83" ht="80.25" customHeight="1">
      <c r="A60" s="20"/>
      <c r="B60" s="18"/>
      <c r="C60" s="18"/>
      <c r="D60" s="35"/>
      <c r="H60" s="18"/>
      <c r="I60" s="11"/>
      <c r="J60" s="56"/>
      <c r="K60" s="12"/>
      <c r="L60" s="10"/>
      <c r="M60" s="10"/>
      <c r="N60" s="33"/>
      <c r="O60" s="33"/>
      <c r="P60" s="56"/>
      <c r="Q60" s="33"/>
      <c r="R60" s="56"/>
      <c r="S60" s="56"/>
      <c r="T60" s="33"/>
      <c r="U60" s="33"/>
      <c r="V60" s="56"/>
      <c r="W60" s="33"/>
      <c r="X60" s="56"/>
      <c r="Y60" s="56"/>
      <c r="Z60" s="33"/>
      <c r="AA60" s="33"/>
      <c r="AB60" s="80"/>
      <c r="AC60" s="117"/>
      <c r="AD60" s="10"/>
      <c r="AE60" s="10"/>
      <c r="AF60" s="117"/>
      <c r="AG60" s="118"/>
      <c r="AH60" s="80"/>
      <c r="AI60" s="112"/>
      <c r="AJ60" s="111"/>
      <c r="AK60" s="111"/>
      <c r="AL60" s="112"/>
      <c r="AM60" s="112"/>
      <c r="AN60" s="80"/>
      <c r="AO60" s="12"/>
      <c r="AP60" s="10"/>
      <c r="AQ60" s="10"/>
      <c r="AR60" s="12"/>
      <c r="AS60" s="12"/>
      <c r="AT60" s="13"/>
      <c r="AU60" s="12"/>
      <c r="AV60" s="10"/>
      <c r="AW60" s="10"/>
      <c r="AX60" s="12"/>
      <c r="AY60" s="12"/>
      <c r="AZ60" s="32"/>
      <c r="BA60" s="12"/>
      <c r="BB60" s="10"/>
      <c r="BC60" s="10"/>
      <c r="BD60" s="12"/>
      <c r="BE60" s="12"/>
      <c r="BF60" s="31"/>
      <c r="BG60" s="12"/>
      <c r="BH60" s="10"/>
      <c r="BI60" s="10"/>
      <c r="BJ60" s="12"/>
      <c r="BK60" s="12"/>
      <c r="BL60" s="31"/>
      <c r="BM60" s="12"/>
      <c r="BN60" s="10"/>
      <c r="BO60" s="10"/>
      <c r="BP60" s="12"/>
      <c r="BQ60" s="12"/>
      <c r="BR60" s="31"/>
      <c r="BS60" s="12"/>
      <c r="BT60" s="10"/>
      <c r="BU60" s="10"/>
      <c r="BV60" s="12"/>
      <c r="BW60" s="12"/>
      <c r="BX60" s="31"/>
      <c r="BY60" s="12"/>
      <c r="BZ60" s="10"/>
      <c r="CA60" s="10"/>
      <c r="CB60" s="12"/>
      <c r="CC60" s="12"/>
      <c r="CD60" s="31"/>
      <c r="CE60" s="12"/>
    </row>
    <row r="61" spans="1:83" ht="80.25" customHeight="1">
      <c r="A61" s="20"/>
      <c r="B61" s="18"/>
      <c r="C61" s="18"/>
      <c r="D61" s="35"/>
      <c r="H61" s="18"/>
      <c r="I61" s="11"/>
      <c r="J61" s="56"/>
      <c r="K61" s="12"/>
      <c r="L61" s="10"/>
      <c r="M61" s="10"/>
      <c r="N61" s="33"/>
      <c r="O61" s="33"/>
      <c r="P61" s="56"/>
      <c r="Q61" s="33"/>
      <c r="R61" s="56"/>
      <c r="S61" s="56"/>
      <c r="T61" s="33"/>
      <c r="U61" s="33"/>
      <c r="V61" s="56"/>
      <c r="W61" s="33"/>
      <c r="X61" s="56"/>
      <c r="Y61" s="56"/>
      <c r="Z61" s="33"/>
      <c r="AA61" s="33"/>
      <c r="AB61" s="80"/>
      <c r="AC61" s="117"/>
      <c r="AD61" s="10"/>
      <c r="AE61" s="10"/>
      <c r="AF61" s="117"/>
      <c r="AG61" s="118"/>
      <c r="AH61" s="80"/>
      <c r="AI61" s="112"/>
      <c r="AJ61" s="111"/>
      <c r="AK61" s="111"/>
      <c r="AL61" s="112"/>
      <c r="AM61" s="112"/>
      <c r="AN61" s="80"/>
      <c r="AO61" s="12"/>
      <c r="AP61" s="10"/>
      <c r="AQ61" s="10"/>
      <c r="AR61" s="12"/>
      <c r="AS61" s="12"/>
      <c r="AT61" s="13"/>
      <c r="AU61" s="12"/>
      <c r="AV61" s="10"/>
      <c r="AW61" s="10"/>
      <c r="AX61" s="12"/>
      <c r="AY61" s="12"/>
      <c r="AZ61" s="32"/>
      <c r="BA61" s="12"/>
      <c r="BB61" s="10"/>
      <c r="BC61" s="10"/>
      <c r="BD61" s="12"/>
      <c r="BE61" s="12"/>
      <c r="BF61" s="18"/>
      <c r="BG61" s="12"/>
      <c r="BH61" s="10"/>
      <c r="BI61" s="10"/>
      <c r="BJ61" s="12"/>
      <c r="BK61" s="12"/>
      <c r="BL61" s="18"/>
      <c r="BM61" s="12"/>
      <c r="BN61" s="10"/>
      <c r="BO61" s="10"/>
      <c r="BP61" s="12"/>
      <c r="BQ61" s="12"/>
      <c r="BR61" s="18"/>
      <c r="BS61" s="12"/>
      <c r="BT61" s="10"/>
      <c r="BU61" s="10"/>
      <c r="BV61" s="12"/>
      <c r="BW61" s="12"/>
      <c r="BX61" s="18"/>
      <c r="BY61" s="12"/>
      <c r="BZ61" s="10"/>
      <c r="CA61" s="10"/>
      <c r="CB61" s="12"/>
      <c r="CC61" s="12"/>
      <c r="CD61" s="18"/>
      <c r="CE61" s="12"/>
    </row>
    <row r="62" spans="1:83" ht="80.25" customHeight="1">
      <c r="A62" s="20"/>
      <c r="B62" s="18"/>
      <c r="C62" s="18"/>
      <c r="D62" s="35"/>
      <c r="H62" s="18"/>
      <c r="I62" s="11"/>
      <c r="J62" s="56"/>
      <c r="K62" s="12"/>
      <c r="L62" s="10"/>
      <c r="M62" s="10"/>
      <c r="N62" s="33"/>
      <c r="O62" s="33"/>
      <c r="P62" s="56"/>
      <c r="Q62" s="33"/>
      <c r="R62" s="56"/>
      <c r="S62" s="56"/>
      <c r="T62" s="33"/>
      <c r="U62" s="33"/>
      <c r="V62" s="56"/>
      <c r="W62" s="33"/>
      <c r="X62" s="56"/>
      <c r="Y62" s="56"/>
      <c r="Z62" s="33"/>
      <c r="AA62" s="33"/>
      <c r="AB62" s="80"/>
      <c r="AC62" s="117"/>
      <c r="AD62" s="10"/>
      <c r="AE62" s="10"/>
      <c r="AF62" s="117"/>
      <c r="AG62" s="118"/>
      <c r="AH62" s="80"/>
      <c r="AI62" s="112"/>
      <c r="AJ62" s="111"/>
      <c r="AK62" s="111"/>
      <c r="AL62" s="112"/>
      <c r="AM62" s="112"/>
      <c r="AN62" s="80"/>
      <c r="AO62" s="12"/>
      <c r="AP62" s="10"/>
      <c r="AQ62" s="10"/>
      <c r="AR62" s="12"/>
      <c r="AS62" s="12"/>
      <c r="AT62" s="13"/>
      <c r="AU62" s="12"/>
      <c r="AV62" s="10"/>
      <c r="AW62" s="10"/>
      <c r="AX62" s="12"/>
      <c r="AY62" s="12"/>
      <c r="AZ62" s="32"/>
      <c r="BA62" s="12"/>
      <c r="BB62" s="10"/>
      <c r="BC62" s="10"/>
      <c r="BD62" s="12"/>
      <c r="BE62" s="12"/>
      <c r="BF62" s="31"/>
      <c r="BG62" s="12"/>
      <c r="BH62" s="10"/>
      <c r="BI62" s="10"/>
      <c r="BJ62" s="12"/>
      <c r="BK62" s="12"/>
      <c r="BL62" s="31"/>
      <c r="BM62" s="12"/>
      <c r="BN62" s="10"/>
      <c r="BO62" s="10"/>
      <c r="BP62" s="12"/>
      <c r="BQ62" s="12"/>
      <c r="BR62" s="31"/>
      <c r="BS62" s="12"/>
      <c r="BT62" s="10"/>
      <c r="BU62" s="10"/>
      <c r="BV62" s="12"/>
      <c r="BW62" s="12"/>
      <c r="BX62" s="31"/>
      <c r="BY62" s="12"/>
      <c r="BZ62" s="10"/>
      <c r="CA62" s="10"/>
      <c r="CB62" s="12"/>
      <c r="CC62" s="12"/>
      <c r="CD62" s="31"/>
      <c r="CE62" s="12"/>
    </row>
    <row r="63" spans="1:83" ht="80.25" customHeight="1">
      <c r="A63" s="20"/>
      <c r="B63" s="18"/>
      <c r="C63" s="18"/>
      <c r="D63" s="35"/>
      <c r="H63" s="18"/>
      <c r="I63" s="11"/>
      <c r="J63" s="56"/>
      <c r="K63" s="12"/>
      <c r="L63" s="10"/>
      <c r="M63" s="10"/>
      <c r="N63" s="33"/>
      <c r="O63" s="33"/>
      <c r="P63" s="56"/>
      <c r="Q63" s="33"/>
      <c r="R63" s="56"/>
      <c r="S63" s="56"/>
      <c r="T63" s="33"/>
      <c r="U63" s="33"/>
      <c r="V63" s="56"/>
      <c r="W63" s="33"/>
      <c r="X63" s="56"/>
      <c r="Y63" s="56"/>
      <c r="Z63" s="33"/>
      <c r="AA63" s="33"/>
      <c r="AB63" s="80"/>
      <c r="AC63" s="117"/>
      <c r="AD63" s="10"/>
      <c r="AE63" s="10"/>
      <c r="AF63" s="117"/>
      <c r="AG63" s="118"/>
      <c r="AH63" s="80"/>
      <c r="AI63" s="112"/>
      <c r="AJ63" s="111"/>
      <c r="AK63" s="111"/>
      <c r="AL63" s="112"/>
      <c r="AM63" s="112"/>
      <c r="AN63" s="80"/>
      <c r="AO63" s="12"/>
      <c r="AP63" s="10"/>
      <c r="AQ63" s="10"/>
      <c r="AR63" s="12"/>
      <c r="AS63" s="12"/>
      <c r="AT63" s="13"/>
      <c r="AU63" s="12"/>
      <c r="AV63" s="10"/>
      <c r="AW63" s="10"/>
      <c r="AX63" s="12"/>
      <c r="AY63" s="12"/>
      <c r="AZ63" s="32"/>
      <c r="BA63" s="12"/>
      <c r="BB63" s="10"/>
      <c r="BC63" s="10"/>
      <c r="BD63" s="12"/>
      <c r="BE63" s="12"/>
      <c r="BF63" s="31"/>
      <c r="BG63" s="12"/>
      <c r="BH63" s="10"/>
      <c r="BI63" s="10"/>
      <c r="BJ63" s="12"/>
      <c r="BK63" s="12"/>
      <c r="BL63" s="31"/>
      <c r="BM63" s="12"/>
      <c r="BN63" s="10"/>
      <c r="BO63" s="10"/>
      <c r="BP63" s="12"/>
      <c r="BQ63" s="12"/>
      <c r="BR63" s="31"/>
      <c r="BS63" s="12"/>
      <c r="BT63" s="10"/>
      <c r="BU63" s="10"/>
      <c r="BV63" s="12"/>
      <c r="BW63" s="12"/>
      <c r="BX63" s="31"/>
      <c r="BY63" s="12"/>
      <c r="BZ63" s="10"/>
      <c r="CA63" s="10"/>
      <c r="CB63" s="12"/>
      <c r="CC63" s="12"/>
      <c r="CD63" s="31"/>
      <c r="CE63" s="12"/>
    </row>
    <row r="64" spans="1:83" ht="80.25" customHeight="1">
      <c r="A64" s="20"/>
      <c r="B64" s="18"/>
      <c r="C64" s="18"/>
      <c r="D64" s="35"/>
      <c r="H64" s="18"/>
      <c r="I64" s="11"/>
      <c r="J64" s="56"/>
      <c r="K64" s="12"/>
      <c r="L64" s="10"/>
      <c r="M64" s="10"/>
      <c r="N64" s="33"/>
      <c r="O64" s="33"/>
      <c r="P64" s="56"/>
      <c r="Q64" s="33"/>
      <c r="R64" s="56"/>
      <c r="S64" s="56"/>
      <c r="T64" s="33"/>
      <c r="U64" s="33"/>
      <c r="V64" s="56"/>
      <c r="W64" s="33"/>
      <c r="X64" s="56"/>
      <c r="Y64" s="56"/>
      <c r="Z64" s="33"/>
      <c r="AA64" s="33"/>
      <c r="AB64" s="80"/>
      <c r="AC64" s="117"/>
      <c r="AD64" s="10"/>
      <c r="AE64" s="10"/>
      <c r="AF64" s="117"/>
      <c r="AG64" s="118"/>
      <c r="AH64" s="80"/>
      <c r="AI64" s="112"/>
      <c r="AJ64" s="111"/>
      <c r="AK64" s="111"/>
      <c r="AL64" s="112"/>
      <c r="AM64" s="112"/>
      <c r="AN64" s="80"/>
      <c r="AO64" s="12"/>
      <c r="AP64" s="10"/>
      <c r="AQ64" s="10"/>
      <c r="AR64" s="12"/>
      <c r="AS64" s="12"/>
      <c r="AT64" s="13"/>
      <c r="AU64" s="12"/>
      <c r="AV64" s="10"/>
      <c r="AW64" s="10"/>
      <c r="AX64" s="12"/>
      <c r="AY64" s="12"/>
      <c r="AZ64" s="32"/>
      <c r="BA64" s="12"/>
      <c r="BB64" s="10"/>
      <c r="BC64" s="10"/>
      <c r="BD64" s="12"/>
      <c r="BE64" s="12"/>
      <c r="BF64" s="31"/>
      <c r="BG64" s="12"/>
      <c r="BH64" s="10"/>
      <c r="BI64" s="10"/>
      <c r="BJ64" s="12"/>
      <c r="BK64" s="12"/>
      <c r="BL64" s="31"/>
      <c r="BM64" s="12"/>
      <c r="BN64" s="10"/>
      <c r="BO64" s="10"/>
      <c r="BP64" s="12"/>
      <c r="BQ64" s="12"/>
      <c r="BR64" s="31"/>
      <c r="BS64" s="12"/>
      <c r="BT64" s="10"/>
      <c r="BU64" s="10"/>
      <c r="BV64" s="12"/>
      <c r="BW64" s="12"/>
      <c r="BX64" s="31"/>
      <c r="BY64" s="12"/>
      <c r="BZ64" s="10"/>
      <c r="CA64" s="10"/>
      <c r="CB64" s="12"/>
      <c r="CC64" s="12"/>
      <c r="CD64" s="31"/>
      <c r="CE64" s="12"/>
    </row>
    <row r="65" spans="1:83" ht="80.25" customHeight="1">
      <c r="A65" s="20"/>
      <c r="B65" s="18"/>
      <c r="C65" s="18"/>
      <c r="D65" s="35"/>
      <c r="H65" s="18"/>
      <c r="I65" s="11"/>
      <c r="J65" s="56"/>
      <c r="K65" s="12"/>
      <c r="L65" s="10"/>
      <c r="M65" s="10"/>
      <c r="N65" s="33"/>
      <c r="O65" s="33"/>
      <c r="P65" s="56"/>
      <c r="Q65" s="33"/>
      <c r="R65" s="56"/>
      <c r="S65" s="56"/>
      <c r="T65" s="33"/>
      <c r="U65" s="33"/>
      <c r="V65" s="56"/>
      <c r="W65" s="33"/>
      <c r="X65" s="56"/>
      <c r="Y65" s="56"/>
      <c r="Z65" s="33"/>
      <c r="AA65" s="33"/>
      <c r="AB65" s="80"/>
      <c r="AC65" s="117"/>
      <c r="AD65" s="10"/>
      <c r="AE65" s="10"/>
      <c r="AF65" s="117"/>
      <c r="AG65" s="118"/>
      <c r="AH65" s="80"/>
      <c r="AI65" s="112"/>
      <c r="AJ65" s="111"/>
      <c r="AK65" s="111"/>
      <c r="AL65" s="112"/>
      <c r="AM65" s="112"/>
      <c r="AN65" s="80"/>
      <c r="AO65" s="12"/>
      <c r="AP65" s="10"/>
      <c r="AQ65" s="10"/>
      <c r="AR65" s="12"/>
      <c r="AS65" s="12"/>
      <c r="AT65" s="13"/>
      <c r="AU65" s="12"/>
      <c r="AV65" s="10"/>
      <c r="AW65" s="10"/>
      <c r="AX65" s="12"/>
      <c r="AY65" s="12"/>
      <c r="AZ65" s="32"/>
      <c r="BA65" s="12"/>
      <c r="BB65" s="10"/>
      <c r="BC65" s="10"/>
      <c r="BD65" s="12"/>
      <c r="BE65" s="12"/>
      <c r="BF65" s="31"/>
      <c r="BG65" s="12"/>
      <c r="BH65" s="10"/>
      <c r="BI65" s="10"/>
      <c r="BJ65" s="12"/>
      <c r="BK65" s="12"/>
      <c r="BL65" s="31"/>
      <c r="BM65" s="12"/>
      <c r="BN65" s="10"/>
      <c r="BO65" s="10"/>
      <c r="BP65" s="12"/>
      <c r="BQ65" s="12"/>
      <c r="BR65" s="31"/>
      <c r="BS65" s="12"/>
      <c r="BT65" s="10"/>
      <c r="BU65" s="10"/>
      <c r="BV65" s="12"/>
      <c r="BW65" s="12"/>
      <c r="BX65" s="31"/>
      <c r="BY65" s="12"/>
      <c r="BZ65" s="10"/>
      <c r="CA65" s="10"/>
      <c r="CB65" s="12"/>
      <c r="CC65" s="12"/>
      <c r="CD65" s="31"/>
      <c r="CE65" s="12"/>
    </row>
    <row r="66" spans="1:83" ht="80.25" customHeight="1">
      <c r="A66" s="20"/>
      <c r="B66" s="18"/>
      <c r="C66" s="18"/>
      <c r="D66" s="35"/>
      <c r="H66" s="18"/>
      <c r="I66" s="11"/>
      <c r="J66" s="56"/>
      <c r="K66" s="12"/>
      <c r="L66" s="10"/>
      <c r="M66" s="10"/>
      <c r="N66" s="33"/>
      <c r="O66" s="33"/>
      <c r="P66" s="56"/>
      <c r="Q66" s="33"/>
      <c r="R66" s="56"/>
      <c r="S66" s="56"/>
      <c r="T66" s="33"/>
      <c r="U66" s="33"/>
      <c r="V66" s="56"/>
      <c r="W66" s="33"/>
      <c r="X66" s="56"/>
      <c r="Y66" s="56"/>
      <c r="Z66" s="33"/>
      <c r="AA66" s="33"/>
      <c r="AB66" s="80"/>
      <c r="AC66" s="117"/>
      <c r="AD66" s="10"/>
      <c r="AE66" s="10"/>
      <c r="AF66" s="117"/>
      <c r="AG66" s="118"/>
      <c r="AH66" s="80"/>
      <c r="AI66" s="112"/>
      <c r="AJ66" s="111"/>
      <c r="AK66" s="111"/>
      <c r="AL66" s="112"/>
      <c r="AM66" s="112"/>
      <c r="AN66" s="80"/>
      <c r="AO66" s="12"/>
      <c r="AP66" s="10"/>
      <c r="AQ66" s="10"/>
      <c r="AR66" s="12"/>
      <c r="AS66" s="12"/>
      <c r="AT66" s="13"/>
      <c r="AU66" s="12"/>
      <c r="AV66" s="10"/>
      <c r="AW66" s="10"/>
      <c r="AX66" s="12"/>
      <c r="AY66" s="12"/>
      <c r="AZ66" s="32"/>
      <c r="BA66" s="12"/>
      <c r="BB66" s="10"/>
      <c r="BC66" s="10"/>
      <c r="BD66" s="12"/>
      <c r="BE66" s="12"/>
      <c r="BF66" s="31"/>
      <c r="BG66" s="12"/>
      <c r="BH66" s="10"/>
      <c r="BI66" s="10"/>
      <c r="BJ66" s="12"/>
      <c r="BK66" s="12"/>
      <c r="BL66" s="31"/>
      <c r="BM66" s="12"/>
      <c r="BN66" s="10"/>
      <c r="BO66" s="10"/>
      <c r="BP66" s="12"/>
      <c r="BQ66" s="12"/>
      <c r="BR66" s="31"/>
      <c r="BS66" s="12"/>
      <c r="BT66" s="10"/>
      <c r="BU66" s="10"/>
      <c r="BV66" s="12"/>
      <c r="BW66" s="12"/>
      <c r="BX66" s="31"/>
      <c r="BY66" s="12"/>
      <c r="BZ66" s="10"/>
      <c r="CA66" s="10"/>
      <c r="CB66" s="12"/>
      <c r="CC66" s="12"/>
      <c r="CD66" s="31"/>
      <c r="CE66" s="12"/>
    </row>
    <row r="67" spans="1:83" ht="80.25" customHeight="1">
      <c r="A67" s="20"/>
      <c r="B67" s="18"/>
      <c r="C67" s="18"/>
      <c r="D67" s="35"/>
      <c r="H67" s="18"/>
      <c r="I67" s="11"/>
      <c r="J67" s="56"/>
      <c r="K67" s="12"/>
      <c r="L67" s="10"/>
      <c r="M67" s="10"/>
      <c r="N67" s="33"/>
      <c r="O67" s="33"/>
      <c r="P67" s="56"/>
      <c r="Q67" s="33"/>
      <c r="R67" s="56"/>
      <c r="S67" s="56"/>
      <c r="T67" s="33"/>
      <c r="U67" s="33"/>
      <c r="V67" s="56"/>
      <c r="W67" s="33"/>
      <c r="X67" s="56"/>
      <c r="Y67" s="56"/>
      <c r="Z67" s="33"/>
      <c r="AA67" s="33"/>
      <c r="AB67" s="80"/>
      <c r="AC67" s="117"/>
      <c r="AD67" s="10"/>
      <c r="AE67" s="10"/>
      <c r="AF67" s="117"/>
      <c r="AG67" s="118"/>
      <c r="AH67" s="80"/>
      <c r="AI67" s="112"/>
      <c r="AJ67" s="111"/>
      <c r="AK67" s="111"/>
      <c r="AL67" s="112"/>
      <c r="AM67" s="112"/>
      <c r="AN67" s="80"/>
      <c r="AO67" s="12"/>
      <c r="AP67" s="10"/>
      <c r="AQ67" s="10"/>
      <c r="AR67" s="12"/>
      <c r="AS67" s="12"/>
      <c r="AT67" s="13"/>
      <c r="AU67" s="12"/>
      <c r="AV67" s="10"/>
      <c r="AW67" s="10"/>
      <c r="AX67" s="12"/>
      <c r="AY67" s="12"/>
      <c r="AZ67" s="32"/>
      <c r="BA67" s="12"/>
      <c r="BB67" s="10"/>
      <c r="BC67" s="10"/>
      <c r="BD67" s="12"/>
      <c r="BE67" s="12"/>
      <c r="BF67" s="31"/>
      <c r="BG67" s="12"/>
      <c r="BH67" s="10"/>
      <c r="BI67" s="10"/>
      <c r="BJ67" s="12"/>
      <c r="BK67" s="12"/>
      <c r="BL67" s="31"/>
      <c r="BM67" s="12"/>
      <c r="BN67" s="10"/>
      <c r="BO67" s="10"/>
      <c r="BP67" s="12"/>
      <c r="BQ67" s="12"/>
      <c r="BR67" s="31"/>
      <c r="BS67" s="12"/>
      <c r="BT67" s="10"/>
      <c r="BU67" s="10"/>
      <c r="BV67" s="12"/>
      <c r="BW67" s="12"/>
      <c r="BX67" s="31"/>
      <c r="BY67" s="12"/>
      <c r="BZ67" s="10"/>
      <c r="CA67" s="10"/>
      <c r="CB67" s="12"/>
      <c r="CC67" s="12"/>
      <c r="CD67" s="31"/>
      <c r="CE67" s="12"/>
    </row>
    <row r="68" spans="1:83" ht="80.25" customHeight="1">
      <c r="A68" s="20"/>
      <c r="B68" s="28"/>
      <c r="C68" s="27"/>
      <c r="D68" s="35"/>
      <c r="H68" s="29"/>
      <c r="I68" s="11"/>
      <c r="J68" s="56"/>
      <c r="K68" s="33"/>
      <c r="L68" s="10"/>
      <c r="M68" s="10"/>
      <c r="N68" s="33"/>
      <c r="O68" s="33"/>
      <c r="P68" s="56"/>
      <c r="Q68" s="33"/>
      <c r="R68" s="56"/>
      <c r="S68" s="56"/>
      <c r="T68" s="33"/>
      <c r="U68" s="33"/>
      <c r="V68" s="56"/>
      <c r="W68" s="33"/>
      <c r="X68" s="56"/>
      <c r="Y68" s="56"/>
      <c r="Z68" s="33"/>
      <c r="AA68" s="33"/>
      <c r="AB68" s="146"/>
      <c r="AC68" s="117"/>
      <c r="AD68" s="10"/>
      <c r="AE68" s="10"/>
      <c r="AF68" s="117"/>
      <c r="AG68" s="118"/>
      <c r="AH68" s="80"/>
      <c r="AI68" s="127"/>
      <c r="AJ68" s="111"/>
      <c r="AK68" s="111"/>
      <c r="AL68" s="112"/>
      <c r="AM68" s="112"/>
      <c r="AN68" s="80"/>
      <c r="AO68" s="12"/>
      <c r="AP68" s="10"/>
      <c r="AQ68" s="10"/>
      <c r="AR68" s="12"/>
      <c r="AS68" s="12"/>
      <c r="AT68" s="13"/>
      <c r="AU68" s="12"/>
      <c r="AV68" s="10"/>
      <c r="AW68" s="10"/>
      <c r="AX68" s="12"/>
      <c r="AY68" s="12"/>
      <c r="AZ68" s="32"/>
      <c r="BA68" s="12"/>
      <c r="BB68" s="10"/>
      <c r="BC68" s="10"/>
      <c r="BD68" s="12"/>
      <c r="BE68" s="12"/>
      <c r="BF68" s="48"/>
      <c r="BG68" s="12"/>
      <c r="BH68" s="10"/>
      <c r="BI68" s="10"/>
      <c r="BJ68" s="33"/>
      <c r="BK68" s="33"/>
      <c r="BL68" s="48"/>
      <c r="BM68" s="12"/>
      <c r="BN68" s="10"/>
      <c r="BO68" s="10"/>
      <c r="BP68" s="33"/>
      <c r="BQ68" s="33"/>
      <c r="BR68" s="48"/>
      <c r="BS68" s="12"/>
      <c r="BT68" s="10"/>
      <c r="BU68" s="10"/>
      <c r="BV68" s="33"/>
      <c r="BW68" s="33"/>
      <c r="BX68" s="48"/>
      <c r="BY68" s="12"/>
      <c r="BZ68" s="10"/>
      <c r="CA68" s="10"/>
      <c r="CB68" s="33"/>
      <c r="CC68" s="33"/>
      <c r="CD68" s="48"/>
      <c r="CE68" s="12"/>
    </row>
    <row r="69" spans="1:83" ht="80.25" customHeight="1">
      <c r="A69" s="20"/>
      <c r="B69" s="28"/>
      <c r="C69" s="30"/>
      <c r="D69" s="134"/>
      <c r="H69" s="29"/>
      <c r="I69" s="11"/>
      <c r="J69" s="56"/>
      <c r="K69" s="33"/>
      <c r="L69" s="10"/>
      <c r="M69" s="10"/>
      <c r="N69" s="33"/>
      <c r="O69" s="33"/>
      <c r="P69" s="56"/>
      <c r="Q69" s="33"/>
      <c r="R69" s="56"/>
      <c r="S69" s="56"/>
      <c r="T69" s="33"/>
      <c r="U69" s="33"/>
      <c r="V69" s="56"/>
      <c r="W69" s="33"/>
      <c r="X69" s="56"/>
      <c r="Y69" s="56"/>
      <c r="Z69" s="33"/>
      <c r="AA69" s="33"/>
      <c r="AB69" s="146"/>
      <c r="AC69" s="117"/>
      <c r="AD69" s="10"/>
      <c r="AE69" s="10"/>
      <c r="AF69" s="117"/>
      <c r="AG69" s="118"/>
      <c r="AH69" s="80"/>
      <c r="AI69" s="127"/>
      <c r="AJ69" s="111"/>
      <c r="AK69" s="111"/>
      <c r="AL69" s="112"/>
      <c r="AM69" s="112"/>
      <c r="AN69" s="80"/>
      <c r="AO69" s="12"/>
      <c r="AP69" s="10"/>
      <c r="AQ69" s="10"/>
      <c r="AR69" s="12"/>
      <c r="AS69" s="12"/>
      <c r="AT69" s="13"/>
      <c r="AU69" s="12"/>
      <c r="AV69" s="10"/>
      <c r="AW69" s="10"/>
      <c r="AX69" s="12"/>
      <c r="AY69" s="12"/>
      <c r="AZ69" s="32"/>
      <c r="BA69" s="12"/>
      <c r="BB69" s="10"/>
      <c r="BC69" s="10"/>
      <c r="BD69" s="12"/>
      <c r="BE69" s="12"/>
      <c r="BF69" s="48"/>
      <c r="BG69" s="12"/>
      <c r="BH69" s="10"/>
      <c r="BI69" s="10"/>
      <c r="BJ69" s="33"/>
      <c r="BK69" s="33"/>
      <c r="BL69" s="48"/>
      <c r="BM69" s="12"/>
      <c r="BN69" s="10"/>
      <c r="BO69" s="10"/>
      <c r="BP69" s="33"/>
      <c r="BQ69" s="33"/>
      <c r="BR69" s="48"/>
      <c r="BS69" s="12"/>
      <c r="BT69" s="10"/>
      <c r="BU69" s="10"/>
      <c r="BV69" s="33"/>
      <c r="BW69" s="33"/>
      <c r="BX69" s="48"/>
      <c r="BY69" s="12"/>
      <c r="BZ69" s="10"/>
      <c r="CA69" s="10"/>
      <c r="CB69" s="33"/>
      <c r="CC69" s="33"/>
      <c r="CD69" s="48"/>
      <c r="CE69" s="12"/>
    </row>
    <row r="70" spans="1:83" ht="80.25" customHeight="1">
      <c r="A70" s="20"/>
      <c r="B70" s="28"/>
      <c r="C70" s="30"/>
      <c r="D70" s="134"/>
      <c r="H70" s="29"/>
      <c r="I70" s="11"/>
      <c r="J70" s="56"/>
      <c r="K70" s="33"/>
      <c r="L70" s="10"/>
      <c r="M70" s="10"/>
      <c r="N70" s="33"/>
      <c r="O70" s="33"/>
      <c r="P70" s="56"/>
      <c r="Q70" s="33"/>
      <c r="R70" s="56"/>
      <c r="S70" s="56"/>
      <c r="T70" s="33"/>
      <c r="U70" s="33"/>
      <c r="V70" s="56"/>
      <c r="W70" s="33"/>
      <c r="X70" s="56"/>
      <c r="Y70" s="56"/>
      <c r="Z70" s="33"/>
      <c r="AA70" s="33"/>
      <c r="AB70" s="146"/>
      <c r="AC70" s="117"/>
      <c r="AD70" s="10"/>
      <c r="AE70" s="10"/>
      <c r="AF70" s="117"/>
      <c r="AG70" s="118"/>
      <c r="AH70" s="80"/>
      <c r="AI70" s="127"/>
      <c r="AJ70" s="111"/>
      <c r="AK70" s="111"/>
      <c r="AL70" s="112"/>
      <c r="AM70" s="112"/>
      <c r="AN70" s="80"/>
      <c r="AO70" s="12"/>
      <c r="AP70" s="10"/>
      <c r="AQ70" s="10"/>
      <c r="AR70" s="12"/>
      <c r="AS70" s="12"/>
      <c r="AT70" s="13"/>
      <c r="AU70" s="12"/>
      <c r="AV70" s="10"/>
      <c r="AW70" s="10"/>
      <c r="AX70" s="12"/>
      <c r="AY70" s="12"/>
      <c r="AZ70" s="32"/>
      <c r="BA70" s="12"/>
      <c r="BB70" s="10"/>
      <c r="BC70" s="10"/>
      <c r="BD70" s="12"/>
      <c r="BE70" s="12"/>
      <c r="BF70" s="48"/>
      <c r="BG70" s="12"/>
      <c r="BH70" s="10"/>
      <c r="BI70" s="10"/>
      <c r="BJ70" s="33"/>
      <c r="BK70" s="33"/>
      <c r="BL70" s="48"/>
      <c r="BM70" s="12"/>
      <c r="BN70" s="10"/>
      <c r="BO70" s="10"/>
      <c r="BP70" s="33"/>
      <c r="BQ70" s="33"/>
      <c r="BR70" s="48"/>
      <c r="BS70" s="12"/>
      <c r="BT70" s="10"/>
      <c r="BU70" s="10"/>
      <c r="BV70" s="33"/>
      <c r="BW70" s="33"/>
      <c r="BX70" s="48"/>
      <c r="BY70" s="12"/>
      <c r="BZ70" s="10"/>
      <c r="CA70" s="10"/>
      <c r="CB70" s="33"/>
      <c r="CC70" s="33"/>
      <c r="CD70" s="48"/>
      <c r="CE70" s="12"/>
    </row>
    <row r="71" spans="1:83" ht="80.25" customHeight="1">
      <c r="A71" s="20"/>
      <c r="B71" s="28"/>
      <c r="C71" s="27"/>
      <c r="D71" s="35"/>
      <c r="H71" s="29"/>
      <c r="I71" s="11"/>
      <c r="J71" s="56"/>
      <c r="K71" s="33"/>
      <c r="L71" s="10"/>
      <c r="M71" s="10"/>
      <c r="N71" s="33"/>
      <c r="O71" s="33"/>
      <c r="P71" s="56"/>
      <c r="Q71" s="33"/>
      <c r="R71" s="56"/>
      <c r="S71" s="56"/>
      <c r="T71" s="33"/>
      <c r="U71" s="33"/>
      <c r="V71" s="56"/>
      <c r="W71" s="33"/>
      <c r="X71" s="56"/>
      <c r="Y71" s="56"/>
      <c r="Z71" s="33"/>
      <c r="AA71" s="33"/>
      <c r="AB71" s="146"/>
      <c r="AC71" s="117"/>
      <c r="AD71" s="10"/>
      <c r="AE71" s="10"/>
      <c r="AF71" s="117"/>
      <c r="AG71" s="118"/>
      <c r="AH71" s="80"/>
      <c r="AI71" s="127"/>
      <c r="AJ71" s="111"/>
      <c r="AK71" s="111"/>
      <c r="AL71" s="112"/>
      <c r="AM71" s="112"/>
      <c r="AN71" s="80"/>
      <c r="AO71" s="12"/>
      <c r="AP71" s="10"/>
      <c r="AQ71" s="10"/>
      <c r="AR71" s="12"/>
      <c r="AS71" s="12"/>
      <c r="AT71" s="13"/>
      <c r="AU71" s="12"/>
      <c r="AV71" s="10"/>
      <c r="AW71" s="10"/>
      <c r="AX71" s="12"/>
      <c r="AY71" s="12"/>
      <c r="AZ71" s="32"/>
      <c r="BA71" s="12"/>
      <c r="BB71" s="10"/>
      <c r="BC71" s="10"/>
      <c r="BD71" s="12"/>
      <c r="BE71" s="12"/>
      <c r="BF71" s="48"/>
      <c r="BG71" s="12"/>
      <c r="BH71" s="10"/>
      <c r="BI71" s="10"/>
      <c r="BJ71" s="33"/>
      <c r="BK71" s="33"/>
      <c r="BL71" s="48"/>
      <c r="BM71" s="12"/>
      <c r="BN71" s="10"/>
      <c r="BO71" s="10"/>
      <c r="BP71" s="33"/>
      <c r="BQ71" s="33"/>
      <c r="BR71" s="48"/>
      <c r="BS71" s="12"/>
      <c r="BT71" s="10"/>
      <c r="BU71" s="10"/>
      <c r="BV71" s="33"/>
      <c r="BW71" s="33"/>
      <c r="BX71" s="48"/>
      <c r="BY71" s="12"/>
      <c r="BZ71" s="10"/>
      <c r="CA71" s="10"/>
      <c r="CB71" s="33"/>
      <c r="CC71" s="33"/>
      <c r="CD71" s="48"/>
      <c r="CE71" s="12"/>
    </row>
    <row r="72" spans="1:83" ht="80.25" customHeight="1">
      <c r="A72" s="20"/>
      <c r="B72" s="28"/>
      <c r="C72" s="30"/>
      <c r="D72" s="134"/>
      <c r="H72" s="29"/>
      <c r="I72" s="11"/>
      <c r="J72" s="56"/>
      <c r="K72" s="33"/>
      <c r="L72" s="10"/>
      <c r="M72" s="10"/>
      <c r="N72" s="33"/>
      <c r="O72" s="33"/>
      <c r="P72" s="56"/>
      <c r="Q72" s="33"/>
      <c r="R72" s="56"/>
      <c r="S72" s="56"/>
      <c r="T72" s="33"/>
      <c r="U72" s="33"/>
      <c r="V72" s="56"/>
      <c r="W72" s="33"/>
      <c r="X72" s="56"/>
      <c r="Y72" s="56"/>
      <c r="Z72" s="33"/>
      <c r="AA72" s="33"/>
      <c r="AB72" s="146"/>
      <c r="AC72" s="117"/>
      <c r="AD72" s="10"/>
      <c r="AE72" s="10"/>
      <c r="AF72" s="117"/>
      <c r="AG72" s="118"/>
      <c r="AH72" s="80"/>
      <c r="AI72" s="127"/>
      <c r="AJ72" s="111"/>
      <c r="AK72" s="111"/>
      <c r="AL72" s="112"/>
      <c r="AM72" s="112"/>
      <c r="AN72" s="80"/>
      <c r="AO72" s="12"/>
      <c r="AP72" s="10"/>
      <c r="AQ72" s="10"/>
      <c r="AR72" s="12"/>
      <c r="AS72" s="12"/>
      <c r="AT72" s="13"/>
      <c r="AU72" s="12"/>
      <c r="AV72" s="10"/>
      <c r="AW72" s="10"/>
      <c r="AX72" s="12"/>
      <c r="AY72" s="12"/>
      <c r="AZ72" s="32"/>
      <c r="BA72" s="12"/>
      <c r="BB72" s="10"/>
      <c r="BC72" s="10"/>
      <c r="BD72" s="12"/>
      <c r="BE72" s="12"/>
      <c r="BF72" s="48"/>
      <c r="BG72" s="12"/>
      <c r="BH72" s="10"/>
      <c r="BI72" s="10"/>
      <c r="BJ72" s="33"/>
      <c r="BK72" s="33"/>
      <c r="BL72" s="48"/>
      <c r="BM72" s="12"/>
      <c r="BN72" s="10"/>
      <c r="BO72" s="10"/>
      <c r="BP72" s="33"/>
      <c r="BQ72" s="33"/>
      <c r="BR72" s="48"/>
      <c r="BS72" s="12"/>
      <c r="BT72" s="10"/>
      <c r="BU72" s="10"/>
      <c r="BV72" s="33"/>
      <c r="BW72" s="33"/>
      <c r="BX72" s="48"/>
      <c r="BY72" s="12"/>
      <c r="BZ72" s="10"/>
      <c r="CA72" s="10"/>
      <c r="CB72" s="33"/>
      <c r="CC72" s="33"/>
      <c r="CD72" s="48"/>
      <c r="CE72" s="12"/>
    </row>
    <row r="73" spans="1:83" ht="80.25" customHeight="1">
      <c r="A73" s="20"/>
      <c r="B73" s="28"/>
      <c r="C73" s="27"/>
      <c r="D73" s="35"/>
      <c r="H73" s="29"/>
      <c r="I73" s="11"/>
      <c r="J73" s="56"/>
      <c r="K73" s="33"/>
      <c r="L73" s="10"/>
      <c r="M73" s="10"/>
      <c r="N73" s="33"/>
      <c r="O73" s="33"/>
      <c r="P73" s="56"/>
      <c r="Q73" s="33"/>
      <c r="R73" s="56"/>
      <c r="S73" s="56"/>
      <c r="T73" s="33"/>
      <c r="U73" s="33"/>
      <c r="V73" s="56"/>
      <c r="W73" s="33"/>
      <c r="X73" s="56"/>
      <c r="Y73" s="56"/>
      <c r="Z73" s="33"/>
      <c r="AA73" s="33"/>
      <c r="AB73" s="146"/>
      <c r="AC73" s="117"/>
      <c r="AD73" s="10"/>
      <c r="AE73" s="10"/>
      <c r="AF73" s="117"/>
      <c r="AG73" s="118"/>
      <c r="AH73" s="80"/>
      <c r="AI73" s="127"/>
      <c r="AJ73" s="111"/>
      <c r="AK73" s="111"/>
      <c r="AL73" s="112"/>
      <c r="AM73" s="112"/>
      <c r="AN73" s="80"/>
      <c r="AO73" s="12"/>
      <c r="AP73" s="10"/>
      <c r="AQ73" s="10"/>
      <c r="AR73" s="12"/>
      <c r="AS73" s="12"/>
      <c r="AT73" s="13"/>
      <c r="AU73" s="12"/>
      <c r="AV73" s="10"/>
      <c r="AW73" s="10"/>
      <c r="AX73" s="12"/>
      <c r="AY73" s="12"/>
      <c r="AZ73" s="32"/>
      <c r="BA73" s="12"/>
      <c r="BB73" s="10"/>
      <c r="BC73" s="10"/>
      <c r="BD73" s="12"/>
      <c r="BE73" s="12"/>
      <c r="BF73" s="48"/>
      <c r="BG73" s="12"/>
      <c r="BH73" s="10"/>
      <c r="BI73" s="10"/>
      <c r="BJ73" s="33"/>
      <c r="BK73" s="33"/>
      <c r="BL73" s="48"/>
      <c r="BM73" s="12"/>
      <c r="BN73" s="10"/>
      <c r="BO73" s="10"/>
      <c r="BP73" s="33"/>
      <c r="BQ73" s="33"/>
      <c r="BR73" s="48"/>
      <c r="BS73" s="12"/>
      <c r="BT73" s="10"/>
      <c r="BU73" s="10"/>
      <c r="BV73" s="33"/>
      <c r="BW73" s="33"/>
      <c r="BX73" s="48"/>
      <c r="BY73" s="12"/>
      <c r="BZ73" s="10"/>
      <c r="CA73" s="10"/>
      <c r="CB73" s="33"/>
      <c r="CC73" s="33"/>
      <c r="CD73" s="48"/>
      <c r="CE73" s="12"/>
    </row>
    <row r="74" spans="1:83" ht="80.25" customHeight="1">
      <c r="A74" s="20"/>
      <c r="B74" s="28"/>
      <c r="C74" s="30"/>
      <c r="D74" s="134"/>
      <c r="H74" s="29"/>
      <c r="I74" s="11"/>
      <c r="J74" s="56"/>
      <c r="K74" s="33"/>
      <c r="L74" s="10"/>
      <c r="M74" s="10"/>
      <c r="N74" s="33"/>
      <c r="O74" s="33"/>
      <c r="P74" s="56"/>
      <c r="Q74" s="33"/>
      <c r="R74" s="56"/>
      <c r="S74" s="56"/>
      <c r="T74" s="33"/>
      <c r="U74" s="33"/>
      <c r="V74" s="56"/>
      <c r="W74" s="33"/>
      <c r="X74" s="56"/>
      <c r="Y74" s="56"/>
      <c r="Z74" s="33"/>
      <c r="AA74" s="33"/>
      <c r="AB74" s="146"/>
      <c r="AC74" s="117"/>
      <c r="AD74" s="10"/>
      <c r="AE74" s="10"/>
      <c r="AF74" s="117"/>
      <c r="AG74" s="118"/>
      <c r="AH74" s="80"/>
      <c r="AI74" s="127"/>
      <c r="AJ74" s="111"/>
      <c r="AK74" s="111"/>
      <c r="AL74" s="112"/>
      <c r="AM74" s="112"/>
      <c r="AN74" s="80"/>
      <c r="AO74" s="12"/>
      <c r="AP74" s="10"/>
      <c r="AQ74" s="10"/>
      <c r="AR74" s="12"/>
      <c r="AS74" s="12"/>
      <c r="AT74" s="13"/>
      <c r="AU74" s="12"/>
      <c r="AV74" s="10"/>
      <c r="AW74" s="10"/>
      <c r="AX74" s="12"/>
      <c r="AY74" s="12"/>
      <c r="AZ74" s="32"/>
      <c r="BA74" s="12"/>
      <c r="BB74" s="10"/>
      <c r="BC74" s="10"/>
      <c r="BD74" s="12"/>
      <c r="BE74" s="12"/>
      <c r="BF74" s="48"/>
      <c r="BG74" s="12"/>
      <c r="BH74" s="10"/>
      <c r="BI74" s="10"/>
      <c r="BJ74" s="33"/>
      <c r="BK74" s="33"/>
      <c r="BL74" s="48"/>
      <c r="BM74" s="12"/>
      <c r="BN74" s="10"/>
      <c r="BO74" s="10"/>
      <c r="BP74" s="33"/>
      <c r="BQ74" s="33"/>
      <c r="BR74" s="48"/>
      <c r="BS74" s="12"/>
      <c r="BT74" s="10"/>
      <c r="BU74" s="10"/>
      <c r="BV74" s="33"/>
      <c r="BW74" s="33"/>
      <c r="BX74" s="48"/>
      <c r="BY74" s="12"/>
      <c r="BZ74" s="10"/>
      <c r="CA74" s="10"/>
      <c r="CB74" s="33"/>
      <c r="CC74" s="33"/>
      <c r="CD74" s="48"/>
      <c r="CE74" s="12"/>
    </row>
    <row r="75" spans="1:83" ht="80.25" customHeight="1">
      <c r="A75" s="20"/>
      <c r="B75" s="28"/>
      <c r="C75" s="27"/>
      <c r="D75" s="35"/>
      <c r="H75" s="29"/>
      <c r="I75" s="11"/>
      <c r="J75" s="56"/>
      <c r="K75" s="33"/>
      <c r="L75" s="10"/>
      <c r="M75" s="10"/>
      <c r="N75" s="33"/>
      <c r="O75" s="33"/>
      <c r="P75" s="56"/>
      <c r="Q75" s="33"/>
      <c r="R75" s="56"/>
      <c r="S75" s="56"/>
      <c r="T75" s="33"/>
      <c r="U75" s="33"/>
      <c r="V75" s="56"/>
      <c r="W75" s="33"/>
      <c r="X75" s="56"/>
      <c r="Y75" s="56"/>
      <c r="Z75" s="33"/>
      <c r="AA75" s="33"/>
      <c r="AB75" s="146"/>
      <c r="AC75" s="117"/>
      <c r="AD75" s="10"/>
      <c r="AE75" s="10"/>
      <c r="AF75" s="117"/>
      <c r="AG75" s="118"/>
      <c r="AH75" s="80"/>
      <c r="AI75" s="127"/>
      <c r="AJ75" s="111"/>
      <c r="AK75" s="111"/>
      <c r="AL75" s="112"/>
      <c r="AM75" s="112"/>
      <c r="AN75" s="80"/>
      <c r="AO75" s="12"/>
      <c r="AP75" s="10"/>
      <c r="AQ75" s="10"/>
      <c r="AR75" s="12"/>
      <c r="AS75" s="12"/>
      <c r="AT75" s="13"/>
      <c r="AU75" s="12"/>
      <c r="AV75" s="10"/>
      <c r="AW75" s="10"/>
      <c r="AX75" s="12"/>
      <c r="AY75" s="12"/>
      <c r="AZ75" s="32"/>
      <c r="BA75" s="12"/>
      <c r="BB75" s="10"/>
      <c r="BC75" s="10"/>
      <c r="BD75" s="12"/>
      <c r="BE75" s="12"/>
      <c r="BF75" s="48"/>
      <c r="BG75" s="12"/>
      <c r="BH75" s="10"/>
      <c r="BI75" s="10"/>
      <c r="BJ75" s="33"/>
      <c r="BK75" s="33"/>
      <c r="BL75" s="48"/>
      <c r="BM75" s="12"/>
      <c r="BN75" s="10"/>
      <c r="BO75" s="10"/>
      <c r="BP75" s="33"/>
      <c r="BQ75" s="33"/>
      <c r="BR75" s="48"/>
      <c r="BS75" s="12"/>
      <c r="BT75" s="10"/>
      <c r="BU75" s="10"/>
      <c r="BV75" s="33"/>
      <c r="BW75" s="33"/>
      <c r="BX75" s="48"/>
      <c r="BY75" s="12"/>
      <c r="BZ75" s="10"/>
      <c r="CA75" s="10"/>
      <c r="CB75" s="33"/>
      <c r="CC75" s="33"/>
      <c r="CD75" s="48"/>
      <c r="CE75" s="12"/>
    </row>
    <row r="76" spans="1:83" ht="80.25" customHeight="1">
      <c r="A76" s="20"/>
      <c r="B76" s="28"/>
      <c r="C76" s="30"/>
      <c r="D76" s="134"/>
      <c r="H76" s="29"/>
      <c r="I76" s="11"/>
      <c r="J76" s="56"/>
      <c r="K76" s="33"/>
      <c r="L76" s="10"/>
      <c r="M76" s="10"/>
      <c r="N76" s="33"/>
      <c r="O76" s="33"/>
      <c r="P76" s="56"/>
      <c r="Q76" s="33"/>
      <c r="R76" s="56"/>
      <c r="S76" s="56"/>
      <c r="T76" s="33"/>
      <c r="U76" s="33"/>
      <c r="V76" s="56"/>
      <c r="W76" s="33"/>
      <c r="X76" s="56"/>
      <c r="Y76" s="56"/>
      <c r="Z76" s="33"/>
      <c r="AA76" s="33"/>
      <c r="AB76" s="146"/>
      <c r="AC76" s="117"/>
      <c r="AD76" s="10"/>
      <c r="AE76" s="10"/>
      <c r="AF76" s="117"/>
      <c r="AG76" s="118"/>
      <c r="AH76" s="80"/>
      <c r="AI76" s="127"/>
      <c r="AJ76" s="111"/>
      <c r="AK76" s="111"/>
      <c r="AL76" s="112"/>
      <c r="AM76" s="112"/>
      <c r="AN76" s="80"/>
      <c r="AO76" s="12"/>
      <c r="AP76" s="10"/>
      <c r="AQ76" s="10"/>
      <c r="AR76" s="12"/>
      <c r="AS76" s="12"/>
      <c r="AT76" s="13"/>
      <c r="AU76" s="12"/>
      <c r="AV76" s="10"/>
      <c r="AW76" s="10"/>
      <c r="AX76" s="12"/>
      <c r="AY76" s="12"/>
      <c r="AZ76" s="32"/>
      <c r="BA76" s="12"/>
      <c r="BB76" s="10"/>
      <c r="BC76" s="10"/>
      <c r="BD76" s="12"/>
      <c r="BE76" s="12"/>
      <c r="BF76" s="48"/>
      <c r="BG76" s="12"/>
      <c r="BH76" s="10"/>
      <c r="BI76" s="10"/>
      <c r="BJ76" s="33"/>
      <c r="BK76" s="33"/>
      <c r="BL76" s="48"/>
      <c r="BM76" s="12"/>
      <c r="BN76" s="10"/>
      <c r="BO76" s="10"/>
      <c r="BP76" s="33"/>
      <c r="BQ76" s="33"/>
      <c r="BR76" s="48"/>
      <c r="BS76" s="12"/>
      <c r="BT76" s="10"/>
      <c r="BU76" s="10"/>
      <c r="BV76" s="33"/>
      <c r="BW76" s="33"/>
      <c r="BX76" s="48"/>
      <c r="BY76" s="12"/>
      <c r="BZ76" s="10"/>
      <c r="CA76" s="10"/>
      <c r="CB76" s="33"/>
      <c r="CC76" s="33"/>
      <c r="CD76" s="48"/>
      <c r="CE76" s="12"/>
    </row>
    <row r="77" spans="1:83" ht="80.25" customHeight="1">
      <c r="A77" s="20"/>
      <c r="B77" s="28"/>
      <c r="C77" s="30"/>
      <c r="D77" s="134"/>
      <c r="H77" s="29"/>
      <c r="I77" s="11"/>
      <c r="J77" s="56"/>
      <c r="K77" s="33"/>
      <c r="L77" s="10"/>
      <c r="M77" s="10"/>
      <c r="N77" s="33"/>
      <c r="O77" s="33"/>
      <c r="P77" s="56"/>
      <c r="Q77" s="33"/>
      <c r="R77" s="56"/>
      <c r="S77" s="56"/>
      <c r="T77" s="33"/>
      <c r="U77" s="33"/>
      <c r="V77" s="56"/>
      <c r="W77" s="33"/>
      <c r="X77" s="56"/>
      <c r="Y77" s="56"/>
      <c r="Z77" s="33"/>
      <c r="AA77" s="33"/>
      <c r="AB77" s="146"/>
      <c r="AC77" s="117"/>
      <c r="AD77" s="10"/>
      <c r="AE77" s="10"/>
      <c r="AF77" s="117"/>
      <c r="AG77" s="118"/>
      <c r="AH77" s="80"/>
      <c r="AI77" s="127"/>
      <c r="AJ77" s="111"/>
      <c r="AK77" s="111"/>
      <c r="AL77" s="112"/>
      <c r="AM77" s="112"/>
      <c r="AN77" s="80"/>
      <c r="AO77" s="12"/>
      <c r="AP77" s="10"/>
      <c r="AQ77" s="10"/>
      <c r="AR77" s="12"/>
      <c r="AS77" s="12"/>
      <c r="AT77" s="13"/>
      <c r="AU77" s="12"/>
      <c r="AV77" s="10"/>
      <c r="AW77" s="10"/>
      <c r="AX77" s="12"/>
      <c r="AY77" s="12"/>
      <c r="AZ77" s="32"/>
      <c r="BA77" s="12"/>
      <c r="BB77" s="10"/>
      <c r="BC77" s="10"/>
      <c r="BD77" s="12"/>
      <c r="BE77" s="12"/>
      <c r="BF77" s="48"/>
      <c r="BG77" s="12"/>
      <c r="BH77" s="10"/>
      <c r="BI77" s="10"/>
      <c r="BJ77" s="33"/>
      <c r="BK77" s="33"/>
      <c r="BL77" s="48"/>
      <c r="BM77" s="12"/>
      <c r="BN77" s="10"/>
      <c r="BO77" s="10"/>
      <c r="BP77" s="33"/>
      <c r="BQ77" s="33"/>
      <c r="BR77" s="48"/>
      <c r="BS77" s="12"/>
      <c r="BT77" s="10"/>
      <c r="BU77" s="10"/>
      <c r="BV77" s="33"/>
      <c r="BW77" s="33"/>
      <c r="BX77" s="48"/>
      <c r="BY77" s="12"/>
      <c r="BZ77" s="10"/>
      <c r="CA77" s="10"/>
      <c r="CB77" s="33"/>
      <c r="CC77" s="33"/>
      <c r="CD77" s="48"/>
      <c r="CE77" s="12"/>
    </row>
    <row r="78" spans="1:83" ht="80.25" customHeight="1">
      <c r="A78" s="20"/>
      <c r="B78" s="28"/>
      <c r="C78" s="30"/>
      <c r="D78" s="134"/>
      <c r="H78" s="29"/>
      <c r="I78" s="11"/>
      <c r="J78" s="56"/>
      <c r="K78" s="33"/>
      <c r="L78" s="10"/>
      <c r="M78" s="10"/>
      <c r="N78" s="33"/>
      <c r="O78" s="33"/>
      <c r="P78" s="56"/>
      <c r="Q78" s="33"/>
      <c r="R78" s="56"/>
      <c r="S78" s="56"/>
      <c r="T78" s="33"/>
      <c r="U78" s="33"/>
      <c r="V78" s="56"/>
      <c r="W78" s="33"/>
      <c r="X78" s="56"/>
      <c r="Y78" s="56"/>
      <c r="Z78" s="33"/>
      <c r="AA78" s="33"/>
      <c r="AB78" s="146"/>
      <c r="AC78" s="117"/>
      <c r="AD78" s="10"/>
      <c r="AE78" s="10"/>
      <c r="AF78" s="117"/>
      <c r="AG78" s="118"/>
      <c r="AH78" s="80"/>
      <c r="AI78" s="127"/>
      <c r="AJ78" s="111"/>
      <c r="AK78" s="111"/>
      <c r="AL78" s="112"/>
      <c r="AM78" s="112"/>
      <c r="AN78" s="80"/>
      <c r="AO78" s="12"/>
      <c r="AP78" s="10"/>
      <c r="AQ78" s="10"/>
      <c r="AR78" s="12"/>
      <c r="AS78" s="12"/>
      <c r="AT78" s="13"/>
      <c r="AU78" s="12"/>
      <c r="AV78" s="10"/>
      <c r="AW78" s="10"/>
      <c r="AX78" s="12"/>
      <c r="AY78" s="12"/>
      <c r="AZ78" s="32"/>
      <c r="BA78" s="12"/>
      <c r="BB78" s="10"/>
      <c r="BC78" s="10"/>
      <c r="BD78" s="12"/>
      <c r="BE78" s="12"/>
      <c r="BF78" s="48"/>
      <c r="BG78" s="12"/>
      <c r="BH78" s="10"/>
      <c r="BI78" s="10"/>
      <c r="BJ78" s="33"/>
      <c r="BK78" s="33"/>
      <c r="BL78" s="48"/>
      <c r="BM78" s="12"/>
      <c r="BN78" s="10"/>
      <c r="BO78" s="10"/>
      <c r="BP78" s="33"/>
      <c r="BQ78" s="33"/>
      <c r="BR78" s="48"/>
      <c r="BS78" s="12"/>
      <c r="BT78" s="10"/>
      <c r="BU78" s="10"/>
      <c r="BV78" s="33"/>
      <c r="BW78" s="33"/>
      <c r="BX78" s="48"/>
      <c r="BY78" s="12"/>
      <c r="BZ78" s="10"/>
      <c r="CA78" s="10"/>
      <c r="CB78" s="33"/>
      <c r="CC78" s="33"/>
      <c r="CD78" s="48"/>
      <c r="CE78" s="12"/>
    </row>
    <row r="79" spans="1:83" ht="80.25" customHeight="1">
      <c r="A79" s="20"/>
      <c r="B79" s="28"/>
      <c r="C79" s="30"/>
      <c r="D79" s="134"/>
      <c r="H79" s="29"/>
      <c r="I79" s="11"/>
      <c r="J79" s="56"/>
      <c r="K79" s="33"/>
      <c r="L79" s="10"/>
      <c r="M79" s="10"/>
      <c r="N79" s="33"/>
      <c r="O79" s="33"/>
      <c r="P79" s="56"/>
      <c r="Q79" s="33"/>
      <c r="R79" s="56"/>
      <c r="S79" s="56"/>
      <c r="T79" s="33"/>
      <c r="U79" s="33"/>
      <c r="V79" s="56"/>
      <c r="W79" s="33"/>
      <c r="X79" s="56"/>
      <c r="Y79" s="56"/>
      <c r="Z79" s="33"/>
      <c r="AA79" s="33"/>
      <c r="AB79" s="146"/>
      <c r="AC79" s="117"/>
      <c r="AD79" s="10"/>
      <c r="AE79" s="10"/>
      <c r="AF79" s="117"/>
      <c r="AG79" s="118"/>
      <c r="AH79" s="80"/>
      <c r="AI79" s="127"/>
      <c r="AJ79" s="111"/>
      <c r="AK79" s="111"/>
      <c r="AL79" s="112"/>
      <c r="AM79" s="112"/>
      <c r="AN79" s="80"/>
      <c r="AO79" s="12"/>
      <c r="AP79" s="10"/>
      <c r="AQ79" s="10"/>
      <c r="AR79" s="12"/>
      <c r="AS79" s="12"/>
      <c r="AT79" s="13"/>
      <c r="AU79" s="12"/>
      <c r="AV79" s="10"/>
      <c r="AW79" s="10"/>
      <c r="AX79" s="12"/>
      <c r="AY79" s="12"/>
      <c r="AZ79" s="32"/>
      <c r="BA79" s="12"/>
      <c r="BB79" s="10"/>
      <c r="BC79" s="10"/>
      <c r="BD79" s="12"/>
      <c r="BE79" s="12"/>
      <c r="BF79" s="48"/>
      <c r="BG79" s="12"/>
      <c r="BH79" s="10"/>
      <c r="BI79" s="10"/>
      <c r="BJ79" s="33"/>
      <c r="BK79" s="33"/>
      <c r="BL79" s="48"/>
      <c r="BM79" s="12"/>
      <c r="BN79" s="10"/>
      <c r="BO79" s="10"/>
      <c r="BP79" s="33"/>
      <c r="BQ79" s="33"/>
      <c r="BR79" s="48"/>
      <c r="BS79" s="12"/>
      <c r="BT79" s="10"/>
      <c r="BU79" s="10"/>
      <c r="BV79" s="33"/>
      <c r="BW79" s="33"/>
      <c r="BX79" s="48"/>
      <c r="BY79" s="12"/>
      <c r="BZ79" s="10"/>
      <c r="CA79" s="10"/>
      <c r="CB79" s="33"/>
      <c r="CC79" s="33"/>
      <c r="CD79" s="48"/>
      <c r="CE79" s="12"/>
    </row>
    <row r="80" spans="1:83" ht="80.25" customHeight="1">
      <c r="A80" s="20"/>
      <c r="B80" s="28"/>
      <c r="C80" s="30"/>
      <c r="D80" s="134"/>
      <c r="H80" s="29"/>
      <c r="I80" s="11"/>
      <c r="J80" s="56"/>
      <c r="K80" s="33"/>
      <c r="L80" s="10"/>
      <c r="M80" s="10"/>
      <c r="N80" s="33"/>
      <c r="O80" s="33"/>
      <c r="P80" s="56"/>
      <c r="Q80" s="33"/>
      <c r="R80" s="56"/>
      <c r="S80" s="56"/>
      <c r="T80" s="33"/>
      <c r="U80" s="33"/>
      <c r="V80" s="56"/>
      <c r="W80" s="33"/>
      <c r="X80" s="56"/>
      <c r="Y80" s="56"/>
      <c r="Z80" s="33"/>
      <c r="AA80" s="33"/>
      <c r="AB80" s="146"/>
      <c r="AC80" s="117"/>
      <c r="AD80" s="10"/>
      <c r="AE80" s="10"/>
      <c r="AF80" s="117"/>
      <c r="AG80" s="118"/>
      <c r="AH80" s="80"/>
      <c r="AI80" s="127"/>
      <c r="AJ80" s="111"/>
      <c r="AK80" s="111"/>
      <c r="AL80" s="112"/>
      <c r="AM80" s="112"/>
      <c r="AN80" s="80"/>
      <c r="AO80" s="12"/>
      <c r="AP80" s="10"/>
      <c r="AQ80" s="10"/>
      <c r="AR80" s="12"/>
      <c r="AS80" s="12"/>
      <c r="AT80" s="13"/>
      <c r="AU80" s="12"/>
      <c r="AV80" s="10"/>
      <c r="AW80" s="10"/>
      <c r="AX80" s="12"/>
      <c r="AY80" s="12"/>
      <c r="AZ80" s="32"/>
      <c r="BA80" s="12"/>
      <c r="BB80" s="10"/>
      <c r="BC80" s="10"/>
      <c r="BD80" s="12"/>
      <c r="BE80" s="12"/>
      <c r="BF80" s="48"/>
      <c r="BG80" s="12"/>
      <c r="BH80" s="10"/>
      <c r="BI80" s="10"/>
      <c r="BJ80" s="33"/>
      <c r="BK80" s="33"/>
      <c r="BL80" s="48"/>
      <c r="BM80" s="12"/>
      <c r="BN80" s="10"/>
      <c r="BO80" s="10"/>
      <c r="BP80" s="33"/>
      <c r="BQ80" s="33"/>
      <c r="BR80" s="48"/>
      <c r="BS80" s="12"/>
      <c r="BT80" s="10"/>
      <c r="BU80" s="10"/>
      <c r="BV80" s="33"/>
      <c r="BW80" s="33"/>
      <c r="BX80" s="48"/>
      <c r="BY80" s="12"/>
      <c r="BZ80" s="10"/>
      <c r="CA80" s="10"/>
      <c r="CB80" s="33"/>
      <c r="CC80" s="33"/>
      <c r="CD80" s="48"/>
      <c r="CE80" s="12"/>
    </row>
    <row r="81" spans="1:83" ht="80.25" customHeight="1">
      <c r="A81" s="28"/>
      <c r="B81" s="28"/>
      <c r="C81" s="28"/>
      <c r="D81" s="135"/>
      <c r="H81" s="28"/>
      <c r="I81" s="72"/>
      <c r="J81" s="56"/>
      <c r="K81" s="33"/>
      <c r="L81" s="56"/>
      <c r="M81" s="56"/>
      <c r="N81" s="33"/>
      <c r="O81" s="33"/>
      <c r="P81" s="56"/>
      <c r="Q81" s="33"/>
      <c r="R81" s="56"/>
      <c r="S81" s="56"/>
      <c r="T81" s="33"/>
      <c r="U81" s="33"/>
      <c r="V81" s="56"/>
      <c r="W81" s="33"/>
      <c r="X81" s="56"/>
      <c r="Y81" s="56"/>
      <c r="Z81" s="33"/>
      <c r="AA81" s="33"/>
      <c r="AB81" s="76"/>
      <c r="AC81" s="117"/>
      <c r="AD81" s="56"/>
      <c r="AE81" s="56"/>
      <c r="AF81" s="117"/>
      <c r="AG81" s="118"/>
      <c r="AH81" s="80"/>
      <c r="AI81" s="127"/>
      <c r="AJ81" s="111"/>
      <c r="AK81" s="111"/>
      <c r="AL81" s="112"/>
      <c r="AM81" s="112"/>
      <c r="AN81" s="80"/>
      <c r="AO81" s="12"/>
      <c r="AP81" s="10"/>
      <c r="AQ81" s="10"/>
      <c r="AR81" s="12"/>
      <c r="AS81" s="12"/>
      <c r="AT81" s="13"/>
      <c r="AU81" s="12"/>
      <c r="AV81" s="10"/>
      <c r="AW81" s="10"/>
      <c r="AX81" s="12"/>
      <c r="AY81" s="12"/>
      <c r="AZ81" s="32"/>
      <c r="BA81" s="12"/>
      <c r="BB81" s="10"/>
      <c r="BC81" s="10"/>
      <c r="BD81" s="12"/>
      <c r="BE81" s="12"/>
      <c r="BF81" s="28"/>
      <c r="BG81" s="33"/>
      <c r="BH81" s="56"/>
      <c r="BI81" s="56"/>
      <c r="BJ81" s="33"/>
      <c r="BK81" s="33"/>
      <c r="BL81" s="28"/>
      <c r="BM81" s="33"/>
      <c r="BN81" s="56"/>
      <c r="BO81" s="56"/>
      <c r="BP81" s="33"/>
      <c r="BQ81" s="33"/>
      <c r="BR81" s="28"/>
      <c r="BS81" s="33"/>
      <c r="BT81" s="56"/>
      <c r="BU81" s="56"/>
      <c r="BV81" s="33"/>
      <c r="BW81" s="33"/>
      <c r="BX81" s="73"/>
      <c r="BY81" s="33"/>
      <c r="BZ81" s="56"/>
      <c r="CA81" s="56"/>
      <c r="CB81" s="33"/>
      <c r="CC81" s="33"/>
      <c r="CD81" s="28"/>
      <c r="CE81" s="33"/>
    </row>
    <row r="82" spans="1:83" ht="80.25" customHeight="1">
      <c r="A82" s="28"/>
      <c r="B82" s="28"/>
      <c r="C82" s="28"/>
      <c r="D82" s="135"/>
      <c r="H82" s="28"/>
      <c r="I82" s="72"/>
      <c r="J82" s="56"/>
      <c r="K82" s="33"/>
      <c r="L82" s="56"/>
      <c r="M82" s="56"/>
      <c r="N82" s="33"/>
      <c r="O82" s="33"/>
      <c r="P82" s="56"/>
      <c r="Q82" s="33"/>
      <c r="R82" s="56"/>
      <c r="S82" s="56"/>
      <c r="T82" s="33"/>
      <c r="U82" s="33"/>
      <c r="V82" s="56"/>
      <c r="W82" s="33"/>
      <c r="X82" s="56"/>
      <c r="Y82" s="56"/>
      <c r="Z82" s="33"/>
      <c r="AA82" s="33"/>
      <c r="AB82" s="76"/>
      <c r="AC82" s="117"/>
      <c r="AD82" s="56"/>
      <c r="AE82" s="56"/>
      <c r="AF82" s="117"/>
      <c r="AG82" s="118"/>
      <c r="AH82" s="80"/>
      <c r="AI82" s="127"/>
      <c r="AJ82" s="111"/>
      <c r="AK82" s="111"/>
      <c r="AL82" s="112"/>
      <c r="AM82" s="112"/>
      <c r="AN82" s="80"/>
      <c r="AO82" s="12"/>
      <c r="AP82" s="10"/>
      <c r="AQ82" s="10"/>
      <c r="AR82" s="12"/>
      <c r="AS82" s="12"/>
      <c r="AT82" s="13"/>
      <c r="AU82" s="12"/>
      <c r="AV82" s="10"/>
      <c r="AW82" s="10"/>
      <c r="AX82" s="12"/>
      <c r="AY82" s="12"/>
      <c r="AZ82" s="32"/>
      <c r="BA82" s="12"/>
      <c r="BB82" s="10"/>
      <c r="BC82" s="10"/>
      <c r="BD82" s="12"/>
      <c r="BE82" s="12"/>
      <c r="BF82" s="28"/>
      <c r="BG82" s="33"/>
      <c r="BH82" s="56"/>
      <c r="BI82" s="56"/>
      <c r="BJ82" s="33"/>
      <c r="BK82" s="33"/>
      <c r="BL82" s="28"/>
      <c r="BM82" s="33"/>
      <c r="BN82" s="56"/>
      <c r="BO82" s="56"/>
      <c r="BP82" s="33"/>
      <c r="BQ82" s="33"/>
      <c r="BR82" s="28"/>
      <c r="BS82" s="33"/>
      <c r="BT82" s="56"/>
      <c r="BU82" s="56"/>
      <c r="BV82" s="33"/>
      <c r="BW82" s="33"/>
      <c r="BX82" s="73"/>
      <c r="BY82" s="33"/>
      <c r="BZ82" s="56"/>
      <c r="CA82" s="56"/>
      <c r="CB82" s="33"/>
      <c r="CC82" s="33"/>
      <c r="CD82" s="28"/>
      <c r="CE82" s="33"/>
    </row>
    <row r="83" spans="1:83" ht="80.25" customHeight="1">
      <c r="A83" s="28"/>
      <c r="B83" s="28"/>
      <c r="C83" s="28"/>
      <c r="D83" s="135"/>
      <c r="H83" s="28"/>
      <c r="I83" s="72"/>
      <c r="J83" s="56"/>
      <c r="K83" s="33"/>
      <c r="L83" s="56"/>
      <c r="M83" s="56"/>
      <c r="N83" s="33"/>
      <c r="O83" s="33"/>
      <c r="P83" s="56"/>
      <c r="Q83" s="33"/>
      <c r="R83" s="56"/>
      <c r="S83" s="56"/>
      <c r="T83" s="33"/>
      <c r="U83" s="33"/>
      <c r="V83" s="56"/>
      <c r="W83" s="33"/>
      <c r="X83" s="56"/>
      <c r="Y83" s="56"/>
      <c r="Z83" s="33"/>
      <c r="AA83" s="33"/>
      <c r="AB83" s="76"/>
      <c r="AC83" s="117"/>
      <c r="AD83" s="56"/>
      <c r="AE83" s="56"/>
      <c r="AF83" s="117"/>
      <c r="AG83" s="118"/>
      <c r="AH83" s="80"/>
      <c r="AI83" s="127"/>
      <c r="AJ83" s="111"/>
      <c r="AK83" s="111"/>
      <c r="AL83" s="112"/>
      <c r="AM83" s="112"/>
      <c r="AN83" s="80"/>
      <c r="AO83" s="12"/>
      <c r="AP83" s="10"/>
      <c r="AQ83" s="10"/>
      <c r="AR83" s="12"/>
      <c r="AS83" s="12"/>
      <c r="AT83" s="13"/>
      <c r="AU83" s="12"/>
      <c r="AV83" s="10"/>
      <c r="AW83" s="10"/>
      <c r="AX83" s="12"/>
      <c r="AY83" s="12"/>
      <c r="AZ83" s="32"/>
      <c r="BA83" s="12"/>
      <c r="BB83" s="10"/>
      <c r="BC83" s="10"/>
      <c r="BD83" s="12"/>
      <c r="BE83" s="12"/>
      <c r="BF83" s="28"/>
      <c r="BG83" s="33"/>
      <c r="BH83" s="56"/>
      <c r="BI83" s="56"/>
      <c r="BJ83" s="33"/>
      <c r="BK83" s="33"/>
      <c r="BL83" s="28"/>
      <c r="BM83" s="33"/>
      <c r="BN83" s="56"/>
      <c r="BO83" s="56"/>
      <c r="BP83" s="33"/>
      <c r="BQ83" s="33"/>
      <c r="BR83" s="28"/>
      <c r="BS83" s="33"/>
      <c r="BT83" s="56"/>
      <c r="BU83" s="56"/>
      <c r="BV83" s="33"/>
      <c r="BW83" s="33"/>
      <c r="BX83" s="73"/>
      <c r="BY83" s="33"/>
      <c r="BZ83" s="56"/>
      <c r="CA83" s="56"/>
      <c r="CB83" s="33"/>
      <c r="CC83" s="33"/>
      <c r="CD83" s="28"/>
      <c r="CE83" s="33"/>
    </row>
    <row r="84" spans="1:83" ht="80.25" customHeight="1">
      <c r="A84" s="28"/>
      <c r="B84" s="28"/>
      <c r="C84" s="28"/>
      <c r="D84" s="135"/>
      <c r="H84" s="28"/>
      <c r="I84" s="72"/>
      <c r="J84" s="56"/>
      <c r="K84" s="33"/>
      <c r="L84" s="56"/>
      <c r="M84" s="56"/>
      <c r="N84" s="33"/>
      <c r="O84" s="33"/>
      <c r="P84" s="56"/>
      <c r="Q84" s="33"/>
      <c r="R84" s="56"/>
      <c r="S84" s="56"/>
      <c r="T84" s="33"/>
      <c r="U84" s="33"/>
      <c r="V84" s="56"/>
      <c r="W84" s="33"/>
      <c r="X84" s="56"/>
      <c r="Y84" s="56"/>
      <c r="Z84" s="33"/>
      <c r="AA84" s="33"/>
      <c r="AB84" s="76"/>
      <c r="AC84" s="117"/>
      <c r="AD84" s="56"/>
      <c r="AE84" s="56"/>
      <c r="AF84" s="117"/>
      <c r="AG84" s="118"/>
      <c r="AH84" s="80"/>
      <c r="AI84" s="127"/>
      <c r="AJ84" s="111"/>
      <c r="AK84" s="111"/>
      <c r="AL84" s="112"/>
      <c r="AM84" s="112"/>
      <c r="AN84" s="80"/>
      <c r="AO84" s="12"/>
      <c r="AP84" s="10"/>
      <c r="AQ84" s="10"/>
      <c r="AR84" s="12"/>
      <c r="AS84" s="12"/>
      <c r="AT84" s="13"/>
      <c r="AU84" s="12"/>
      <c r="AV84" s="10"/>
      <c r="AW84" s="10"/>
      <c r="AX84" s="12"/>
      <c r="AY84" s="12"/>
      <c r="AZ84" s="32"/>
      <c r="BA84" s="12"/>
      <c r="BB84" s="10"/>
      <c r="BC84" s="10"/>
      <c r="BD84" s="12"/>
      <c r="BE84" s="12"/>
      <c r="BF84" s="28"/>
      <c r="BG84" s="33"/>
      <c r="BH84" s="56"/>
      <c r="BI84" s="56"/>
      <c r="BJ84" s="33"/>
      <c r="BK84" s="33"/>
      <c r="BL84" s="28"/>
      <c r="BM84" s="33"/>
      <c r="BN84" s="56"/>
      <c r="BO84" s="56"/>
      <c r="BP84" s="33"/>
      <c r="BQ84" s="33"/>
      <c r="BR84" s="28"/>
      <c r="BS84" s="33"/>
      <c r="BT84" s="56"/>
      <c r="BU84" s="56"/>
      <c r="BV84" s="33"/>
      <c r="BW84" s="33"/>
      <c r="BX84" s="73"/>
      <c r="BY84" s="33"/>
      <c r="BZ84" s="56"/>
      <c r="CA84" s="56"/>
      <c r="CB84" s="33"/>
      <c r="CC84" s="33"/>
      <c r="CD84" s="28"/>
      <c r="CE84" s="33"/>
    </row>
    <row r="85" spans="1:83" ht="80.25" customHeight="1">
      <c r="A85" s="28"/>
      <c r="B85" s="28"/>
      <c r="C85" s="28"/>
      <c r="D85" s="135"/>
      <c r="H85" s="28"/>
      <c r="I85" s="72"/>
      <c r="J85" s="56"/>
      <c r="K85" s="33"/>
      <c r="L85" s="56"/>
      <c r="M85" s="56"/>
      <c r="N85" s="33"/>
      <c r="O85" s="33"/>
      <c r="P85" s="56"/>
      <c r="Q85" s="33"/>
      <c r="R85" s="56"/>
      <c r="S85" s="56"/>
      <c r="T85" s="33"/>
      <c r="U85" s="33"/>
      <c r="V85" s="56"/>
      <c r="W85" s="33"/>
      <c r="X85" s="56"/>
      <c r="Y85" s="56"/>
      <c r="Z85" s="33"/>
      <c r="AA85" s="33"/>
      <c r="AB85" s="76"/>
      <c r="AC85" s="117"/>
      <c r="AD85" s="56"/>
      <c r="AE85" s="56"/>
      <c r="AF85" s="117"/>
      <c r="AG85" s="118"/>
      <c r="AH85" s="80"/>
      <c r="AI85" s="127"/>
      <c r="AJ85" s="111"/>
      <c r="AK85" s="111"/>
      <c r="AL85" s="112"/>
      <c r="AM85" s="112"/>
      <c r="AN85" s="80"/>
      <c r="AO85" s="12"/>
      <c r="AP85" s="10"/>
      <c r="AQ85" s="10"/>
      <c r="AR85" s="12"/>
      <c r="AS85" s="12"/>
      <c r="AT85" s="13"/>
      <c r="AU85" s="12"/>
      <c r="AV85" s="10"/>
      <c r="AW85" s="10"/>
      <c r="AX85" s="12"/>
      <c r="AY85" s="12"/>
      <c r="AZ85" s="32"/>
      <c r="BA85" s="12"/>
      <c r="BB85" s="10"/>
      <c r="BC85" s="10"/>
      <c r="BD85" s="12"/>
      <c r="BE85" s="12"/>
      <c r="BF85" s="28"/>
      <c r="BG85" s="33"/>
      <c r="BH85" s="56"/>
      <c r="BI85" s="56"/>
      <c r="BJ85" s="33"/>
      <c r="BK85" s="33"/>
      <c r="BL85" s="28"/>
      <c r="BM85" s="33"/>
      <c r="BN85" s="56"/>
      <c r="BO85" s="56"/>
      <c r="BP85" s="33"/>
      <c r="BQ85" s="33"/>
      <c r="BR85" s="28"/>
      <c r="BS85" s="33"/>
      <c r="BT85" s="56"/>
      <c r="BU85" s="56"/>
      <c r="BV85" s="33"/>
      <c r="BW85" s="33"/>
      <c r="BX85" s="73"/>
      <c r="BY85" s="33"/>
      <c r="BZ85" s="56"/>
      <c r="CA85" s="56"/>
      <c r="CB85" s="33"/>
      <c r="CC85" s="33"/>
      <c r="CD85" s="28"/>
      <c r="CE85" s="33"/>
    </row>
    <row r="86" spans="1:83" ht="80.25" customHeight="1">
      <c r="A86" s="20"/>
      <c r="B86" s="28"/>
      <c r="C86" s="30"/>
      <c r="D86" s="134"/>
      <c r="H86" s="29"/>
      <c r="I86" s="11"/>
      <c r="J86" s="56"/>
      <c r="K86" s="33"/>
      <c r="L86" s="10"/>
      <c r="M86" s="10"/>
      <c r="N86" s="33"/>
      <c r="O86" s="33"/>
      <c r="P86" s="56"/>
      <c r="Q86" s="33"/>
      <c r="R86" s="56"/>
      <c r="S86" s="56"/>
      <c r="T86" s="33"/>
      <c r="U86" s="33"/>
      <c r="V86" s="56"/>
      <c r="W86" s="33"/>
      <c r="X86" s="56"/>
      <c r="Y86" s="56"/>
      <c r="Z86" s="33"/>
      <c r="AA86" s="33"/>
      <c r="AB86" s="146"/>
      <c r="AC86" s="117"/>
      <c r="AD86" s="10"/>
      <c r="AE86" s="10"/>
      <c r="AF86" s="117"/>
      <c r="AG86" s="118"/>
      <c r="AH86" s="80"/>
      <c r="AI86" s="127"/>
      <c r="AJ86" s="111"/>
      <c r="AK86" s="111"/>
      <c r="AL86" s="112"/>
      <c r="AM86" s="112"/>
      <c r="AN86" s="80"/>
      <c r="AO86" s="12"/>
      <c r="AP86" s="10"/>
      <c r="AQ86" s="10"/>
      <c r="AR86" s="12"/>
      <c r="AS86" s="12"/>
      <c r="AT86" s="13"/>
      <c r="AU86" s="12"/>
      <c r="AV86" s="10"/>
      <c r="AW86" s="10"/>
      <c r="AX86" s="12"/>
      <c r="AY86" s="12"/>
      <c r="AZ86" s="32"/>
      <c r="BA86" s="12"/>
      <c r="BB86" s="10"/>
      <c r="BC86" s="10"/>
      <c r="BD86" s="12"/>
      <c r="BE86" s="12"/>
      <c r="BF86" s="48"/>
      <c r="BG86" s="12"/>
      <c r="BH86" s="10"/>
      <c r="BI86" s="10"/>
      <c r="BJ86" s="33"/>
      <c r="BK86" s="33"/>
      <c r="BL86" s="48"/>
      <c r="BM86" s="12"/>
      <c r="BN86" s="10"/>
      <c r="BO86" s="10"/>
      <c r="BP86" s="33"/>
      <c r="BQ86" s="33"/>
      <c r="BR86" s="48"/>
      <c r="BS86" s="12"/>
      <c r="BT86" s="10"/>
      <c r="BU86" s="10"/>
      <c r="BV86" s="33"/>
      <c r="BW86" s="33"/>
      <c r="BX86" s="48"/>
      <c r="BY86" s="12"/>
      <c r="BZ86" s="10"/>
      <c r="CA86" s="10"/>
      <c r="CB86" s="33"/>
      <c r="CC86" s="33"/>
      <c r="CD86" s="48"/>
      <c r="CE86" s="12"/>
    </row>
    <row r="87" spans="1:83" ht="80.25" customHeight="1">
      <c r="A87" s="20"/>
      <c r="B87" s="28"/>
      <c r="C87" s="30"/>
      <c r="D87" s="134"/>
      <c r="H87" s="29"/>
      <c r="I87" s="11"/>
      <c r="J87" s="56"/>
      <c r="K87" s="33"/>
      <c r="L87" s="10"/>
      <c r="M87" s="10"/>
      <c r="N87" s="33"/>
      <c r="O87" s="33"/>
      <c r="P87" s="56"/>
      <c r="Q87" s="33"/>
      <c r="R87" s="56"/>
      <c r="S87" s="56"/>
      <c r="T87" s="33"/>
      <c r="U87" s="33"/>
      <c r="V87" s="56"/>
      <c r="W87" s="33"/>
      <c r="X87" s="56"/>
      <c r="Y87" s="56"/>
      <c r="Z87" s="33"/>
      <c r="AA87" s="33"/>
      <c r="AB87" s="146"/>
      <c r="AC87" s="117"/>
      <c r="AD87" s="10"/>
      <c r="AE87" s="10"/>
      <c r="AF87" s="117"/>
      <c r="AG87" s="118"/>
      <c r="AH87" s="80"/>
      <c r="AI87" s="127"/>
      <c r="AJ87" s="111"/>
      <c r="AK87" s="111"/>
      <c r="AL87" s="112"/>
      <c r="AM87" s="112"/>
      <c r="AN87" s="80"/>
      <c r="AO87" s="12"/>
      <c r="AP87" s="10"/>
      <c r="AQ87" s="10"/>
      <c r="AR87" s="12"/>
      <c r="AS87" s="12"/>
      <c r="AT87" s="13"/>
      <c r="AU87" s="12"/>
      <c r="AV87" s="10"/>
      <c r="AW87" s="10"/>
      <c r="AX87" s="12"/>
      <c r="AY87" s="12"/>
      <c r="AZ87" s="32"/>
      <c r="BA87" s="12"/>
      <c r="BB87" s="10"/>
      <c r="BC87" s="10"/>
      <c r="BD87" s="12"/>
      <c r="BE87" s="12"/>
      <c r="BF87" s="48"/>
      <c r="BG87" s="12"/>
      <c r="BH87" s="10"/>
      <c r="BI87" s="10"/>
      <c r="BJ87" s="33"/>
      <c r="BK87" s="33"/>
      <c r="BL87" s="48"/>
      <c r="BM87" s="12"/>
      <c r="BN87" s="10"/>
      <c r="BO87" s="10"/>
      <c r="BP87" s="33"/>
      <c r="BQ87" s="33"/>
      <c r="BR87" s="48"/>
      <c r="BS87" s="12"/>
      <c r="BT87" s="10"/>
      <c r="BU87" s="10"/>
      <c r="BV87" s="33"/>
      <c r="BW87" s="33"/>
      <c r="BX87" s="48"/>
      <c r="BY87" s="12"/>
      <c r="BZ87" s="10"/>
      <c r="CA87" s="10"/>
      <c r="CB87" s="33"/>
      <c r="CC87" s="33"/>
      <c r="CD87" s="48"/>
      <c r="CE87" s="12"/>
    </row>
    <row r="88" spans="1:83" ht="80.25" customHeight="1">
      <c r="A88" s="20"/>
      <c r="B88" s="28"/>
      <c r="C88" s="27"/>
      <c r="D88" s="35"/>
      <c r="H88" s="29"/>
      <c r="I88" s="11"/>
      <c r="J88" s="56"/>
      <c r="K88" s="33"/>
      <c r="L88" s="10"/>
      <c r="M88" s="10"/>
      <c r="N88" s="33"/>
      <c r="O88" s="33"/>
      <c r="P88" s="56"/>
      <c r="Q88" s="33"/>
      <c r="R88" s="56"/>
      <c r="S88" s="56"/>
      <c r="T88" s="33"/>
      <c r="U88" s="33"/>
      <c r="V88" s="56"/>
      <c r="W88" s="33"/>
      <c r="X88" s="56"/>
      <c r="Y88" s="56"/>
      <c r="Z88" s="33"/>
      <c r="AA88" s="33"/>
      <c r="AB88" s="146"/>
      <c r="AC88" s="117"/>
      <c r="AD88" s="10"/>
      <c r="AE88" s="10"/>
      <c r="AF88" s="117"/>
      <c r="AG88" s="118"/>
      <c r="AH88" s="80"/>
      <c r="AI88" s="127"/>
      <c r="AJ88" s="111"/>
      <c r="AK88" s="111"/>
      <c r="AL88" s="112"/>
      <c r="AM88" s="112"/>
      <c r="AN88" s="80"/>
      <c r="AO88" s="12"/>
      <c r="AP88" s="10"/>
      <c r="AQ88" s="10"/>
      <c r="AR88" s="12"/>
      <c r="AS88" s="12"/>
      <c r="AT88" s="13"/>
      <c r="AU88" s="12"/>
      <c r="AV88" s="10"/>
      <c r="AW88" s="10"/>
      <c r="AX88" s="12"/>
      <c r="AY88" s="12"/>
      <c r="AZ88" s="32"/>
      <c r="BA88" s="12"/>
      <c r="BB88" s="10"/>
      <c r="BC88" s="10"/>
      <c r="BD88" s="12"/>
      <c r="BE88" s="12"/>
      <c r="BF88" s="48"/>
      <c r="BG88" s="12"/>
      <c r="BH88" s="10"/>
      <c r="BI88" s="10"/>
      <c r="BJ88" s="33"/>
      <c r="BK88" s="33"/>
      <c r="BL88" s="48"/>
      <c r="BM88" s="12"/>
      <c r="BN88" s="10"/>
      <c r="BO88" s="10"/>
      <c r="BP88" s="33"/>
      <c r="BQ88" s="33"/>
      <c r="BR88" s="48"/>
      <c r="BS88" s="12"/>
      <c r="BT88" s="10"/>
      <c r="BU88" s="10"/>
      <c r="BV88" s="33"/>
      <c r="BW88" s="33"/>
      <c r="BX88" s="48"/>
      <c r="BY88" s="12"/>
      <c r="BZ88" s="10"/>
      <c r="CA88" s="10"/>
      <c r="CB88" s="33"/>
      <c r="CC88" s="33"/>
      <c r="CD88" s="48"/>
      <c r="CE88" s="12"/>
    </row>
    <row r="89" spans="1:83" ht="80.25" customHeight="1">
      <c r="A89" s="20"/>
      <c r="B89" s="28"/>
      <c r="C89" s="30"/>
      <c r="D89" s="134"/>
      <c r="H89" s="29"/>
      <c r="I89" s="11"/>
      <c r="J89" s="56"/>
      <c r="K89" s="33"/>
      <c r="L89" s="10"/>
      <c r="M89" s="10"/>
      <c r="N89" s="33"/>
      <c r="O89" s="33"/>
      <c r="P89" s="56"/>
      <c r="Q89" s="33"/>
      <c r="R89" s="56"/>
      <c r="S89" s="56"/>
      <c r="T89" s="33"/>
      <c r="U89" s="33"/>
      <c r="V89" s="56"/>
      <c r="W89" s="33"/>
      <c r="X89" s="56"/>
      <c r="Y89" s="56"/>
      <c r="Z89" s="33"/>
      <c r="AA89" s="33"/>
      <c r="AB89" s="146"/>
      <c r="AC89" s="117"/>
      <c r="AD89" s="10"/>
      <c r="AE89" s="10"/>
      <c r="AF89" s="117"/>
      <c r="AG89" s="118"/>
      <c r="AH89" s="80"/>
      <c r="AI89" s="127"/>
      <c r="AJ89" s="111"/>
      <c r="AK89" s="111"/>
      <c r="AL89" s="112"/>
      <c r="AM89" s="112"/>
      <c r="AN89" s="80"/>
      <c r="AO89" s="12"/>
      <c r="AP89" s="10"/>
      <c r="AQ89" s="10"/>
      <c r="AR89" s="12"/>
      <c r="AS89" s="12"/>
      <c r="AT89" s="13"/>
      <c r="AU89" s="12"/>
      <c r="AV89" s="10"/>
      <c r="AW89" s="10"/>
      <c r="AX89" s="12"/>
      <c r="AY89" s="12"/>
      <c r="AZ89" s="32"/>
      <c r="BA89" s="12"/>
      <c r="BB89" s="10"/>
      <c r="BC89" s="10"/>
      <c r="BD89" s="12"/>
      <c r="BE89" s="12"/>
      <c r="BF89" s="48"/>
      <c r="BG89" s="12"/>
      <c r="BH89" s="10"/>
      <c r="BI89" s="10"/>
      <c r="BJ89" s="33"/>
      <c r="BK89" s="33"/>
      <c r="BL89" s="48"/>
      <c r="BM89" s="12"/>
      <c r="BN89" s="10"/>
      <c r="BO89" s="10"/>
      <c r="BP89" s="33"/>
      <c r="BQ89" s="33"/>
      <c r="BR89" s="48"/>
      <c r="BS89" s="12"/>
      <c r="BT89" s="10"/>
      <c r="BU89" s="10"/>
      <c r="BV89" s="33"/>
      <c r="BW89" s="33"/>
      <c r="BX89" s="48"/>
      <c r="BY89" s="12"/>
      <c r="BZ89" s="10"/>
      <c r="CA89" s="10"/>
      <c r="CB89" s="33"/>
      <c r="CC89" s="33"/>
      <c r="CD89" s="48"/>
      <c r="CE89" s="12"/>
    </row>
    <row r="90" spans="1:83" ht="80.25" customHeight="1">
      <c r="A90" s="20"/>
      <c r="B90" s="28"/>
      <c r="C90" s="27"/>
      <c r="D90" s="35"/>
      <c r="H90" s="29"/>
      <c r="I90" s="11"/>
      <c r="J90" s="56"/>
      <c r="K90" s="33"/>
      <c r="L90" s="10"/>
      <c r="M90" s="10"/>
      <c r="N90" s="33"/>
      <c r="O90" s="33"/>
      <c r="P90" s="56"/>
      <c r="Q90" s="33"/>
      <c r="R90" s="56"/>
      <c r="S90" s="56"/>
      <c r="T90" s="33"/>
      <c r="U90" s="33"/>
      <c r="V90" s="56"/>
      <c r="W90" s="33"/>
      <c r="X90" s="56"/>
      <c r="Y90" s="56"/>
      <c r="Z90" s="33"/>
      <c r="AA90" s="33"/>
      <c r="AB90" s="146"/>
      <c r="AC90" s="117"/>
      <c r="AD90" s="10"/>
      <c r="AE90" s="10"/>
      <c r="AF90" s="117"/>
      <c r="AG90" s="118"/>
      <c r="AH90" s="80"/>
      <c r="AI90" s="127"/>
      <c r="AJ90" s="111"/>
      <c r="AK90" s="111"/>
      <c r="AL90" s="112"/>
      <c r="AM90" s="112"/>
      <c r="AN90" s="80"/>
      <c r="AO90" s="12"/>
      <c r="AP90" s="10"/>
      <c r="AQ90" s="10"/>
      <c r="AR90" s="12"/>
      <c r="AS90" s="12"/>
      <c r="AT90" s="13"/>
      <c r="AU90" s="12"/>
      <c r="AV90" s="10"/>
      <c r="AW90" s="10"/>
      <c r="AX90" s="12"/>
      <c r="AY90" s="12"/>
      <c r="AZ90" s="32"/>
      <c r="BA90" s="12"/>
      <c r="BB90" s="10"/>
      <c r="BC90" s="10"/>
      <c r="BD90" s="12"/>
      <c r="BE90" s="12"/>
      <c r="BF90" s="48"/>
      <c r="BG90" s="12"/>
      <c r="BH90" s="10"/>
      <c r="BI90" s="10"/>
      <c r="BJ90" s="33"/>
      <c r="BK90" s="33"/>
      <c r="BL90" s="48"/>
      <c r="BM90" s="12"/>
      <c r="BN90" s="10"/>
      <c r="BO90" s="10"/>
      <c r="BP90" s="33"/>
      <c r="BQ90" s="33"/>
      <c r="BR90" s="48"/>
      <c r="BS90" s="12"/>
      <c r="BT90" s="10"/>
      <c r="BU90" s="10"/>
      <c r="BV90" s="33"/>
      <c r="BW90" s="33"/>
      <c r="BX90" s="48"/>
      <c r="BY90" s="12"/>
      <c r="BZ90" s="10"/>
      <c r="CA90" s="10"/>
      <c r="CB90" s="33"/>
      <c r="CC90" s="33"/>
      <c r="CD90" s="48"/>
      <c r="CE90" s="12"/>
    </row>
    <row r="91" spans="1:83" ht="80.25" customHeight="1">
      <c r="A91" s="20"/>
      <c r="B91" s="28"/>
      <c r="C91" s="30"/>
      <c r="D91" s="134"/>
      <c r="H91" s="29"/>
      <c r="I91" s="11"/>
      <c r="J91" s="56"/>
      <c r="K91" s="33"/>
      <c r="L91" s="10"/>
      <c r="M91" s="10"/>
      <c r="N91" s="33"/>
      <c r="O91" s="33"/>
      <c r="P91" s="56"/>
      <c r="Q91" s="33"/>
      <c r="R91" s="56"/>
      <c r="S91" s="56"/>
      <c r="T91" s="33"/>
      <c r="U91" s="33"/>
      <c r="V91" s="56"/>
      <c r="W91" s="33"/>
      <c r="X91" s="56"/>
      <c r="Y91" s="56"/>
      <c r="Z91" s="33"/>
      <c r="AA91" s="33"/>
      <c r="AB91" s="146"/>
      <c r="AC91" s="117"/>
      <c r="AD91" s="10"/>
      <c r="AE91" s="10"/>
      <c r="AF91" s="117"/>
      <c r="AG91" s="118"/>
      <c r="AH91" s="80"/>
      <c r="AI91" s="127"/>
      <c r="AJ91" s="111"/>
      <c r="AK91" s="111"/>
      <c r="AL91" s="112"/>
      <c r="AM91" s="112"/>
      <c r="AN91" s="80"/>
      <c r="AO91" s="12"/>
      <c r="AP91" s="10"/>
      <c r="AQ91" s="10"/>
      <c r="AR91" s="12"/>
      <c r="AS91" s="12"/>
      <c r="AT91" s="13"/>
      <c r="AU91" s="12"/>
      <c r="AV91" s="10"/>
      <c r="AW91" s="10"/>
      <c r="AX91" s="12"/>
      <c r="AY91" s="12"/>
      <c r="AZ91" s="32"/>
      <c r="BA91" s="12"/>
      <c r="BB91" s="10"/>
      <c r="BC91" s="10"/>
      <c r="BD91" s="12"/>
      <c r="BE91" s="12"/>
      <c r="BF91" s="48"/>
      <c r="BG91" s="12"/>
      <c r="BH91" s="10"/>
      <c r="BI91" s="10"/>
      <c r="BJ91" s="33"/>
      <c r="BK91" s="33"/>
      <c r="BL91" s="48"/>
      <c r="BM91" s="12"/>
      <c r="BN91" s="10"/>
      <c r="BO91" s="10"/>
      <c r="BP91" s="33"/>
      <c r="BQ91" s="33"/>
      <c r="BR91" s="48"/>
      <c r="BS91" s="12"/>
      <c r="BT91" s="10"/>
      <c r="BU91" s="10"/>
      <c r="BV91" s="33"/>
      <c r="BW91" s="33"/>
      <c r="BX91" s="48"/>
      <c r="BY91" s="12"/>
      <c r="BZ91" s="10"/>
      <c r="CA91" s="10"/>
      <c r="CB91" s="33"/>
      <c r="CC91" s="33"/>
      <c r="CD91" s="48"/>
      <c r="CE91" s="12"/>
    </row>
    <row r="92" spans="1:83" ht="80.25" customHeight="1">
      <c r="A92" s="20"/>
      <c r="B92" s="28"/>
      <c r="C92" s="30"/>
      <c r="D92" s="134"/>
      <c r="H92" s="29"/>
      <c r="I92" s="11"/>
      <c r="J92" s="56"/>
      <c r="K92" s="33"/>
      <c r="L92" s="10"/>
      <c r="M92" s="10"/>
      <c r="N92" s="33"/>
      <c r="O92" s="33"/>
      <c r="P92" s="56"/>
      <c r="Q92" s="33"/>
      <c r="R92" s="56"/>
      <c r="S92" s="56"/>
      <c r="T92" s="33"/>
      <c r="U92" s="33"/>
      <c r="V92" s="56"/>
      <c r="W92" s="33"/>
      <c r="X92" s="56"/>
      <c r="Y92" s="56"/>
      <c r="Z92" s="33"/>
      <c r="AA92" s="33"/>
      <c r="AB92" s="146"/>
      <c r="AC92" s="117"/>
      <c r="AD92" s="10"/>
      <c r="AE92" s="10"/>
      <c r="AF92" s="117"/>
      <c r="AG92" s="118"/>
      <c r="AH92" s="80"/>
      <c r="AI92" s="127"/>
      <c r="AJ92" s="111"/>
      <c r="AK92" s="111"/>
      <c r="AL92" s="112"/>
      <c r="AM92" s="112"/>
      <c r="AN92" s="80"/>
      <c r="AO92" s="12"/>
      <c r="AP92" s="10"/>
      <c r="AQ92" s="10"/>
      <c r="AR92" s="12"/>
      <c r="AS92" s="12"/>
      <c r="AT92" s="13"/>
      <c r="AU92" s="12"/>
      <c r="AV92" s="10"/>
      <c r="AW92" s="10"/>
      <c r="AX92" s="12"/>
      <c r="AY92" s="12"/>
      <c r="AZ92" s="32"/>
      <c r="BA92" s="12"/>
      <c r="BB92" s="10"/>
      <c r="BC92" s="10"/>
      <c r="BD92" s="12"/>
      <c r="BE92" s="12"/>
      <c r="BF92" s="48"/>
      <c r="BG92" s="12"/>
      <c r="BH92" s="10"/>
      <c r="BI92" s="10"/>
      <c r="BJ92" s="33"/>
      <c r="BK92" s="33"/>
      <c r="BL92" s="48"/>
      <c r="BM92" s="12"/>
      <c r="BN92" s="10"/>
      <c r="BO92" s="10"/>
      <c r="BP92" s="33"/>
      <c r="BQ92" s="33"/>
      <c r="BR92" s="48"/>
      <c r="BS92" s="12"/>
      <c r="BT92" s="10"/>
      <c r="BU92" s="10"/>
      <c r="BV92" s="33"/>
      <c r="BW92" s="33"/>
      <c r="BX92" s="48"/>
      <c r="BY92" s="12"/>
      <c r="BZ92" s="10"/>
      <c r="CA92" s="10"/>
      <c r="CB92" s="33"/>
      <c r="CC92" s="33"/>
      <c r="CD92" s="48"/>
      <c r="CE92" s="12"/>
    </row>
    <row r="93" spans="1:83" ht="80.25" customHeight="1">
      <c r="A93" s="20"/>
      <c r="B93" s="28"/>
      <c r="C93" s="30"/>
      <c r="D93" s="134"/>
      <c r="H93" s="29"/>
      <c r="I93" s="11"/>
      <c r="J93" s="56"/>
      <c r="K93" s="33"/>
      <c r="L93" s="10"/>
      <c r="M93" s="10"/>
      <c r="N93" s="33"/>
      <c r="O93" s="33"/>
      <c r="P93" s="56"/>
      <c r="Q93" s="33"/>
      <c r="R93" s="56"/>
      <c r="S93" s="56"/>
      <c r="T93" s="33"/>
      <c r="U93" s="33"/>
      <c r="V93" s="56"/>
      <c r="W93" s="33"/>
      <c r="X93" s="56"/>
      <c r="Y93" s="56"/>
      <c r="Z93" s="33"/>
      <c r="AA93" s="33"/>
      <c r="AB93" s="146"/>
      <c r="AC93" s="117"/>
      <c r="AD93" s="10"/>
      <c r="AE93" s="10"/>
      <c r="AF93" s="117"/>
      <c r="AG93" s="118"/>
      <c r="AH93" s="80"/>
      <c r="AI93" s="127"/>
      <c r="AJ93" s="111"/>
      <c r="AK93" s="111"/>
      <c r="AL93" s="112"/>
      <c r="AM93" s="112"/>
      <c r="AN93" s="80"/>
      <c r="AO93" s="12"/>
      <c r="AP93" s="10"/>
      <c r="AQ93" s="10"/>
      <c r="AR93" s="12"/>
      <c r="AS93" s="12"/>
      <c r="AT93" s="13"/>
      <c r="AU93" s="12"/>
      <c r="AV93" s="10"/>
      <c r="AW93" s="10"/>
      <c r="AX93" s="12"/>
      <c r="AY93" s="12"/>
      <c r="AZ93" s="32"/>
      <c r="BA93" s="12"/>
      <c r="BB93" s="10"/>
      <c r="BC93" s="10"/>
      <c r="BD93" s="12"/>
      <c r="BE93" s="12"/>
      <c r="BF93" s="48"/>
      <c r="BG93" s="12"/>
      <c r="BH93" s="10"/>
      <c r="BI93" s="10"/>
      <c r="BJ93" s="33"/>
      <c r="BK93" s="33"/>
      <c r="BL93" s="48"/>
      <c r="BM93" s="12"/>
      <c r="BN93" s="10"/>
      <c r="BO93" s="10"/>
      <c r="BP93" s="33"/>
      <c r="BQ93" s="33"/>
      <c r="BR93" s="48"/>
      <c r="BS93" s="12"/>
      <c r="BT93" s="10"/>
      <c r="BU93" s="10"/>
      <c r="BV93" s="33"/>
      <c r="BW93" s="33"/>
      <c r="BX93" s="48"/>
      <c r="BY93" s="12"/>
      <c r="BZ93" s="10"/>
      <c r="CA93" s="10"/>
      <c r="CB93" s="33"/>
      <c r="CC93" s="33"/>
      <c r="CD93" s="48"/>
      <c r="CE93" s="12"/>
    </row>
    <row r="94" spans="1:83" ht="80.25" customHeight="1">
      <c r="A94" s="20"/>
      <c r="B94" s="28"/>
      <c r="C94" s="30"/>
      <c r="D94" s="134"/>
      <c r="H94" s="29"/>
      <c r="I94" s="11"/>
      <c r="J94" s="56"/>
      <c r="K94" s="33"/>
      <c r="L94" s="10"/>
      <c r="M94" s="10"/>
      <c r="N94" s="33"/>
      <c r="O94" s="33"/>
      <c r="P94" s="56"/>
      <c r="Q94" s="33"/>
      <c r="R94" s="56"/>
      <c r="S94" s="56"/>
      <c r="T94" s="33"/>
      <c r="U94" s="33"/>
      <c r="V94" s="56"/>
      <c r="W94" s="33"/>
      <c r="X94" s="56"/>
      <c r="Y94" s="56"/>
      <c r="Z94" s="33"/>
      <c r="AA94" s="33"/>
      <c r="AB94" s="146"/>
      <c r="AC94" s="117"/>
      <c r="AD94" s="10"/>
      <c r="AE94" s="10"/>
      <c r="AF94" s="117"/>
      <c r="AG94" s="118"/>
      <c r="AH94" s="80"/>
      <c r="AI94" s="127"/>
      <c r="AJ94" s="111"/>
      <c r="AK94" s="111"/>
      <c r="AL94" s="112"/>
      <c r="AM94" s="112"/>
      <c r="AN94" s="80"/>
      <c r="AO94" s="12"/>
      <c r="AP94" s="10"/>
      <c r="AQ94" s="10"/>
      <c r="AR94" s="12"/>
      <c r="AS94" s="12"/>
      <c r="AT94" s="13"/>
      <c r="AU94" s="12"/>
      <c r="AV94" s="10"/>
      <c r="AW94" s="10"/>
      <c r="AX94" s="12"/>
      <c r="AY94" s="12"/>
      <c r="AZ94" s="32"/>
      <c r="BA94" s="12"/>
      <c r="BB94" s="10"/>
      <c r="BC94" s="10"/>
      <c r="BD94" s="12"/>
      <c r="BE94" s="12"/>
      <c r="BF94" s="48"/>
      <c r="BG94" s="12"/>
      <c r="BH94" s="10"/>
      <c r="BI94" s="10"/>
      <c r="BJ94" s="33"/>
      <c r="BK94" s="33"/>
      <c r="BL94" s="48"/>
      <c r="BM94" s="12"/>
      <c r="BN94" s="10"/>
      <c r="BO94" s="10"/>
      <c r="BP94" s="33"/>
      <c r="BQ94" s="33"/>
      <c r="BR94" s="48"/>
      <c r="BS94" s="12"/>
      <c r="BT94" s="10"/>
      <c r="BU94" s="10"/>
      <c r="BV94" s="33"/>
      <c r="BW94" s="33"/>
      <c r="BX94" s="48"/>
      <c r="BY94" s="12"/>
      <c r="BZ94" s="10"/>
      <c r="CA94" s="10"/>
      <c r="CB94" s="33"/>
      <c r="CC94" s="33"/>
      <c r="CD94" s="48"/>
      <c r="CE94" s="12"/>
    </row>
    <row r="95" spans="1:83" ht="80.25" customHeight="1">
      <c r="A95" s="20"/>
      <c r="B95" s="28"/>
      <c r="C95" s="30"/>
      <c r="D95" s="134"/>
      <c r="H95" s="29"/>
      <c r="I95" s="11"/>
      <c r="J95" s="56"/>
      <c r="K95" s="33"/>
      <c r="L95" s="10"/>
      <c r="M95" s="10"/>
      <c r="N95" s="33"/>
      <c r="O95" s="33"/>
      <c r="P95" s="56"/>
      <c r="Q95" s="33"/>
      <c r="R95" s="56"/>
      <c r="S95" s="56"/>
      <c r="T95" s="33"/>
      <c r="U95" s="33"/>
      <c r="V95" s="56"/>
      <c r="W95" s="33"/>
      <c r="X95" s="56"/>
      <c r="Y95" s="56"/>
      <c r="Z95" s="33"/>
      <c r="AA95" s="33"/>
      <c r="AB95" s="146"/>
      <c r="AC95" s="117"/>
      <c r="AD95" s="10"/>
      <c r="AE95" s="10"/>
      <c r="AF95" s="117"/>
      <c r="AG95" s="118"/>
      <c r="AH95" s="80"/>
      <c r="AI95" s="127"/>
      <c r="AJ95" s="111"/>
      <c r="AK95" s="111"/>
      <c r="AL95" s="112"/>
      <c r="AM95" s="112"/>
      <c r="AN95" s="80"/>
      <c r="AO95" s="12"/>
      <c r="AP95" s="10"/>
      <c r="AQ95" s="10"/>
      <c r="AR95" s="12"/>
      <c r="AS95" s="12"/>
      <c r="AT95" s="13"/>
      <c r="AU95" s="12"/>
      <c r="AV95" s="10"/>
      <c r="AW95" s="10"/>
      <c r="AX95" s="12"/>
      <c r="AY95" s="12"/>
      <c r="AZ95" s="32"/>
      <c r="BA95" s="12"/>
      <c r="BB95" s="10"/>
      <c r="BC95" s="10"/>
      <c r="BD95" s="12"/>
      <c r="BE95" s="12"/>
      <c r="BF95" s="48"/>
      <c r="BG95" s="12"/>
      <c r="BH95" s="10"/>
      <c r="BI95" s="10"/>
      <c r="BJ95" s="33"/>
      <c r="BK95" s="33"/>
      <c r="BL95" s="48"/>
      <c r="BM95" s="12"/>
      <c r="BN95" s="10"/>
      <c r="BO95" s="10"/>
      <c r="BP95" s="33"/>
      <c r="BQ95" s="33"/>
      <c r="BR95" s="48"/>
      <c r="BS95" s="12"/>
      <c r="BT95" s="10"/>
      <c r="BU95" s="10"/>
      <c r="BV95" s="33"/>
      <c r="BW95" s="33"/>
      <c r="BX95" s="48"/>
      <c r="BY95" s="12"/>
      <c r="BZ95" s="10"/>
      <c r="CA95" s="10"/>
      <c r="CB95" s="33"/>
      <c r="CC95" s="33"/>
      <c r="CD95" s="48"/>
      <c r="CE95" s="12"/>
    </row>
    <row r="96" spans="1:83" ht="80.25" customHeight="1">
      <c r="A96" s="20"/>
      <c r="B96" s="28"/>
      <c r="C96" s="30"/>
      <c r="D96" s="134"/>
      <c r="H96" s="29"/>
      <c r="I96" s="11"/>
      <c r="J96" s="56"/>
      <c r="K96" s="33"/>
      <c r="L96" s="10"/>
      <c r="M96" s="10"/>
      <c r="N96" s="33"/>
      <c r="O96" s="33"/>
      <c r="P96" s="56"/>
      <c r="Q96" s="33"/>
      <c r="R96" s="56"/>
      <c r="S96" s="56"/>
      <c r="T96" s="33"/>
      <c r="U96" s="33"/>
      <c r="V96" s="56"/>
      <c r="W96" s="33"/>
      <c r="X96" s="56"/>
      <c r="Y96" s="56"/>
      <c r="Z96" s="33"/>
      <c r="AA96" s="33"/>
      <c r="AB96" s="146"/>
      <c r="AC96" s="117"/>
      <c r="AD96" s="10"/>
      <c r="AE96" s="10"/>
      <c r="AF96" s="117"/>
      <c r="AG96" s="118"/>
      <c r="AH96" s="80"/>
      <c r="AI96" s="127"/>
      <c r="AJ96" s="111"/>
      <c r="AK96" s="111"/>
      <c r="AL96" s="112"/>
      <c r="AM96" s="112"/>
      <c r="AN96" s="80"/>
      <c r="AO96" s="12"/>
      <c r="AP96" s="10"/>
      <c r="AQ96" s="10"/>
      <c r="AR96" s="12"/>
      <c r="AS96" s="12"/>
      <c r="AT96" s="13"/>
      <c r="AU96" s="12"/>
      <c r="AV96" s="10"/>
      <c r="AW96" s="10"/>
      <c r="AX96" s="12"/>
      <c r="AY96" s="12"/>
      <c r="AZ96" s="32"/>
      <c r="BA96" s="12"/>
      <c r="BB96" s="10"/>
      <c r="BC96" s="10"/>
      <c r="BD96" s="12"/>
      <c r="BE96" s="12"/>
      <c r="BF96" s="48"/>
      <c r="BG96" s="12"/>
      <c r="BH96" s="10"/>
      <c r="BI96" s="10"/>
      <c r="BJ96" s="33"/>
      <c r="BK96" s="33"/>
      <c r="BL96" s="48"/>
      <c r="BM96" s="12"/>
      <c r="BN96" s="10"/>
      <c r="BO96" s="10"/>
      <c r="BP96" s="33"/>
      <c r="BQ96" s="33"/>
      <c r="BR96" s="48"/>
      <c r="BS96" s="12"/>
      <c r="BT96" s="10"/>
      <c r="BU96" s="10"/>
      <c r="BV96" s="33"/>
      <c r="BW96" s="33"/>
      <c r="BX96" s="48"/>
      <c r="BY96" s="12"/>
      <c r="BZ96" s="10"/>
      <c r="CA96" s="10"/>
      <c r="CB96" s="33"/>
      <c r="CC96" s="33"/>
      <c r="CD96" s="48"/>
      <c r="CE96" s="12"/>
    </row>
    <row r="97" spans="1:83" ht="80.25" customHeight="1">
      <c r="A97" s="20"/>
      <c r="B97" s="28"/>
      <c r="C97" s="30"/>
      <c r="D97" s="134"/>
      <c r="H97" s="29"/>
      <c r="I97" s="11"/>
      <c r="J97" s="56"/>
      <c r="K97" s="33"/>
      <c r="L97" s="10"/>
      <c r="M97" s="10"/>
      <c r="N97" s="33"/>
      <c r="O97" s="33"/>
      <c r="P97" s="56"/>
      <c r="Q97" s="33"/>
      <c r="R97" s="56"/>
      <c r="S97" s="56"/>
      <c r="T97" s="33"/>
      <c r="U97" s="33"/>
      <c r="V97" s="56"/>
      <c r="W97" s="33"/>
      <c r="X97" s="56"/>
      <c r="Y97" s="56"/>
      <c r="Z97" s="33"/>
      <c r="AA97" s="33"/>
      <c r="AB97" s="146"/>
      <c r="AC97" s="117"/>
      <c r="AD97" s="10"/>
      <c r="AE97" s="10"/>
      <c r="AF97" s="117"/>
      <c r="AG97" s="118"/>
      <c r="AH97" s="80"/>
      <c r="AI97" s="127"/>
      <c r="AJ97" s="111"/>
      <c r="AK97" s="111"/>
      <c r="AL97" s="112"/>
      <c r="AM97" s="112"/>
      <c r="AN97" s="80"/>
      <c r="AO97" s="12"/>
      <c r="AP97" s="10"/>
      <c r="AQ97" s="10"/>
      <c r="AR97" s="12"/>
      <c r="AS97" s="12"/>
      <c r="AT97" s="13"/>
      <c r="AU97" s="12"/>
      <c r="AV97" s="10"/>
      <c r="AW97" s="10"/>
      <c r="AX97" s="12"/>
      <c r="AY97" s="12"/>
      <c r="AZ97" s="32"/>
      <c r="BA97" s="12"/>
      <c r="BB97" s="10"/>
      <c r="BC97" s="10"/>
      <c r="BD97" s="12"/>
      <c r="BE97" s="12"/>
      <c r="BF97" s="48"/>
      <c r="BG97" s="12"/>
      <c r="BH97" s="10"/>
      <c r="BI97" s="10"/>
      <c r="BJ97" s="33"/>
      <c r="BK97" s="33"/>
      <c r="BL97" s="48"/>
      <c r="BM97" s="12"/>
      <c r="BN97" s="10"/>
      <c r="BO97" s="10"/>
      <c r="BP97" s="33"/>
      <c r="BQ97" s="33"/>
      <c r="BR97" s="48"/>
      <c r="BS97" s="12"/>
      <c r="BT97" s="10"/>
      <c r="BU97" s="10"/>
      <c r="BV97" s="33"/>
      <c r="BW97" s="33"/>
      <c r="BX97" s="48"/>
      <c r="BY97" s="12"/>
      <c r="BZ97" s="10"/>
      <c r="CA97" s="10"/>
      <c r="CB97" s="33"/>
      <c r="CC97" s="33"/>
      <c r="CD97" s="48"/>
      <c r="CE97" s="12"/>
    </row>
    <row r="98" spans="1:83" ht="80.25" customHeight="1">
      <c r="A98" s="20"/>
      <c r="B98" s="28"/>
      <c r="C98" s="30"/>
      <c r="D98" s="134"/>
      <c r="H98" s="29"/>
      <c r="I98" s="11"/>
      <c r="J98" s="56"/>
      <c r="K98" s="33"/>
      <c r="L98" s="10"/>
      <c r="M98" s="10"/>
      <c r="N98" s="33"/>
      <c r="O98" s="33"/>
      <c r="P98" s="56"/>
      <c r="Q98" s="33"/>
      <c r="R98" s="56"/>
      <c r="S98" s="56"/>
      <c r="T98" s="33"/>
      <c r="U98" s="33"/>
      <c r="V98" s="56"/>
      <c r="W98" s="33"/>
      <c r="X98" s="56"/>
      <c r="Y98" s="56"/>
      <c r="Z98" s="33"/>
      <c r="AA98" s="33"/>
      <c r="AB98" s="146"/>
      <c r="AC98" s="117"/>
      <c r="AD98" s="10"/>
      <c r="AE98" s="10"/>
      <c r="AF98" s="117"/>
      <c r="AG98" s="118"/>
      <c r="AH98" s="80"/>
      <c r="AI98" s="127"/>
      <c r="AJ98" s="111"/>
      <c r="AK98" s="111"/>
      <c r="AL98" s="112"/>
      <c r="AM98" s="112"/>
      <c r="AN98" s="80"/>
      <c r="AO98" s="12"/>
      <c r="AP98" s="10"/>
      <c r="AQ98" s="10"/>
      <c r="AR98" s="12"/>
      <c r="AS98" s="12"/>
      <c r="AT98" s="13"/>
      <c r="AU98" s="12"/>
      <c r="AV98" s="10"/>
      <c r="AW98" s="10"/>
      <c r="AX98" s="12"/>
      <c r="AY98" s="12"/>
      <c r="AZ98" s="32"/>
      <c r="BA98" s="12"/>
      <c r="BB98" s="10"/>
      <c r="BC98" s="10"/>
      <c r="BD98" s="12"/>
      <c r="BE98" s="12"/>
      <c r="BF98" s="48"/>
      <c r="BG98" s="12"/>
      <c r="BH98" s="10"/>
      <c r="BI98" s="10"/>
      <c r="BJ98" s="33"/>
      <c r="BK98" s="33"/>
      <c r="BL98" s="48"/>
      <c r="BM98" s="12"/>
      <c r="BN98" s="10"/>
      <c r="BO98" s="10"/>
      <c r="BP98" s="33"/>
      <c r="BQ98" s="33"/>
      <c r="BR98" s="48"/>
      <c r="BS98" s="12"/>
      <c r="BT98" s="10"/>
      <c r="BU98" s="10"/>
      <c r="BV98" s="33"/>
      <c r="BW98" s="33"/>
      <c r="BX98" s="48"/>
      <c r="BY98" s="12"/>
      <c r="BZ98" s="10"/>
      <c r="CA98" s="10"/>
      <c r="CB98" s="33"/>
      <c r="CC98" s="33"/>
      <c r="CD98" s="48"/>
      <c r="CE98" s="12"/>
    </row>
    <row r="99" spans="1:83" ht="80.25" customHeight="1">
      <c r="A99" s="20"/>
      <c r="B99" s="28"/>
      <c r="C99" s="30"/>
      <c r="D99" s="134"/>
      <c r="H99" s="29"/>
      <c r="I99" s="11"/>
      <c r="J99" s="56"/>
      <c r="K99" s="33"/>
      <c r="L99" s="10"/>
      <c r="M99" s="10"/>
      <c r="N99" s="33"/>
      <c r="O99" s="33"/>
      <c r="P99" s="56"/>
      <c r="Q99" s="33"/>
      <c r="R99" s="56"/>
      <c r="S99" s="56"/>
      <c r="T99" s="33"/>
      <c r="U99" s="33"/>
      <c r="V99" s="56"/>
      <c r="W99" s="33"/>
      <c r="X99" s="56"/>
      <c r="Y99" s="56"/>
      <c r="Z99" s="33"/>
      <c r="AA99" s="33"/>
      <c r="AB99" s="146"/>
      <c r="AC99" s="117"/>
      <c r="AD99" s="10"/>
      <c r="AE99" s="10"/>
      <c r="AF99" s="117"/>
      <c r="AG99" s="118"/>
      <c r="AH99" s="80"/>
      <c r="AI99" s="127"/>
      <c r="AJ99" s="111"/>
      <c r="AK99" s="111"/>
      <c r="AL99" s="112"/>
      <c r="AM99" s="112"/>
      <c r="AN99" s="80"/>
      <c r="AO99" s="12"/>
      <c r="AP99" s="10"/>
      <c r="AQ99" s="10"/>
      <c r="AR99" s="12"/>
      <c r="AS99" s="12"/>
      <c r="AT99" s="13"/>
      <c r="AU99" s="12"/>
      <c r="AV99" s="10"/>
      <c r="AW99" s="10"/>
      <c r="AX99" s="12"/>
      <c r="AY99" s="12"/>
      <c r="AZ99" s="32"/>
      <c r="BA99" s="12"/>
      <c r="BB99" s="10"/>
      <c r="BC99" s="10"/>
      <c r="BD99" s="12"/>
      <c r="BE99" s="12"/>
      <c r="BF99" s="48"/>
      <c r="BG99" s="12"/>
      <c r="BH99" s="10"/>
      <c r="BI99" s="10"/>
      <c r="BJ99" s="33"/>
      <c r="BK99" s="33"/>
      <c r="BL99" s="48"/>
      <c r="BM99" s="12"/>
      <c r="BN99" s="10"/>
      <c r="BO99" s="10"/>
      <c r="BP99" s="33"/>
      <c r="BQ99" s="33"/>
      <c r="BR99" s="48"/>
      <c r="BS99" s="12"/>
      <c r="BT99" s="10"/>
      <c r="BU99" s="10"/>
      <c r="BV99" s="33"/>
      <c r="BW99" s="33"/>
      <c r="BX99" s="48"/>
      <c r="BY99" s="12"/>
      <c r="BZ99" s="10"/>
      <c r="CA99" s="10"/>
      <c r="CB99" s="33"/>
      <c r="CC99" s="33"/>
      <c r="CD99" s="48"/>
      <c r="CE99" s="12"/>
    </row>
    <row r="100" spans="1:83" ht="80.25" customHeight="1">
      <c r="A100" s="20"/>
      <c r="B100" s="28"/>
      <c r="C100" s="27"/>
      <c r="D100" s="35"/>
      <c r="H100" s="29"/>
      <c r="I100" s="11"/>
      <c r="J100" s="56"/>
      <c r="K100" s="33"/>
      <c r="L100" s="10"/>
      <c r="M100" s="10"/>
      <c r="N100" s="33"/>
      <c r="O100" s="33"/>
      <c r="P100" s="56"/>
      <c r="Q100" s="33"/>
      <c r="R100" s="56"/>
      <c r="S100" s="56"/>
      <c r="T100" s="33"/>
      <c r="U100" s="33"/>
      <c r="V100" s="56"/>
      <c r="W100" s="33"/>
      <c r="X100" s="56"/>
      <c r="Y100" s="56"/>
      <c r="Z100" s="33"/>
      <c r="AA100" s="33"/>
      <c r="AB100" s="146"/>
      <c r="AC100" s="117"/>
      <c r="AD100" s="10"/>
      <c r="AE100" s="10"/>
      <c r="AF100" s="117"/>
      <c r="AG100" s="118"/>
      <c r="AH100" s="80"/>
      <c r="AI100" s="127"/>
      <c r="AJ100" s="111"/>
      <c r="AK100" s="111"/>
      <c r="AL100" s="112"/>
      <c r="AM100" s="112"/>
      <c r="AN100" s="80"/>
      <c r="AO100" s="12"/>
      <c r="AP100" s="10"/>
      <c r="AQ100" s="10"/>
      <c r="AR100" s="12"/>
      <c r="AS100" s="12"/>
      <c r="AT100" s="13"/>
      <c r="AU100" s="12"/>
      <c r="AV100" s="10"/>
      <c r="AW100" s="10"/>
      <c r="AX100" s="12"/>
      <c r="AY100" s="12"/>
      <c r="AZ100" s="32"/>
      <c r="BA100" s="12"/>
      <c r="BB100" s="10"/>
      <c r="BC100" s="10"/>
      <c r="BD100" s="12"/>
      <c r="BE100" s="12"/>
      <c r="BF100" s="48"/>
      <c r="BG100" s="12"/>
      <c r="BH100" s="10"/>
      <c r="BI100" s="10"/>
      <c r="BJ100" s="33"/>
      <c r="BK100" s="33"/>
      <c r="BL100" s="48"/>
      <c r="BM100" s="12"/>
      <c r="BN100" s="10"/>
      <c r="BO100" s="10"/>
      <c r="BP100" s="33"/>
      <c r="BQ100" s="33"/>
      <c r="BR100" s="48"/>
      <c r="BS100" s="12"/>
      <c r="BT100" s="10"/>
      <c r="BU100" s="10"/>
      <c r="BV100" s="33"/>
      <c r="BW100" s="33"/>
      <c r="BX100" s="48"/>
      <c r="BY100" s="12"/>
      <c r="BZ100" s="10"/>
      <c r="CA100" s="10"/>
      <c r="CB100" s="33"/>
      <c r="CC100" s="33"/>
      <c r="CD100" s="48"/>
      <c r="CE100" s="12"/>
    </row>
    <row r="101" spans="1:83" ht="80.25" customHeight="1">
      <c r="A101" s="20"/>
      <c r="B101" s="28"/>
      <c r="C101" s="27"/>
      <c r="D101" s="35"/>
      <c r="H101" s="29"/>
      <c r="I101" s="11"/>
      <c r="J101" s="56"/>
      <c r="K101" s="33"/>
      <c r="L101" s="10"/>
      <c r="M101" s="10"/>
      <c r="N101" s="33"/>
      <c r="O101" s="33"/>
      <c r="P101" s="56"/>
      <c r="Q101" s="33"/>
      <c r="R101" s="56"/>
      <c r="S101" s="56"/>
      <c r="T101" s="33"/>
      <c r="U101" s="33"/>
      <c r="V101" s="56"/>
      <c r="W101" s="33"/>
      <c r="X101" s="56"/>
      <c r="Y101" s="56"/>
      <c r="Z101" s="33"/>
      <c r="AA101" s="33"/>
      <c r="AB101" s="146"/>
      <c r="AC101" s="117"/>
      <c r="AD101" s="10"/>
      <c r="AE101" s="10"/>
      <c r="AF101" s="117"/>
      <c r="AG101" s="118"/>
      <c r="AH101" s="80"/>
      <c r="AI101" s="127"/>
      <c r="AJ101" s="111"/>
      <c r="AK101" s="111"/>
      <c r="AL101" s="112"/>
      <c r="AM101" s="112"/>
      <c r="AN101" s="80"/>
      <c r="AO101" s="12"/>
      <c r="AP101" s="10"/>
      <c r="AQ101" s="10"/>
      <c r="AR101" s="12"/>
      <c r="AS101" s="12"/>
      <c r="AT101" s="13"/>
      <c r="AU101" s="12"/>
      <c r="AV101" s="10"/>
      <c r="AW101" s="10"/>
      <c r="AX101" s="12"/>
      <c r="AY101" s="12"/>
      <c r="AZ101" s="32"/>
      <c r="BA101" s="12"/>
      <c r="BB101" s="10"/>
      <c r="BC101" s="10"/>
      <c r="BD101" s="12"/>
      <c r="BE101" s="12"/>
      <c r="BF101" s="48"/>
      <c r="BG101" s="12"/>
      <c r="BH101" s="10"/>
      <c r="BI101" s="10"/>
      <c r="BJ101" s="33"/>
      <c r="BK101" s="33"/>
      <c r="BL101" s="48"/>
      <c r="BM101" s="12"/>
      <c r="BN101" s="10"/>
      <c r="BO101" s="10"/>
      <c r="BP101" s="33"/>
      <c r="BQ101" s="33"/>
      <c r="BR101" s="48"/>
      <c r="BS101" s="12"/>
      <c r="BT101" s="10"/>
      <c r="BU101" s="10"/>
      <c r="BV101" s="33"/>
      <c r="BW101" s="33"/>
      <c r="BX101" s="48"/>
      <c r="BY101" s="12"/>
      <c r="BZ101" s="10"/>
      <c r="CA101" s="10"/>
      <c r="CB101" s="33"/>
      <c r="CC101" s="33"/>
      <c r="CD101" s="48"/>
      <c r="CE101" s="12"/>
    </row>
    <row r="102" spans="1:83" ht="80.25" customHeight="1">
      <c r="A102" s="20"/>
      <c r="B102" s="28"/>
      <c r="C102" s="27"/>
      <c r="D102" s="35"/>
      <c r="H102" s="29"/>
      <c r="I102" s="11"/>
      <c r="J102" s="56"/>
      <c r="K102" s="33"/>
      <c r="L102" s="10"/>
      <c r="M102" s="10"/>
      <c r="N102" s="33"/>
      <c r="O102" s="33"/>
      <c r="P102" s="56"/>
      <c r="Q102" s="33"/>
      <c r="R102" s="56"/>
      <c r="S102" s="56"/>
      <c r="T102" s="33"/>
      <c r="U102" s="33"/>
      <c r="V102" s="56"/>
      <c r="W102" s="33"/>
      <c r="X102" s="56"/>
      <c r="Y102" s="56"/>
      <c r="Z102" s="33"/>
      <c r="AA102" s="33"/>
      <c r="AB102" s="146"/>
      <c r="AC102" s="117"/>
      <c r="AD102" s="10"/>
      <c r="AE102" s="10"/>
      <c r="AF102" s="117"/>
      <c r="AG102" s="118"/>
      <c r="AH102" s="80"/>
      <c r="AI102" s="127"/>
      <c r="AJ102" s="111"/>
      <c r="AK102" s="111"/>
      <c r="AL102" s="112"/>
      <c r="AM102" s="112"/>
      <c r="AN102" s="80"/>
      <c r="AO102" s="12"/>
      <c r="AP102" s="10"/>
      <c r="AQ102" s="10"/>
      <c r="AR102" s="12"/>
      <c r="AS102" s="12"/>
      <c r="AT102" s="13"/>
      <c r="AU102" s="12"/>
      <c r="AV102" s="10"/>
      <c r="AW102" s="10"/>
      <c r="AX102" s="12"/>
      <c r="AY102" s="12"/>
      <c r="AZ102" s="32"/>
      <c r="BA102" s="12"/>
      <c r="BB102" s="10"/>
      <c r="BC102" s="10"/>
      <c r="BD102" s="12"/>
      <c r="BE102" s="12"/>
      <c r="BF102" s="48"/>
      <c r="BG102" s="12"/>
      <c r="BH102" s="10"/>
      <c r="BI102" s="10"/>
      <c r="BJ102" s="33"/>
      <c r="BK102" s="33"/>
      <c r="BL102" s="48"/>
      <c r="BM102" s="12"/>
      <c r="BN102" s="10"/>
      <c r="BO102" s="10"/>
      <c r="BP102" s="33"/>
      <c r="BQ102" s="33"/>
      <c r="BR102" s="48"/>
      <c r="BS102" s="12"/>
      <c r="BT102" s="10"/>
      <c r="BU102" s="10"/>
      <c r="BV102" s="33"/>
      <c r="BW102" s="33"/>
      <c r="BX102" s="48"/>
      <c r="BY102" s="12"/>
      <c r="BZ102" s="10"/>
      <c r="CA102" s="10"/>
      <c r="CB102" s="33"/>
      <c r="CC102" s="33"/>
      <c r="CD102" s="48"/>
      <c r="CE102" s="12"/>
    </row>
    <row r="103" spans="1:83" ht="80.25" customHeight="1">
      <c r="A103" s="20"/>
      <c r="B103" s="28"/>
      <c r="C103" s="27"/>
      <c r="D103" s="35"/>
      <c r="H103" s="29"/>
      <c r="I103" s="11"/>
      <c r="J103" s="56"/>
      <c r="K103" s="33"/>
      <c r="L103" s="10"/>
      <c r="M103" s="10"/>
      <c r="N103" s="33"/>
      <c r="O103" s="33"/>
      <c r="P103" s="56"/>
      <c r="Q103" s="33"/>
      <c r="R103" s="56"/>
      <c r="S103" s="56"/>
      <c r="T103" s="33"/>
      <c r="U103" s="33"/>
      <c r="V103" s="56"/>
      <c r="W103" s="33"/>
      <c r="X103" s="56"/>
      <c r="Y103" s="56"/>
      <c r="Z103" s="33"/>
      <c r="AA103" s="33"/>
      <c r="AB103" s="146"/>
      <c r="AC103" s="117"/>
      <c r="AD103" s="10"/>
      <c r="AE103" s="10"/>
      <c r="AF103" s="117"/>
      <c r="AG103" s="118"/>
      <c r="AH103" s="80"/>
      <c r="AI103" s="127"/>
      <c r="AJ103" s="111"/>
      <c r="AK103" s="111"/>
      <c r="AL103" s="112"/>
      <c r="AM103" s="112"/>
      <c r="AN103" s="80"/>
      <c r="AO103" s="12"/>
      <c r="AP103" s="10"/>
      <c r="AQ103" s="10"/>
      <c r="AR103" s="12"/>
      <c r="AS103" s="12"/>
      <c r="AT103" s="13"/>
      <c r="AU103" s="12"/>
      <c r="AV103" s="10"/>
      <c r="AW103" s="10"/>
      <c r="AX103" s="12"/>
      <c r="AY103" s="12"/>
      <c r="AZ103" s="32"/>
      <c r="BA103" s="12"/>
      <c r="BB103" s="10"/>
      <c r="BC103" s="10"/>
      <c r="BD103" s="12"/>
      <c r="BE103" s="12"/>
      <c r="BF103" s="48"/>
      <c r="BG103" s="12"/>
      <c r="BH103" s="10"/>
      <c r="BI103" s="10"/>
      <c r="BJ103" s="33"/>
      <c r="BK103" s="33"/>
      <c r="BL103" s="48"/>
      <c r="BM103" s="12"/>
      <c r="BN103" s="10"/>
      <c r="BO103" s="10"/>
      <c r="BP103" s="33"/>
      <c r="BQ103" s="33"/>
      <c r="BR103" s="48"/>
      <c r="BS103" s="12"/>
      <c r="BT103" s="10"/>
      <c r="BU103" s="10"/>
      <c r="BV103" s="33"/>
      <c r="BW103" s="33"/>
      <c r="BX103" s="48"/>
      <c r="BY103" s="12"/>
      <c r="BZ103" s="10"/>
      <c r="CA103" s="10"/>
      <c r="CB103" s="33"/>
      <c r="CC103" s="33"/>
      <c r="CD103" s="48"/>
      <c r="CE103" s="12"/>
    </row>
    <row r="104" spans="1:83" ht="80.25" customHeight="1">
      <c r="A104" s="20"/>
      <c r="B104" s="28"/>
      <c r="C104" s="30"/>
      <c r="D104" s="134"/>
      <c r="H104" s="29"/>
      <c r="I104" s="11"/>
      <c r="J104" s="56"/>
      <c r="K104" s="33"/>
      <c r="L104" s="10"/>
      <c r="M104" s="10"/>
      <c r="N104" s="33"/>
      <c r="O104" s="33"/>
      <c r="P104" s="56"/>
      <c r="Q104" s="33"/>
      <c r="R104" s="56"/>
      <c r="S104" s="56"/>
      <c r="T104" s="33"/>
      <c r="U104" s="33"/>
      <c r="V104" s="56"/>
      <c r="W104" s="33"/>
      <c r="X104" s="56"/>
      <c r="Y104" s="56"/>
      <c r="Z104" s="33"/>
      <c r="AA104" s="33"/>
      <c r="AB104" s="146"/>
      <c r="AC104" s="117"/>
      <c r="AD104" s="10"/>
      <c r="AE104" s="10"/>
      <c r="AF104" s="117"/>
      <c r="AG104" s="118"/>
      <c r="AH104" s="80"/>
      <c r="AI104" s="127"/>
      <c r="AJ104" s="111"/>
      <c r="AK104" s="111"/>
      <c r="AL104" s="112"/>
      <c r="AM104" s="112"/>
      <c r="AN104" s="80"/>
      <c r="AO104" s="12"/>
      <c r="AP104" s="10"/>
      <c r="AQ104" s="10"/>
      <c r="AR104" s="12"/>
      <c r="AS104" s="12"/>
      <c r="AT104" s="13"/>
      <c r="AU104" s="12"/>
      <c r="AV104" s="10"/>
      <c r="AW104" s="10"/>
      <c r="AX104" s="12"/>
      <c r="AY104" s="12"/>
      <c r="AZ104" s="32"/>
      <c r="BA104" s="12"/>
      <c r="BB104" s="10"/>
      <c r="BC104" s="10"/>
      <c r="BD104" s="12"/>
      <c r="BE104" s="12"/>
      <c r="BF104" s="48"/>
      <c r="BG104" s="12"/>
      <c r="BH104" s="10"/>
      <c r="BI104" s="10"/>
      <c r="BJ104" s="33"/>
      <c r="BK104" s="33"/>
      <c r="BL104" s="48"/>
      <c r="BM104" s="12"/>
      <c r="BN104" s="10"/>
      <c r="BO104" s="10"/>
      <c r="BP104" s="33"/>
      <c r="BQ104" s="33"/>
      <c r="BR104" s="48"/>
      <c r="BS104" s="12"/>
      <c r="BT104" s="10"/>
      <c r="BU104" s="10"/>
      <c r="BV104" s="33"/>
      <c r="BW104" s="33"/>
      <c r="BX104" s="48"/>
      <c r="BY104" s="12"/>
      <c r="BZ104" s="10"/>
      <c r="CA104" s="10"/>
      <c r="CB104" s="33"/>
      <c r="CC104" s="33"/>
      <c r="CD104" s="48"/>
      <c r="CE104" s="12"/>
    </row>
    <row r="105" spans="1:83" ht="80.25" customHeight="1">
      <c r="A105" s="20"/>
      <c r="B105" s="28"/>
      <c r="C105" s="27"/>
      <c r="D105" s="35"/>
      <c r="H105" s="29"/>
      <c r="I105" s="11"/>
      <c r="J105" s="56"/>
      <c r="K105" s="33"/>
      <c r="L105" s="10"/>
      <c r="M105" s="10"/>
      <c r="N105" s="33"/>
      <c r="O105" s="33"/>
      <c r="P105" s="56"/>
      <c r="Q105" s="33"/>
      <c r="R105" s="56"/>
      <c r="S105" s="56"/>
      <c r="T105" s="33"/>
      <c r="U105" s="33"/>
      <c r="V105" s="56"/>
      <c r="W105" s="33"/>
      <c r="X105" s="56"/>
      <c r="Y105" s="56"/>
      <c r="Z105" s="33"/>
      <c r="AA105" s="33"/>
      <c r="AB105" s="146"/>
      <c r="AC105" s="117"/>
      <c r="AD105" s="10"/>
      <c r="AE105" s="10"/>
      <c r="AF105" s="117"/>
      <c r="AG105" s="118"/>
      <c r="AH105" s="80"/>
      <c r="AI105" s="127"/>
      <c r="AJ105" s="111"/>
      <c r="AK105" s="111"/>
      <c r="AL105" s="112"/>
      <c r="AM105" s="112"/>
      <c r="AN105" s="80"/>
      <c r="AO105" s="12"/>
      <c r="AP105" s="10"/>
      <c r="AQ105" s="10"/>
      <c r="AR105" s="12"/>
      <c r="AS105" s="12"/>
      <c r="AT105" s="13"/>
      <c r="AU105" s="12"/>
      <c r="AV105" s="10"/>
      <c r="AW105" s="10"/>
      <c r="AX105" s="12"/>
      <c r="AY105" s="12"/>
      <c r="AZ105" s="32"/>
      <c r="BA105" s="12"/>
      <c r="BB105" s="10"/>
      <c r="BC105" s="10"/>
      <c r="BD105" s="12"/>
      <c r="BE105" s="12"/>
      <c r="BF105" s="48"/>
      <c r="BG105" s="12"/>
      <c r="BH105" s="10"/>
      <c r="BI105" s="10"/>
      <c r="BJ105" s="33"/>
      <c r="BK105" s="33"/>
      <c r="BL105" s="48"/>
      <c r="BM105" s="12"/>
      <c r="BN105" s="10"/>
      <c r="BO105" s="10"/>
      <c r="BP105" s="33"/>
      <c r="BQ105" s="33"/>
      <c r="BR105" s="48"/>
      <c r="BS105" s="12"/>
      <c r="BT105" s="10"/>
      <c r="BU105" s="10"/>
      <c r="BV105" s="33"/>
      <c r="BW105" s="33"/>
      <c r="BX105" s="48"/>
      <c r="BY105" s="12"/>
      <c r="BZ105" s="10"/>
      <c r="CA105" s="10"/>
      <c r="CB105" s="33"/>
      <c r="CC105" s="33"/>
      <c r="CD105" s="48"/>
      <c r="CE105" s="12"/>
    </row>
    <row r="106" spans="1:83" ht="80.25" customHeight="1">
      <c r="A106" s="20"/>
      <c r="B106" s="28"/>
      <c r="C106" s="30"/>
      <c r="D106" s="134"/>
      <c r="H106" s="29"/>
      <c r="I106" s="11"/>
      <c r="J106" s="56"/>
      <c r="K106" s="33"/>
      <c r="L106" s="10"/>
      <c r="M106" s="10"/>
      <c r="N106" s="33"/>
      <c r="O106" s="33"/>
      <c r="P106" s="56"/>
      <c r="Q106" s="33"/>
      <c r="R106" s="56"/>
      <c r="S106" s="56"/>
      <c r="T106" s="33"/>
      <c r="U106" s="33"/>
      <c r="V106" s="56"/>
      <c r="W106" s="33"/>
      <c r="X106" s="56"/>
      <c r="Y106" s="56"/>
      <c r="Z106" s="33"/>
      <c r="AA106" s="33"/>
      <c r="AB106" s="146"/>
      <c r="AC106" s="117"/>
      <c r="AD106" s="10"/>
      <c r="AE106" s="10"/>
      <c r="AF106" s="117"/>
      <c r="AG106" s="118"/>
      <c r="AH106" s="80"/>
      <c r="AI106" s="127"/>
      <c r="AJ106" s="111"/>
      <c r="AK106" s="111"/>
      <c r="AL106" s="112"/>
      <c r="AM106" s="112"/>
      <c r="AN106" s="80"/>
      <c r="AO106" s="12"/>
      <c r="AP106" s="10"/>
      <c r="AQ106" s="10"/>
      <c r="AR106" s="12"/>
      <c r="AS106" s="12"/>
      <c r="AT106" s="13"/>
      <c r="AU106" s="12"/>
      <c r="AV106" s="10"/>
      <c r="AW106" s="10"/>
      <c r="AX106" s="12"/>
      <c r="AY106" s="12"/>
      <c r="AZ106" s="32"/>
      <c r="BA106" s="12"/>
      <c r="BB106" s="10"/>
      <c r="BC106" s="10"/>
      <c r="BD106" s="12"/>
      <c r="BE106" s="12"/>
      <c r="BF106" s="48"/>
      <c r="BG106" s="12"/>
      <c r="BH106" s="10"/>
      <c r="BI106" s="10"/>
      <c r="BJ106" s="33"/>
      <c r="BK106" s="33"/>
      <c r="BL106" s="48"/>
      <c r="BM106" s="12"/>
      <c r="BN106" s="10"/>
      <c r="BO106" s="10"/>
      <c r="BP106" s="33"/>
      <c r="BQ106" s="33"/>
      <c r="BR106" s="48"/>
      <c r="BS106" s="12"/>
      <c r="BT106" s="10"/>
      <c r="BU106" s="10"/>
      <c r="BV106" s="33"/>
      <c r="BW106" s="33"/>
      <c r="BX106" s="48"/>
      <c r="BY106" s="12"/>
      <c r="BZ106" s="10"/>
      <c r="CA106" s="10"/>
      <c r="CB106" s="33"/>
      <c r="CC106" s="33"/>
      <c r="CD106" s="48"/>
      <c r="CE106" s="12"/>
    </row>
    <row r="107" spans="1:83" ht="80.25" customHeight="1">
      <c r="A107" s="20"/>
      <c r="B107" s="28"/>
      <c r="C107" s="30"/>
      <c r="D107" s="134"/>
      <c r="H107" s="29"/>
      <c r="I107" s="11"/>
      <c r="J107" s="56"/>
      <c r="K107" s="33"/>
      <c r="L107" s="10"/>
      <c r="M107" s="10"/>
      <c r="N107" s="33"/>
      <c r="O107" s="33"/>
      <c r="P107" s="56"/>
      <c r="Q107" s="33"/>
      <c r="R107" s="56"/>
      <c r="S107" s="56"/>
      <c r="T107" s="33"/>
      <c r="U107" s="33"/>
      <c r="V107" s="56"/>
      <c r="W107" s="33"/>
      <c r="X107" s="56"/>
      <c r="Y107" s="56"/>
      <c r="Z107" s="33"/>
      <c r="AA107" s="33"/>
      <c r="AB107" s="146"/>
      <c r="AC107" s="117"/>
      <c r="AD107" s="10"/>
      <c r="AE107" s="10"/>
      <c r="AF107" s="117"/>
      <c r="AG107" s="118"/>
      <c r="AH107" s="80"/>
      <c r="AI107" s="127"/>
      <c r="AJ107" s="111"/>
      <c r="AK107" s="111"/>
      <c r="AL107" s="112"/>
      <c r="AM107" s="112"/>
      <c r="AN107" s="80"/>
      <c r="AO107" s="12"/>
      <c r="AP107" s="10"/>
      <c r="AQ107" s="10"/>
      <c r="AR107" s="12"/>
      <c r="AS107" s="12"/>
      <c r="AT107" s="13"/>
      <c r="AU107" s="12"/>
      <c r="AV107" s="10"/>
      <c r="AW107" s="10"/>
      <c r="AX107" s="12"/>
      <c r="AY107" s="12"/>
      <c r="AZ107" s="32"/>
      <c r="BA107" s="12"/>
      <c r="BB107" s="10"/>
      <c r="BC107" s="10"/>
      <c r="BD107" s="12"/>
      <c r="BE107" s="12"/>
      <c r="BF107" s="48"/>
      <c r="BG107" s="12"/>
      <c r="BH107" s="10"/>
      <c r="BI107" s="10"/>
      <c r="BJ107" s="33"/>
      <c r="BK107" s="33"/>
      <c r="BL107" s="48"/>
      <c r="BM107" s="12"/>
      <c r="BN107" s="10"/>
      <c r="BO107" s="10"/>
      <c r="BP107" s="33"/>
      <c r="BQ107" s="33"/>
      <c r="BR107" s="48"/>
      <c r="BS107" s="12"/>
      <c r="BT107" s="10"/>
      <c r="BU107" s="10"/>
      <c r="BV107" s="33"/>
      <c r="BW107" s="33"/>
      <c r="BX107" s="48"/>
      <c r="BY107" s="12"/>
      <c r="BZ107" s="10"/>
      <c r="CA107" s="10"/>
      <c r="CB107" s="33"/>
      <c r="CC107" s="33"/>
      <c r="CD107" s="48"/>
      <c r="CE107" s="12"/>
    </row>
    <row r="108" spans="1:83" ht="80.25" customHeight="1">
      <c r="A108" s="20"/>
      <c r="B108" s="28"/>
      <c r="C108" s="27"/>
      <c r="D108" s="35"/>
      <c r="H108" s="29"/>
      <c r="I108" s="11"/>
      <c r="J108" s="56"/>
      <c r="K108" s="33"/>
      <c r="L108" s="10"/>
      <c r="M108" s="10"/>
      <c r="N108" s="33"/>
      <c r="O108" s="33"/>
      <c r="P108" s="56"/>
      <c r="Q108" s="33"/>
      <c r="R108" s="56"/>
      <c r="S108" s="56"/>
      <c r="T108" s="33"/>
      <c r="U108" s="33"/>
      <c r="V108" s="56"/>
      <c r="W108" s="33"/>
      <c r="X108" s="56"/>
      <c r="Y108" s="56"/>
      <c r="Z108" s="33"/>
      <c r="AA108" s="33"/>
      <c r="AB108" s="146"/>
      <c r="AC108" s="117"/>
      <c r="AD108" s="10"/>
      <c r="AE108" s="10"/>
      <c r="AF108" s="117"/>
      <c r="AG108" s="118"/>
      <c r="AH108" s="80"/>
      <c r="AI108" s="127"/>
      <c r="AJ108" s="111"/>
      <c r="AK108" s="111"/>
      <c r="AL108" s="112"/>
      <c r="AM108" s="112"/>
      <c r="AN108" s="80"/>
      <c r="AO108" s="12"/>
      <c r="AP108" s="10"/>
      <c r="AQ108" s="10"/>
      <c r="AR108" s="12"/>
      <c r="AS108" s="12"/>
      <c r="AT108" s="13"/>
      <c r="AU108" s="12"/>
      <c r="AV108" s="10"/>
      <c r="AW108" s="10"/>
      <c r="AX108" s="12"/>
      <c r="AY108" s="12"/>
      <c r="AZ108" s="32"/>
      <c r="BA108" s="12"/>
      <c r="BB108" s="10"/>
      <c r="BC108" s="10"/>
      <c r="BD108" s="12"/>
      <c r="BE108" s="12"/>
      <c r="BF108" s="48"/>
      <c r="BG108" s="12"/>
      <c r="BH108" s="10"/>
      <c r="BI108" s="10"/>
      <c r="BJ108" s="33"/>
      <c r="BK108" s="33"/>
      <c r="BL108" s="48"/>
      <c r="BM108" s="12"/>
      <c r="BN108" s="10"/>
      <c r="BO108" s="10"/>
      <c r="BP108" s="33"/>
      <c r="BQ108" s="33"/>
      <c r="BR108" s="48"/>
      <c r="BS108" s="12"/>
      <c r="BT108" s="10"/>
      <c r="BU108" s="10"/>
      <c r="BV108" s="33"/>
      <c r="BW108" s="33"/>
      <c r="BX108" s="48"/>
      <c r="BY108" s="12"/>
      <c r="BZ108" s="10"/>
      <c r="CA108" s="10"/>
      <c r="CB108" s="33"/>
      <c r="CC108" s="33"/>
      <c r="CD108" s="48"/>
      <c r="CE108" s="12"/>
    </row>
    <row r="109" spans="1:83" ht="80.25" customHeight="1">
      <c r="A109" s="20"/>
      <c r="B109" s="28"/>
      <c r="C109" s="27"/>
      <c r="D109" s="35"/>
      <c r="H109" s="29"/>
      <c r="I109" s="11"/>
      <c r="J109" s="56"/>
      <c r="K109" s="33"/>
      <c r="L109" s="10"/>
      <c r="M109" s="10"/>
      <c r="N109" s="33"/>
      <c r="O109" s="33"/>
      <c r="P109" s="56"/>
      <c r="Q109" s="33"/>
      <c r="R109" s="56"/>
      <c r="S109" s="56"/>
      <c r="T109" s="33"/>
      <c r="U109" s="33"/>
      <c r="V109" s="56"/>
      <c r="W109" s="33"/>
      <c r="X109" s="56"/>
      <c r="Y109" s="56"/>
      <c r="Z109" s="33"/>
      <c r="AA109" s="33"/>
      <c r="AB109" s="146"/>
      <c r="AC109" s="117"/>
      <c r="AD109" s="10"/>
      <c r="AE109" s="10"/>
      <c r="AF109" s="117"/>
      <c r="AG109" s="118"/>
      <c r="AH109" s="80"/>
      <c r="AI109" s="127"/>
      <c r="AJ109" s="111"/>
      <c r="AK109" s="111"/>
      <c r="AL109" s="112"/>
      <c r="AM109" s="112"/>
      <c r="AN109" s="80"/>
      <c r="AO109" s="12"/>
      <c r="AP109" s="10"/>
      <c r="AQ109" s="10"/>
      <c r="AR109" s="12"/>
      <c r="AS109" s="12"/>
      <c r="AT109" s="13"/>
      <c r="AU109" s="12"/>
      <c r="AV109" s="10"/>
      <c r="AW109" s="10"/>
      <c r="AX109" s="12"/>
      <c r="AY109" s="12"/>
      <c r="AZ109" s="32"/>
      <c r="BA109" s="12"/>
      <c r="BB109" s="10"/>
      <c r="BC109" s="10"/>
      <c r="BD109" s="12"/>
      <c r="BE109" s="12"/>
      <c r="BF109" s="48"/>
      <c r="BG109" s="12"/>
      <c r="BH109" s="10"/>
      <c r="BI109" s="10"/>
      <c r="BJ109" s="33"/>
      <c r="BK109" s="33"/>
      <c r="BL109" s="48"/>
      <c r="BM109" s="12"/>
      <c r="BN109" s="10"/>
      <c r="BO109" s="10"/>
      <c r="BP109" s="33"/>
      <c r="BQ109" s="33"/>
      <c r="BR109" s="48"/>
      <c r="BS109" s="12"/>
      <c r="BT109" s="10"/>
      <c r="BU109" s="10"/>
      <c r="BV109" s="33"/>
      <c r="BW109" s="33"/>
      <c r="BX109" s="48"/>
      <c r="BY109" s="12"/>
      <c r="BZ109" s="10"/>
      <c r="CA109" s="10"/>
      <c r="CB109" s="33"/>
      <c r="CC109" s="33"/>
      <c r="CD109" s="48"/>
      <c r="CE109" s="12"/>
    </row>
    <row r="110" spans="1:83" ht="80.25" customHeight="1">
      <c r="A110" s="20"/>
      <c r="B110" s="28"/>
      <c r="C110" s="27"/>
      <c r="D110" s="35"/>
      <c r="H110" s="29"/>
      <c r="I110" s="11"/>
      <c r="J110" s="56"/>
      <c r="K110" s="33"/>
      <c r="L110" s="10"/>
      <c r="M110" s="10"/>
      <c r="N110" s="33"/>
      <c r="O110" s="33"/>
      <c r="P110" s="56"/>
      <c r="Q110" s="33"/>
      <c r="R110" s="56"/>
      <c r="S110" s="56"/>
      <c r="T110" s="33"/>
      <c r="U110" s="33"/>
      <c r="V110" s="56"/>
      <c r="W110" s="33"/>
      <c r="X110" s="56"/>
      <c r="Y110" s="56"/>
      <c r="Z110" s="33"/>
      <c r="AA110" s="33"/>
      <c r="AB110" s="146"/>
      <c r="AC110" s="117"/>
      <c r="AD110" s="10"/>
      <c r="AE110" s="10"/>
      <c r="AF110" s="117"/>
      <c r="AG110" s="118"/>
      <c r="AH110" s="80"/>
      <c r="AI110" s="127"/>
      <c r="AJ110" s="111"/>
      <c r="AK110" s="111"/>
      <c r="AL110" s="112"/>
      <c r="AM110" s="112"/>
      <c r="AN110" s="80"/>
      <c r="AO110" s="12"/>
      <c r="AP110" s="10"/>
      <c r="AQ110" s="10"/>
      <c r="AR110" s="12"/>
      <c r="AS110" s="12"/>
      <c r="AT110" s="13"/>
      <c r="AU110" s="12"/>
      <c r="AV110" s="10"/>
      <c r="AW110" s="10"/>
      <c r="AX110" s="12"/>
      <c r="AY110" s="12"/>
      <c r="AZ110" s="32"/>
      <c r="BA110" s="12"/>
      <c r="BB110" s="10"/>
      <c r="BC110" s="10"/>
      <c r="BD110" s="12"/>
      <c r="BE110" s="12"/>
      <c r="BF110" s="48"/>
      <c r="BG110" s="12"/>
      <c r="BH110" s="10"/>
      <c r="BI110" s="10"/>
      <c r="BJ110" s="33"/>
      <c r="BK110" s="33"/>
      <c r="BL110" s="48"/>
      <c r="BM110" s="12"/>
      <c r="BN110" s="10"/>
      <c r="BO110" s="10"/>
      <c r="BP110" s="33"/>
      <c r="BQ110" s="33"/>
      <c r="BR110" s="48"/>
      <c r="BS110" s="12"/>
      <c r="BT110" s="10"/>
      <c r="BU110" s="10"/>
      <c r="BV110" s="33"/>
      <c r="BW110" s="33"/>
      <c r="BX110" s="48"/>
      <c r="BY110" s="12"/>
      <c r="BZ110" s="10"/>
      <c r="CA110" s="10"/>
      <c r="CB110" s="33"/>
      <c r="CC110" s="33"/>
      <c r="CD110" s="48"/>
      <c r="CE110" s="12"/>
    </row>
    <row r="111" spans="1:83" ht="80.25" customHeight="1">
      <c r="A111" s="20"/>
      <c r="B111" s="28"/>
      <c r="C111" s="27"/>
      <c r="D111" s="35"/>
      <c r="H111" s="29"/>
      <c r="I111" s="11"/>
      <c r="J111" s="56"/>
      <c r="K111" s="33"/>
      <c r="L111" s="10"/>
      <c r="M111" s="10"/>
      <c r="N111" s="33"/>
      <c r="O111" s="33"/>
      <c r="P111" s="56"/>
      <c r="Q111" s="33"/>
      <c r="R111" s="56"/>
      <c r="S111" s="56"/>
      <c r="T111" s="33"/>
      <c r="U111" s="33"/>
      <c r="V111" s="56"/>
      <c r="W111" s="33"/>
      <c r="X111" s="56"/>
      <c r="Y111" s="56"/>
      <c r="Z111" s="33"/>
      <c r="AA111" s="33"/>
      <c r="AB111" s="146"/>
      <c r="AC111" s="117"/>
      <c r="AD111" s="10"/>
      <c r="AE111" s="10"/>
      <c r="AF111" s="117"/>
      <c r="AG111" s="118"/>
      <c r="AH111" s="80"/>
      <c r="AI111" s="127"/>
      <c r="AJ111" s="111"/>
      <c r="AK111" s="111"/>
      <c r="AL111" s="112"/>
      <c r="AM111" s="112"/>
      <c r="AN111" s="80"/>
      <c r="AO111" s="12"/>
      <c r="AP111" s="10"/>
      <c r="AQ111" s="10"/>
      <c r="AR111" s="12"/>
      <c r="AS111" s="12"/>
      <c r="AT111" s="13"/>
      <c r="AU111" s="12"/>
      <c r="AV111" s="10"/>
      <c r="AW111" s="10"/>
      <c r="AX111" s="12"/>
      <c r="AY111" s="12"/>
      <c r="AZ111" s="32"/>
      <c r="BA111" s="12"/>
      <c r="BB111" s="10"/>
      <c r="BC111" s="10"/>
      <c r="BD111" s="12"/>
      <c r="BE111" s="12"/>
      <c r="BF111" s="48"/>
      <c r="BG111" s="12"/>
      <c r="BH111" s="10"/>
      <c r="BI111" s="10"/>
      <c r="BJ111" s="33"/>
      <c r="BK111" s="33"/>
      <c r="BL111" s="48"/>
      <c r="BM111" s="12"/>
      <c r="BN111" s="10"/>
      <c r="BO111" s="10"/>
      <c r="BP111" s="33"/>
      <c r="BQ111" s="33"/>
      <c r="BR111" s="48"/>
      <c r="BS111" s="12"/>
      <c r="BT111" s="10"/>
      <c r="BU111" s="10"/>
      <c r="BV111" s="33"/>
      <c r="BW111" s="33"/>
      <c r="BX111" s="48"/>
      <c r="BY111" s="12"/>
      <c r="BZ111" s="10"/>
      <c r="CA111" s="10"/>
      <c r="CB111" s="33"/>
      <c r="CC111" s="33"/>
      <c r="CD111" s="48"/>
      <c r="CE111" s="12"/>
    </row>
    <row r="112" spans="1:83" ht="80.25" customHeight="1">
      <c r="A112" s="20"/>
      <c r="B112" s="28"/>
      <c r="C112" s="27"/>
      <c r="D112" s="35"/>
      <c r="H112" s="29"/>
      <c r="I112" s="11"/>
      <c r="J112" s="56"/>
      <c r="K112" s="33"/>
      <c r="L112" s="10"/>
      <c r="M112" s="10"/>
      <c r="N112" s="33"/>
      <c r="O112" s="33"/>
      <c r="P112" s="56"/>
      <c r="Q112" s="33"/>
      <c r="R112" s="56"/>
      <c r="S112" s="56"/>
      <c r="T112" s="33"/>
      <c r="U112" s="33"/>
      <c r="V112" s="56"/>
      <c r="W112" s="33"/>
      <c r="X112" s="56"/>
      <c r="Y112" s="56"/>
      <c r="Z112" s="33"/>
      <c r="AA112" s="33"/>
      <c r="AB112" s="146"/>
      <c r="AC112" s="117"/>
      <c r="AD112" s="10"/>
      <c r="AE112" s="10"/>
      <c r="AF112" s="117"/>
      <c r="AG112" s="118"/>
      <c r="AH112" s="80"/>
      <c r="AI112" s="127"/>
      <c r="AJ112" s="111"/>
      <c r="AK112" s="111"/>
      <c r="AL112" s="112"/>
      <c r="AM112" s="112"/>
      <c r="AN112" s="80"/>
      <c r="AO112" s="12"/>
      <c r="AP112" s="10"/>
      <c r="AQ112" s="10"/>
      <c r="AR112" s="12"/>
      <c r="AS112" s="12"/>
      <c r="AT112" s="13"/>
      <c r="AU112" s="12"/>
      <c r="AV112" s="10"/>
      <c r="AW112" s="10"/>
      <c r="AX112" s="12"/>
      <c r="AY112" s="12"/>
      <c r="AZ112" s="32"/>
      <c r="BA112" s="12"/>
      <c r="BB112" s="10"/>
      <c r="BC112" s="10"/>
      <c r="BD112" s="12"/>
      <c r="BE112" s="12"/>
      <c r="BF112" s="48"/>
      <c r="BG112" s="12"/>
      <c r="BH112" s="10"/>
      <c r="BI112" s="10"/>
      <c r="BJ112" s="33"/>
      <c r="BK112" s="33"/>
      <c r="BL112" s="48"/>
      <c r="BM112" s="12"/>
      <c r="BN112" s="10"/>
      <c r="BO112" s="10"/>
      <c r="BP112" s="33"/>
      <c r="BQ112" s="33"/>
      <c r="BR112" s="48"/>
      <c r="BS112" s="12"/>
      <c r="BT112" s="10"/>
      <c r="BU112" s="10"/>
      <c r="BV112" s="33"/>
      <c r="BW112" s="33"/>
      <c r="BX112" s="48"/>
      <c r="BY112" s="12"/>
      <c r="BZ112" s="10"/>
      <c r="CA112" s="10"/>
      <c r="CB112" s="33"/>
      <c r="CC112" s="33"/>
      <c r="CD112" s="48"/>
      <c r="CE112" s="12"/>
    </row>
    <row r="113" spans="1:83" ht="80.25" customHeight="1">
      <c r="A113" s="20"/>
      <c r="B113" s="28"/>
      <c r="C113" s="30"/>
      <c r="D113" s="134"/>
      <c r="H113" s="29"/>
      <c r="I113" s="11"/>
      <c r="J113" s="56"/>
      <c r="K113" s="33"/>
      <c r="L113" s="10"/>
      <c r="M113" s="10"/>
      <c r="N113" s="33"/>
      <c r="O113" s="33"/>
      <c r="P113" s="56"/>
      <c r="Q113" s="33"/>
      <c r="R113" s="56"/>
      <c r="S113" s="56"/>
      <c r="T113" s="33"/>
      <c r="U113" s="33"/>
      <c r="V113" s="56"/>
      <c r="W113" s="33"/>
      <c r="X113" s="56"/>
      <c r="Y113" s="56"/>
      <c r="Z113" s="33"/>
      <c r="AA113" s="33"/>
      <c r="AB113" s="146"/>
      <c r="AC113" s="117"/>
      <c r="AD113" s="10"/>
      <c r="AE113" s="10"/>
      <c r="AF113" s="117"/>
      <c r="AG113" s="118"/>
      <c r="AH113" s="80"/>
      <c r="AI113" s="127"/>
      <c r="AJ113" s="111"/>
      <c r="AK113" s="111"/>
      <c r="AL113" s="112"/>
      <c r="AM113" s="112"/>
      <c r="AN113" s="80"/>
      <c r="AO113" s="12"/>
      <c r="AP113" s="10"/>
      <c r="AQ113" s="10"/>
      <c r="AR113" s="12"/>
      <c r="AS113" s="12"/>
      <c r="AT113" s="13"/>
      <c r="AU113" s="12"/>
      <c r="AV113" s="10"/>
      <c r="AW113" s="10"/>
      <c r="AX113" s="12"/>
      <c r="AY113" s="12"/>
      <c r="AZ113" s="32"/>
      <c r="BA113" s="12"/>
      <c r="BB113" s="10"/>
      <c r="BC113" s="10"/>
      <c r="BD113" s="12"/>
      <c r="BE113" s="12"/>
      <c r="BF113" s="48"/>
      <c r="BG113" s="12"/>
      <c r="BH113" s="10"/>
      <c r="BI113" s="10"/>
      <c r="BJ113" s="33"/>
      <c r="BK113" s="33"/>
      <c r="BL113" s="48"/>
      <c r="BM113" s="12"/>
      <c r="BN113" s="10"/>
      <c r="BO113" s="10"/>
      <c r="BP113" s="33"/>
      <c r="BQ113" s="33"/>
      <c r="BR113" s="48"/>
      <c r="BS113" s="12"/>
      <c r="BT113" s="10"/>
      <c r="BU113" s="10"/>
      <c r="BV113" s="33"/>
      <c r="BW113" s="33"/>
      <c r="BX113" s="48"/>
      <c r="BY113" s="12"/>
      <c r="BZ113" s="10"/>
      <c r="CA113" s="10"/>
      <c r="CB113" s="33"/>
      <c r="CC113" s="33"/>
      <c r="CD113" s="48"/>
      <c r="CE113" s="12"/>
    </row>
    <row r="114" spans="1:83" ht="80.25" customHeight="1">
      <c r="A114" s="20"/>
      <c r="B114" s="28"/>
      <c r="C114" s="30"/>
      <c r="D114" s="134"/>
      <c r="H114" s="29"/>
      <c r="I114" s="11"/>
      <c r="J114" s="56"/>
      <c r="K114" s="33"/>
      <c r="L114" s="10"/>
      <c r="M114" s="10"/>
      <c r="N114" s="33"/>
      <c r="O114" s="33"/>
      <c r="P114" s="56"/>
      <c r="Q114" s="33"/>
      <c r="R114" s="56"/>
      <c r="S114" s="56"/>
      <c r="T114" s="33"/>
      <c r="U114" s="33"/>
      <c r="V114" s="56"/>
      <c r="W114" s="33"/>
      <c r="X114" s="56"/>
      <c r="Y114" s="56"/>
      <c r="Z114" s="33"/>
      <c r="AA114" s="33"/>
      <c r="AB114" s="146"/>
      <c r="AC114" s="117"/>
      <c r="AD114" s="10"/>
      <c r="AE114" s="10"/>
      <c r="AF114" s="117"/>
      <c r="AG114" s="118"/>
      <c r="AH114" s="80"/>
      <c r="AI114" s="127"/>
      <c r="AJ114" s="111"/>
      <c r="AK114" s="111"/>
      <c r="AL114" s="112"/>
      <c r="AM114" s="112"/>
      <c r="AN114" s="80"/>
      <c r="AO114" s="12"/>
      <c r="AP114" s="10"/>
      <c r="AQ114" s="10"/>
      <c r="AR114" s="12"/>
      <c r="AS114" s="12"/>
      <c r="AT114" s="13"/>
      <c r="AU114" s="12"/>
      <c r="AV114" s="10"/>
      <c r="AW114" s="10"/>
      <c r="AX114" s="12"/>
      <c r="AY114" s="12"/>
      <c r="AZ114" s="32"/>
      <c r="BA114" s="12"/>
      <c r="BB114" s="10"/>
      <c r="BC114" s="10"/>
      <c r="BD114" s="12"/>
      <c r="BE114" s="12"/>
      <c r="BF114" s="48"/>
      <c r="BG114" s="12"/>
      <c r="BH114" s="10"/>
      <c r="BI114" s="10"/>
      <c r="BJ114" s="33"/>
      <c r="BK114" s="33"/>
      <c r="BL114" s="48"/>
      <c r="BM114" s="12"/>
      <c r="BN114" s="10"/>
      <c r="BO114" s="10"/>
      <c r="BP114" s="33"/>
      <c r="BQ114" s="33"/>
      <c r="BR114" s="48"/>
      <c r="BS114" s="12"/>
      <c r="BT114" s="10"/>
      <c r="BU114" s="10"/>
      <c r="BV114" s="33"/>
      <c r="BW114" s="33"/>
      <c r="BX114" s="48"/>
      <c r="BY114" s="12"/>
      <c r="BZ114" s="10"/>
      <c r="CA114" s="10"/>
      <c r="CB114" s="33"/>
      <c r="CC114" s="33"/>
      <c r="CD114" s="48"/>
      <c r="CE114" s="12"/>
    </row>
    <row r="115" spans="1:83" ht="80.25" customHeight="1">
      <c r="A115" s="20"/>
      <c r="B115" s="28"/>
      <c r="C115" s="30"/>
      <c r="D115" s="134"/>
      <c r="H115" s="29"/>
      <c r="I115" s="11"/>
      <c r="J115" s="56"/>
      <c r="K115" s="33"/>
      <c r="L115" s="10"/>
      <c r="M115" s="10"/>
      <c r="N115" s="33"/>
      <c r="O115" s="33"/>
      <c r="P115" s="56"/>
      <c r="Q115" s="33"/>
      <c r="R115" s="56"/>
      <c r="S115" s="56"/>
      <c r="T115" s="33"/>
      <c r="U115" s="33"/>
      <c r="V115" s="56"/>
      <c r="W115" s="33"/>
      <c r="X115" s="56"/>
      <c r="Y115" s="56"/>
      <c r="Z115" s="33"/>
      <c r="AA115" s="33"/>
      <c r="AB115" s="146"/>
      <c r="AC115" s="117"/>
      <c r="AD115" s="10"/>
      <c r="AE115" s="10"/>
      <c r="AF115" s="117"/>
      <c r="AG115" s="118"/>
      <c r="AH115" s="80"/>
      <c r="AI115" s="127"/>
      <c r="AJ115" s="111"/>
      <c r="AK115" s="111"/>
      <c r="AL115" s="112"/>
      <c r="AM115" s="112"/>
      <c r="AN115" s="80"/>
      <c r="AO115" s="12"/>
      <c r="AP115" s="10"/>
      <c r="AQ115" s="10"/>
      <c r="AR115" s="12"/>
      <c r="AS115" s="12"/>
      <c r="AT115" s="13"/>
      <c r="AU115" s="12"/>
      <c r="AV115" s="10"/>
      <c r="AW115" s="10"/>
      <c r="AX115" s="12"/>
      <c r="AY115" s="12"/>
      <c r="AZ115" s="32"/>
      <c r="BA115" s="12"/>
      <c r="BB115" s="10"/>
      <c r="BC115" s="10"/>
      <c r="BD115" s="12"/>
      <c r="BE115" s="12"/>
      <c r="BF115" s="48"/>
      <c r="BG115" s="12"/>
      <c r="BH115" s="10"/>
      <c r="BI115" s="10"/>
      <c r="BJ115" s="33"/>
      <c r="BK115" s="33"/>
      <c r="BL115" s="48"/>
      <c r="BM115" s="12"/>
      <c r="BN115" s="10"/>
      <c r="BO115" s="10"/>
      <c r="BP115" s="33"/>
      <c r="BQ115" s="33"/>
      <c r="BR115" s="48"/>
      <c r="BS115" s="12"/>
      <c r="BT115" s="10"/>
      <c r="BU115" s="10"/>
      <c r="BV115" s="33"/>
      <c r="BW115" s="33"/>
      <c r="BX115" s="48"/>
      <c r="BY115" s="12"/>
      <c r="BZ115" s="10"/>
      <c r="CA115" s="10"/>
      <c r="CB115" s="33"/>
      <c r="CC115" s="33"/>
      <c r="CD115" s="48"/>
      <c r="CE115" s="12"/>
    </row>
    <row r="116" spans="1:83" ht="80.25" customHeight="1">
      <c r="A116" s="20"/>
      <c r="B116" s="28"/>
      <c r="C116" s="27"/>
      <c r="D116" s="35"/>
      <c r="H116" s="29"/>
      <c r="I116" s="11"/>
      <c r="J116" s="56"/>
      <c r="K116" s="33"/>
      <c r="L116" s="10"/>
      <c r="M116" s="10"/>
      <c r="N116" s="33"/>
      <c r="O116" s="33"/>
      <c r="P116" s="56"/>
      <c r="Q116" s="33"/>
      <c r="R116" s="56"/>
      <c r="S116" s="56"/>
      <c r="T116" s="33"/>
      <c r="U116" s="33"/>
      <c r="V116" s="56"/>
      <c r="W116" s="33"/>
      <c r="X116" s="56"/>
      <c r="Y116" s="56"/>
      <c r="Z116" s="33"/>
      <c r="AA116" s="33"/>
      <c r="AB116" s="146"/>
      <c r="AC116" s="117"/>
      <c r="AD116" s="10"/>
      <c r="AE116" s="10"/>
      <c r="AF116" s="117"/>
      <c r="AG116" s="118"/>
      <c r="AH116" s="80"/>
      <c r="AI116" s="127"/>
      <c r="AJ116" s="111"/>
      <c r="AK116" s="111"/>
      <c r="AL116" s="112"/>
      <c r="AM116" s="112"/>
      <c r="AN116" s="80"/>
      <c r="AO116" s="12"/>
      <c r="AP116" s="10"/>
      <c r="AQ116" s="10"/>
      <c r="AR116" s="12"/>
      <c r="AS116" s="12"/>
      <c r="AT116" s="13"/>
      <c r="AU116" s="12"/>
      <c r="AV116" s="10"/>
      <c r="AW116" s="10"/>
      <c r="AX116" s="12"/>
      <c r="AY116" s="12"/>
      <c r="AZ116" s="32"/>
      <c r="BA116" s="12"/>
      <c r="BB116" s="10"/>
      <c r="BC116" s="10"/>
      <c r="BD116" s="12"/>
      <c r="BE116" s="12"/>
      <c r="BF116" s="48"/>
      <c r="BG116" s="12"/>
      <c r="BH116" s="10"/>
      <c r="BI116" s="10"/>
      <c r="BJ116" s="33"/>
      <c r="BK116" s="33"/>
      <c r="BL116" s="48"/>
      <c r="BM116" s="12"/>
      <c r="BN116" s="10"/>
      <c r="BO116" s="10"/>
      <c r="BP116" s="33"/>
      <c r="BQ116" s="33"/>
      <c r="BR116" s="48"/>
      <c r="BS116" s="12"/>
      <c r="BT116" s="10"/>
      <c r="BU116" s="10"/>
      <c r="BV116" s="33"/>
      <c r="BW116" s="33"/>
      <c r="BX116" s="48"/>
      <c r="BY116" s="12"/>
      <c r="BZ116" s="10"/>
      <c r="CA116" s="10"/>
      <c r="CB116" s="33"/>
      <c r="CC116" s="33"/>
      <c r="CD116" s="48"/>
      <c r="CE116" s="12"/>
    </row>
    <row r="117" spans="1:83" ht="80.25" customHeight="1">
      <c r="A117" s="20"/>
      <c r="B117" s="28"/>
      <c r="C117" s="27"/>
      <c r="D117" s="35"/>
      <c r="H117" s="29"/>
      <c r="I117" s="11"/>
      <c r="J117" s="56"/>
      <c r="K117" s="33"/>
      <c r="L117" s="10"/>
      <c r="M117" s="10"/>
      <c r="N117" s="33"/>
      <c r="O117" s="33"/>
      <c r="P117" s="56"/>
      <c r="Q117" s="33"/>
      <c r="R117" s="56"/>
      <c r="S117" s="56"/>
      <c r="T117" s="33"/>
      <c r="U117" s="33"/>
      <c r="V117" s="56"/>
      <c r="W117" s="33"/>
      <c r="X117" s="56"/>
      <c r="Y117" s="56"/>
      <c r="Z117" s="33"/>
      <c r="AA117" s="33"/>
      <c r="AB117" s="146"/>
      <c r="AC117" s="117"/>
      <c r="AD117" s="10"/>
      <c r="AE117" s="10"/>
      <c r="AF117" s="117"/>
      <c r="AG117" s="118"/>
      <c r="AH117" s="80"/>
      <c r="AI117" s="127"/>
      <c r="AJ117" s="111"/>
      <c r="AK117" s="111"/>
      <c r="AL117" s="112"/>
      <c r="AM117" s="112"/>
      <c r="AN117" s="80"/>
      <c r="AO117" s="12"/>
      <c r="AP117" s="10"/>
      <c r="AQ117" s="10"/>
      <c r="AR117" s="12"/>
      <c r="AS117" s="12"/>
      <c r="AT117" s="13"/>
      <c r="AU117" s="12"/>
      <c r="AV117" s="10"/>
      <c r="AW117" s="10"/>
      <c r="AX117" s="12"/>
      <c r="AY117" s="12"/>
      <c r="AZ117" s="32"/>
      <c r="BA117" s="12"/>
      <c r="BB117" s="10"/>
      <c r="BC117" s="10"/>
      <c r="BD117" s="12"/>
      <c r="BE117" s="12"/>
      <c r="BF117" s="48"/>
      <c r="BG117" s="12"/>
      <c r="BH117" s="10"/>
      <c r="BI117" s="10"/>
      <c r="BJ117" s="33"/>
      <c r="BK117" s="33"/>
      <c r="BL117" s="48"/>
      <c r="BM117" s="12"/>
      <c r="BN117" s="10"/>
      <c r="BO117" s="10"/>
      <c r="BP117" s="33"/>
      <c r="BQ117" s="33"/>
      <c r="BR117" s="48"/>
      <c r="BS117" s="12"/>
      <c r="BT117" s="10"/>
      <c r="BU117" s="10"/>
      <c r="BV117" s="33"/>
      <c r="BW117" s="33"/>
      <c r="BX117" s="48"/>
      <c r="BY117" s="12"/>
      <c r="BZ117" s="10"/>
      <c r="CA117" s="10"/>
      <c r="CB117" s="33"/>
      <c r="CC117" s="33"/>
      <c r="CD117" s="48"/>
      <c r="CE117" s="12"/>
    </row>
    <row r="118" spans="1:83" ht="80.25" customHeight="1">
      <c r="A118" s="20"/>
      <c r="B118" s="28"/>
      <c r="C118" s="27"/>
      <c r="D118" s="35"/>
      <c r="H118" s="29"/>
      <c r="I118" s="11"/>
      <c r="J118" s="56"/>
      <c r="K118" s="33"/>
      <c r="L118" s="10"/>
      <c r="M118" s="10"/>
      <c r="N118" s="33"/>
      <c r="O118" s="33"/>
      <c r="P118" s="56"/>
      <c r="Q118" s="33"/>
      <c r="R118" s="56"/>
      <c r="S118" s="56"/>
      <c r="T118" s="33"/>
      <c r="U118" s="33"/>
      <c r="V118" s="56"/>
      <c r="W118" s="33"/>
      <c r="X118" s="56"/>
      <c r="Y118" s="56"/>
      <c r="Z118" s="33"/>
      <c r="AA118" s="33"/>
      <c r="AB118" s="146"/>
      <c r="AC118" s="117"/>
      <c r="AD118" s="10"/>
      <c r="AE118" s="10"/>
      <c r="AF118" s="117"/>
      <c r="AG118" s="118"/>
      <c r="AH118" s="80"/>
      <c r="AI118" s="127"/>
      <c r="AJ118" s="111"/>
      <c r="AK118" s="111"/>
      <c r="AL118" s="112"/>
      <c r="AM118" s="112"/>
      <c r="AN118" s="80"/>
      <c r="AO118" s="12"/>
      <c r="AP118" s="10"/>
      <c r="AQ118" s="10"/>
      <c r="AR118" s="12"/>
      <c r="AS118" s="12"/>
      <c r="AT118" s="13"/>
      <c r="AU118" s="12"/>
      <c r="AV118" s="10"/>
      <c r="AW118" s="10"/>
      <c r="AX118" s="12"/>
      <c r="AY118" s="12"/>
      <c r="AZ118" s="32"/>
      <c r="BA118" s="12"/>
      <c r="BB118" s="10"/>
      <c r="BC118" s="10"/>
      <c r="BD118" s="12"/>
      <c r="BE118" s="12"/>
      <c r="BF118" s="48"/>
      <c r="BG118" s="12"/>
      <c r="BH118" s="10"/>
      <c r="BI118" s="10"/>
      <c r="BJ118" s="33"/>
      <c r="BK118" s="33"/>
      <c r="BL118" s="48"/>
      <c r="BM118" s="12"/>
      <c r="BN118" s="10"/>
      <c r="BO118" s="10"/>
      <c r="BP118" s="33"/>
      <c r="BQ118" s="33"/>
      <c r="BR118" s="48"/>
      <c r="BS118" s="12"/>
      <c r="BT118" s="10"/>
      <c r="BU118" s="10"/>
      <c r="BV118" s="33"/>
      <c r="BW118" s="33"/>
      <c r="BX118" s="48"/>
      <c r="BY118" s="12"/>
      <c r="BZ118" s="10"/>
      <c r="CA118" s="10"/>
      <c r="CB118" s="33"/>
      <c r="CC118" s="33"/>
      <c r="CD118" s="48"/>
      <c r="CE118" s="12"/>
    </row>
    <row r="119" spans="1:83" ht="80.25" customHeight="1">
      <c r="A119" s="20"/>
      <c r="B119" s="28"/>
      <c r="C119" s="30"/>
      <c r="D119" s="134"/>
      <c r="H119" s="29"/>
      <c r="I119" s="11"/>
      <c r="J119" s="56"/>
      <c r="K119" s="33"/>
      <c r="L119" s="10"/>
      <c r="M119" s="10"/>
      <c r="N119" s="33"/>
      <c r="O119" s="33"/>
      <c r="P119" s="56"/>
      <c r="Q119" s="33"/>
      <c r="R119" s="56"/>
      <c r="S119" s="56"/>
      <c r="T119" s="33"/>
      <c r="U119" s="33"/>
      <c r="V119" s="56"/>
      <c r="W119" s="33"/>
      <c r="X119" s="56"/>
      <c r="Y119" s="56"/>
      <c r="Z119" s="33"/>
      <c r="AA119" s="33"/>
      <c r="AB119" s="146"/>
      <c r="AC119" s="117"/>
      <c r="AD119" s="10"/>
      <c r="AE119" s="10"/>
      <c r="AF119" s="117"/>
      <c r="AG119" s="118"/>
      <c r="AH119" s="80"/>
      <c r="AI119" s="127"/>
      <c r="AJ119" s="111"/>
      <c r="AK119" s="111"/>
      <c r="AL119" s="112"/>
      <c r="AM119" s="112"/>
      <c r="AN119" s="80"/>
      <c r="AO119" s="12"/>
      <c r="AP119" s="10"/>
      <c r="AQ119" s="10"/>
      <c r="AR119" s="12"/>
      <c r="AS119" s="12"/>
      <c r="AT119" s="13"/>
      <c r="AU119" s="12"/>
      <c r="AV119" s="10"/>
      <c r="AW119" s="10"/>
      <c r="AX119" s="12"/>
      <c r="AY119" s="12"/>
      <c r="AZ119" s="32"/>
      <c r="BA119" s="12"/>
      <c r="BB119" s="10"/>
      <c r="BC119" s="10"/>
      <c r="BD119" s="12"/>
      <c r="BE119" s="12"/>
      <c r="BF119" s="48"/>
      <c r="BG119" s="12"/>
      <c r="BH119" s="10"/>
      <c r="BI119" s="10"/>
      <c r="BJ119" s="33"/>
      <c r="BK119" s="33"/>
      <c r="BL119" s="48"/>
      <c r="BM119" s="12"/>
      <c r="BN119" s="10"/>
      <c r="BO119" s="10"/>
      <c r="BP119" s="33"/>
      <c r="BQ119" s="33"/>
      <c r="BR119" s="48"/>
      <c r="BS119" s="12"/>
      <c r="BT119" s="10"/>
      <c r="BU119" s="10"/>
      <c r="BV119" s="33"/>
      <c r="BW119" s="33"/>
      <c r="BX119" s="48"/>
      <c r="BY119" s="12"/>
      <c r="BZ119" s="10"/>
      <c r="CA119" s="10"/>
      <c r="CB119" s="33"/>
      <c r="CC119" s="33"/>
      <c r="CD119" s="48"/>
      <c r="CE119" s="12"/>
    </row>
    <row r="120" spans="1:83" ht="80.25" customHeight="1">
      <c r="A120" s="20"/>
      <c r="B120" s="28"/>
      <c r="C120" s="30"/>
      <c r="D120" s="134"/>
      <c r="H120" s="29"/>
      <c r="I120" s="11"/>
      <c r="J120" s="56"/>
      <c r="K120" s="33"/>
      <c r="L120" s="10"/>
      <c r="M120" s="10"/>
      <c r="N120" s="33"/>
      <c r="O120" s="33"/>
      <c r="P120" s="56"/>
      <c r="Q120" s="33"/>
      <c r="R120" s="56"/>
      <c r="S120" s="56"/>
      <c r="T120" s="33"/>
      <c r="U120" s="33"/>
      <c r="V120" s="56"/>
      <c r="W120" s="33"/>
      <c r="X120" s="56"/>
      <c r="Y120" s="56"/>
      <c r="Z120" s="33"/>
      <c r="AA120" s="33"/>
      <c r="AB120" s="146"/>
      <c r="AC120" s="117"/>
      <c r="AD120" s="10"/>
      <c r="AE120" s="10"/>
      <c r="AF120" s="117"/>
      <c r="AG120" s="118"/>
      <c r="AH120" s="80"/>
      <c r="AI120" s="127"/>
      <c r="AJ120" s="111"/>
      <c r="AK120" s="111"/>
      <c r="AL120" s="112"/>
      <c r="AM120" s="112"/>
      <c r="AN120" s="80"/>
      <c r="AO120" s="12"/>
      <c r="AP120" s="10"/>
      <c r="AQ120" s="10"/>
      <c r="AR120" s="12"/>
      <c r="AS120" s="12"/>
      <c r="AT120" s="13"/>
      <c r="AU120" s="12"/>
      <c r="AV120" s="10"/>
      <c r="AW120" s="10"/>
      <c r="AX120" s="12"/>
      <c r="AY120" s="12"/>
      <c r="AZ120" s="32"/>
      <c r="BA120" s="12"/>
      <c r="BB120" s="10"/>
      <c r="BC120" s="10"/>
      <c r="BD120" s="12"/>
      <c r="BE120" s="12"/>
      <c r="BF120" s="48"/>
      <c r="BG120" s="12"/>
      <c r="BH120" s="10"/>
      <c r="BI120" s="10"/>
      <c r="BJ120" s="33"/>
      <c r="BK120" s="33"/>
      <c r="BL120" s="48"/>
      <c r="BM120" s="12"/>
      <c r="BN120" s="10"/>
      <c r="BO120" s="10"/>
      <c r="BP120" s="33"/>
      <c r="BQ120" s="33"/>
      <c r="BR120" s="48"/>
      <c r="BS120" s="12"/>
      <c r="BT120" s="10"/>
      <c r="BU120" s="10"/>
      <c r="BV120" s="33"/>
      <c r="BW120" s="33"/>
      <c r="BX120" s="48"/>
      <c r="BY120" s="12"/>
      <c r="BZ120" s="10"/>
      <c r="CA120" s="10"/>
      <c r="CB120" s="33"/>
      <c r="CC120" s="33"/>
      <c r="CD120" s="48"/>
      <c r="CE120" s="12"/>
    </row>
    <row r="121" spans="1:83" ht="80.25" customHeight="1">
      <c r="A121" s="20"/>
      <c r="B121" s="28"/>
      <c r="C121" s="27"/>
      <c r="D121" s="35"/>
      <c r="H121" s="29"/>
      <c r="I121" s="11"/>
      <c r="J121" s="56"/>
      <c r="K121" s="33"/>
      <c r="L121" s="10"/>
      <c r="M121" s="10"/>
      <c r="N121" s="33"/>
      <c r="O121" s="33"/>
      <c r="P121" s="56"/>
      <c r="Q121" s="33"/>
      <c r="R121" s="56"/>
      <c r="S121" s="56"/>
      <c r="T121" s="33"/>
      <c r="U121" s="33"/>
      <c r="V121" s="56"/>
      <c r="W121" s="33"/>
      <c r="X121" s="56"/>
      <c r="Y121" s="56"/>
      <c r="Z121" s="33"/>
      <c r="AA121" s="33"/>
      <c r="AB121" s="146"/>
      <c r="AC121" s="117"/>
      <c r="AD121" s="10"/>
      <c r="AE121" s="10"/>
      <c r="AF121" s="117"/>
      <c r="AG121" s="118"/>
      <c r="AH121" s="80"/>
      <c r="AI121" s="127"/>
      <c r="AJ121" s="111"/>
      <c r="AK121" s="111"/>
      <c r="AL121" s="112"/>
      <c r="AM121" s="112"/>
      <c r="AN121" s="80"/>
      <c r="AO121" s="12"/>
      <c r="AP121" s="10"/>
      <c r="AQ121" s="10"/>
      <c r="AR121" s="12"/>
      <c r="AS121" s="12"/>
      <c r="AT121" s="13"/>
      <c r="AU121" s="12"/>
      <c r="AV121" s="10"/>
      <c r="AW121" s="10"/>
      <c r="AX121" s="12"/>
      <c r="AY121" s="12"/>
      <c r="AZ121" s="32"/>
      <c r="BA121" s="12"/>
      <c r="BB121" s="10"/>
      <c r="BC121" s="10"/>
      <c r="BD121" s="12"/>
      <c r="BE121" s="12"/>
      <c r="BF121" s="48"/>
      <c r="BG121" s="12"/>
      <c r="BH121" s="10"/>
      <c r="BI121" s="10"/>
      <c r="BJ121" s="33"/>
      <c r="BK121" s="33"/>
      <c r="BL121" s="48"/>
      <c r="BM121" s="12"/>
      <c r="BN121" s="10"/>
      <c r="BO121" s="10"/>
      <c r="BP121" s="33"/>
      <c r="BQ121" s="33"/>
      <c r="BR121" s="48"/>
      <c r="BS121" s="12"/>
      <c r="BT121" s="10"/>
      <c r="BU121" s="10"/>
      <c r="BV121" s="33"/>
      <c r="BW121" s="33"/>
      <c r="BX121" s="48"/>
      <c r="BY121" s="12"/>
      <c r="BZ121" s="10"/>
      <c r="CA121" s="10"/>
      <c r="CB121" s="33"/>
      <c r="CC121" s="33"/>
      <c r="CD121" s="48"/>
      <c r="CE121" s="12"/>
    </row>
    <row r="122" spans="1:83" ht="80.25" customHeight="1">
      <c r="A122" s="20"/>
      <c r="B122" s="28"/>
      <c r="C122" s="27"/>
      <c r="D122" s="35"/>
      <c r="H122" s="29"/>
      <c r="I122" s="11"/>
      <c r="J122" s="56"/>
      <c r="K122" s="33"/>
      <c r="L122" s="10"/>
      <c r="M122" s="10"/>
      <c r="N122" s="33"/>
      <c r="O122" s="33"/>
      <c r="P122" s="56"/>
      <c r="Q122" s="33"/>
      <c r="R122" s="56"/>
      <c r="S122" s="56"/>
      <c r="T122" s="33"/>
      <c r="U122" s="33"/>
      <c r="V122" s="56"/>
      <c r="W122" s="33"/>
      <c r="X122" s="56"/>
      <c r="Y122" s="56"/>
      <c r="Z122" s="33"/>
      <c r="AA122" s="33"/>
      <c r="AB122" s="146"/>
      <c r="AC122" s="117"/>
      <c r="AD122" s="10"/>
      <c r="AE122" s="10"/>
      <c r="AF122" s="117"/>
      <c r="AG122" s="118"/>
      <c r="AH122" s="80"/>
      <c r="AI122" s="127"/>
      <c r="AJ122" s="111"/>
      <c r="AK122" s="111"/>
      <c r="AL122" s="112"/>
      <c r="AM122" s="112"/>
      <c r="AN122" s="80"/>
      <c r="AO122" s="12"/>
      <c r="AP122" s="10"/>
      <c r="AQ122" s="10"/>
      <c r="AR122" s="12"/>
      <c r="AS122" s="12"/>
      <c r="AT122" s="13"/>
      <c r="AU122" s="12"/>
      <c r="AV122" s="10"/>
      <c r="AW122" s="10"/>
      <c r="AX122" s="12"/>
      <c r="AY122" s="12"/>
      <c r="AZ122" s="32"/>
      <c r="BA122" s="12"/>
      <c r="BB122" s="10"/>
      <c r="BC122" s="10"/>
      <c r="BD122" s="12"/>
      <c r="BE122" s="12"/>
      <c r="BF122" s="48"/>
      <c r="BG122" s="12"/>
      <c r="BH122" s="10"/>
      <c r="BI122" s="10"/>
      <c r="BJ122" s="33"/>
      <c r="BK122" s="33"/>
      <c r="BL122" s="48"/>
      <c r="BM122" s="12"/>
      <c r="BN122" s="10"/>
      <c r="BO122" s="10"/>
      <c r="BP122" s="33"/>
      <c r="BQ122" s="33"/>
      <c r="BR122" s="48"/>
      <c r="BS122" s="12"/>
      <c r="BT122" s="10"/>
      <c r="BU122" s="10"/>
      <c r="BV122" s="33"/>
      <c r="BW122" s="33"/>
      <c r="BX122" s="48"/>
      <c r="BY122" s="12"/>
      <c r="BZ122" s="10"/>
      <c r="CA122" s="10"/>
      <c r="CB122" s="33"/>
      <c r="CC122" s="33"/>
      <c r="CD122" s="48"/>
      <c r="CE122" s="12"/>
    </row>
    <row r="123" spans="1:83" ht="80.25" customHeight="1">
      <c r="A123" s="20"/>
      <c r="B123" s="28"/>
      <c r="C123" s="27"/>
      <c r="D123" s="35"/>
      <c r="H123" s="29"/>
      <c r="I123" s="11"/>
      <c r="J123" s="56"/>
      <c r="K123" s="33"/>
      <c r="L123" s="10"/>
      <c r="M123" s="10"/>
      <c r="N123" s="33"/>
      <c r="O123" s="33"/>
      <c r="P123" s="56"/>
      <c r="Q123" s="33"/>
      <c r="R123" s="56"/>
      <c r="S123" s="56"/>
      <c r="T123" s="33"/>
      <c r="U123" s="33"/>
      <c r="V123" s="56"/>
      <c r="W123" s="33"/>
      <c r="X123" s="56"/>
      <c r="Y123" s="56"/>
      <c r="Z123" s="33"/>
      <c r="AA123" s="33"/>
      <c r="AB123" s="146"/>
      <c r="AC123" s="117"/>
      <c r="AD123" s="10"/>
      <c r="AE123" s="10"/>
      <c r="AF123" s="117"/>
      <c r="AG123" s="118"/>
      <c r="AH123" s="80"/>
      <c r="AI123" s="127"/>
      <c r="AJ123" s="111"/>
      <c r="AK123" s="111"/>
      <c r="AL123" s="112"/>
      <c r="AM123" s="112"/>
      <c r="AN123" s="80"/>
      <c r="AO123" s="12"/>
      <c r="AP123" s="10"/>
      <c r="AQ123" s="10"/>
      <c r="AR123" s="12"/>
      <c r="AS123" s="12"/>
      <c r="AT123" s="13"/>
      <c r="AU123" s="12"/>
      <c r="AV123" s="10"/>
      <c r="AW123" s="10"/>
      <c r="AX123" s="12"/>
      <c r="AY123" s="12"/>
      <c r="AZ123" s="32"/>
      <c r="BA123" s="12"/>
      <c r="BB123" s="10"/>
      <c r="BC123" s="10"/>
      <c r="BD123" s="12"/>
      <c r="BE123" s="12"/>
      <c r="BF123" s="48"/>
      <c r="BG123" s="12"/>
      <c r="BH123" s="10"/>
      <c r="BI123" s="10"/>
      <c r="BJ123" s="33"/>
      <c r="BK123" s="33"/>
      <c r="BL123" s="48"/>
      <c r="BM123" s="12"/>
      <c r="BN123" s="10"/>
      <c r="BO123" s="10"/>
      <c r="BP123" s="33"/>
      <c r="BQ123" s="33"/>
      <c r="BR123" s="48"/>
      <c r="BS123" s="12"/>
      <c r="BT123" s="10"/>
      <c r="BU123" s="10"/>
      <c r="BV123" s="33"/>
      <c r="BW123" s="33"/>
      <c r="BX123" s="48"/>
      <c r="BY123" s="12"/>
      <c r="BZ123" s="10"/>
      <c r="CA123" s="10"/>
      <c r="CB123" s="33"/>
      <c r="CC123" s="33"/>
      <c r="CD123" s="48"/>
      <c r="CE123" s="12"/>
    </row>
    <row r="124" spans="1:83" ht="80.25" customHeight="1">
      <c r="A124" s="20"/>
      <c r="B124" s="28"/>
      <c r="C124" s="27"/>
      <c r="D124" s="35"/>
      <c r="H124" s="29"/>
      <c r="I124" s="11"/>
      <c r="J124" s="56"/>
      <c r="K124" s="33"/>
      <c r="L124" s="10"/>
      <c r="M124" s="10"/>
      <c r="N124" s="33"/>
      <c r="O124" s="33"/>
      <c r="P124" s="56"/>
      <c r="Q124" s="33"/>
      <c r="R124" s="56"/>
      <c r="S124" s="56"/>
      <c r="T124" s="33"/>
      <c r="U124" s="33"/>
      <c r="V124" s="56"/>
      <c r="W124" s="33"/>
      <c r="X124" s="56"/>
      <c r="Y124" s="56"/>
      <c r="Z124" s="33"/>
      <c r="AA124" s="33"/>
      <c r="AB124" s="146"/>
      <c r="AC124" s="117"/>
      <c r="AD124" s="10"/>
      <c r="AE124" s="10"/>
      <c r="AF124" s="117"/>
      <c r="AG124" s="118"/>
      <c r="AH124" s="80"/>
      <c r="AI124" s="127"/>
      <c r="AJ124" s="111"/>
      <c r="AK124" s="111"/>
      <c r="AL124" s="112"/>
      <c r="AM124" s="112"/>
      <c r="AN124" s="80"/>
      <c r="AO124" s="12"/>
      <c r="AP124" s="10"/>
      <c r="AQ124" s="10"/>
      <c r="AR124" s="12"/>
      <c r="AS124" s="12"/>
      <c r="AT124" s="13"/>
      <c r="AU124" s="12"/>
      <c r="AV124" s="10"/>
      <c r="AW124" s="10"/>
      <c r="AX124" s="12"/>
      <c r="AY124" s="12"/>
      <c r="AZ124" s="32"/>
      <c r="BA124" s="12"/>
      <c r="BB124" s="10"/>
      <c r="BC124" s="10"/>
      <c r="BD124" s="12"/>
      <c r="BE124" s="12"/>
      <c r="BF124" s="48"/>
      <c r="BG124" s="12"/>
      <c r="BH124" s="10"/>
      <c r="BI124" s="10"/>
      <c r="BJ124" s="33"/>
      <c r="BK124" s="33"/>
      <c r="BL124" s="48"/>
      <c r="BM124" s="12"/>
      <c r="BN124" s="10"/>
      <c r="BO124" s="10"/>
      <c r="BP124" s="33"/>
      <c r="BQ124" s="33"/>
      <c r="BR124" s="48"/>
      <c r="BS124" s="12"/>
      <c r="BT124" s="10"/>
      <c r="BU124" s="10"/>
      <c r="BV124" s="33"/>
      <c r="BW124" s="33"/>
      <c r="BX124" s="48"/>
      <c r="BY124" s="12"/>
      <c r="BZ124" s="10"/>
      <c r="CA124" s="10"/>
      <c r="CB124" s="33"/>
      <c r="CC124" s="33"/>
      <c r="CD124" s="48"/>
      <c r="CE124" s="12"/>
    </row>
    <row r="125" spans="1:83" ht="80.25" customHeight="1">
      <c r="A125" s="20"/>
      <c r="B125" s="28"/>
      <c r="C125" s="30"/>
      <c r="D125" s="134"/>
      <c r="H125" s="29"/>
      <c r="I125" s="11"/>
      <c r="J125" s="56"/>
      <c r="K125" s="33"/>
      <c r="L125" s="10"/>
      <c r="M125" s="10"/>
      <c r="N125" s="33"/>
      <c r="O125" s="33"/>
      <c r="P125" s="56"/>
      <c r="Q125" s="33"/>
      <c r="R125" s="56"/>
      <c r="S125" s="56"/>
      <c r="T125" s="33"/>
      <c r="U125" s="33"/>
      <c r="V125" s="56"/>
      <c r="W125" s="33"/>
      <c r="X125" s="56"/>
      <c r="Y125" s="56"/>
      <c r="Z125" s="33"/>
      <c r="AA125" s="33"/>
      <c r="AB125" s="146"/>
      <c r="AC125" s="117"/>
      <c r="AD125" s="10"/>
      <c r="AE125" s="10"/>
      <c r="AF125" s="117"/>
      <c r="AG125" s="118"/>
      <c r="AH125" s="80"/>
      <c r="AI125" s="127"/>
      <c r="AJ125" s="111"/>
      <c r="AK125" s="111"/>
      <c r="AL125" s="112"/>
      <c r="AM125" s="112"/>
      <c r="AN125" s="80"/>
      <c r="AO125" s="12"/>
      <c r="AP125" s="10"/>
      <c r="AQ125" s="10"/>
      <c r="AR125" s="12"/>
      <c r="AS125" s="12"/>
      <c r="AT125" s="13"/>
      <c r="AU125" s="12"/>
      <c r="AV125" s="10"/>
      <c r="AW125" s="10"/>
      <c r="AX125" s="12"/>
      <c r="AY125" s="12"/>
      <c r="AZ125" s="32"/>
      <c r="BA125" s="12"/>
      <c r="BB125" s="10"/>
      <c r="BC125" s="10"/>
      <c r="BD125" s="12"/>
      <c r="BE125" s="12"/>
      <c r="BF125" s="48"/>
      <c r="BG125" s="12"/>
      <c r="BH125" s="10"/>
      <c r="BI125" s="10"/>
      <c r="BJ125" s="33"/>
      <c r="BK125" s="33"/>
      <c r="BL125" s="48"/>
      <c r="BM125" s="12"/>
      <c r="BN125" s="10"/>
      <c r="BO125" s="10"/>
      <c r="BP125" s="33"/>
      <c r="BQ125" s="33"/>
      <c r="BR125" s="48"/>
      <c r="BS125" s="12"/>
      <c r="BT125" s="10"/>
      <c r="BU125" s="10"/>
      <c r="BV125" s="33"/>
      <c r="BW125" s="33"/>
      <c r="BX125" s="48"/>
      <c r="BY125" s="12"/>
      <c r="BZ125" s="10"/>
      <c r="CA125" s="10"/>
      <c r="CB125" s="33"/>
      <c r="CC125" s="33"/>
      <c r="CD125" s="48"/>
      <c r="CE125" s="12"/>
    </row>
    <row r="126" spans="1:83" ht="80.25" customHeight="1">
      <c r="A126" s="20"/>
      <c r="B126" s="28"/>
      <c r="C126" s="30"/>
      <c r="D126" s="134"/>
      <c r="H126" s="29"/>
      <c r="I126" s="11"/>
      <c r="J126" s="56"/>
      <c r="K126" s="33"/>
      <c r="L126" s="10"/>
      <c r="M126" s="10"/>
      <c r="N126" s="33"/>
      <c r="O126" s="33"/>
      <c r="P126" s="56"/>
      <c r="Q126" s="33"/>
      <c r="R126" s="56"/>
      <c r="S126" s="56"/>
      <c r="T126" s="33"/>
      <c r="U126" s="33"/>
      <c r="V126" s="56"/>
      <c r="W126" s="33"/>
      <c r="X126" s="56"/>
      <c r="Y126" s="56"/>
      <c r="Z126" s="33"/>
      <c r="AA126" s="33"/>
      <c r="AB126" s="146"/>
      <c r="AC126" s="117"/>
      <c r="AD126" s="10"/>
      <c r="AE126" s="10"/>
      <c r="AF126" s="117"/>
      <c r="AG126" s="118"/>
      <c r="AH126" s="80"/>
      <c r="AI126" s="127"/>
      <c r="AJ126" s="111"/>
      <c r="AK126" s="111"/>
      <c r="AL126" s="112"/>
      <c r="AM126" s="112"/>
      <c r="AN126" s="80"/>
      <c r="AO126" s="12"/>
      <c r="AP126" s="10"/>
      <c r="AQ126" s="10"/>
      <c r="AR126" s="12"/>
      <c r="AS126" s="12"/>
      <c r="AT126" s="13"/>
      <c r="AU126" s="12"/>
      <c r="AV126" s="10"/>
      <c r="AW126" s="10"/>
      <c r="AX126" s="12"/>
      <c r="AY126" s="12"/>
      <c r="AZ126" s="32"/>
      <c r="BA126" s="12"/>
      <c r="BB126" s="10"/>
      <c r="BC126" s="10"/>
      <c r="BD126" s="12"/>
      <c r="BE126" s="12"/>
      <c r="BF126" s="48"/>
      <c r="BG126" s="12"/>
      <c r="BH126" s="10"/>
      <c r="BI126" s="10"/>
      <c r="BJ126" s="33"/>
      <c r="BK126" s="33"/>
      <c r="BL126" s="48"/>
      <c r="BM126" s="12"/>
      <c r="BN126" s="10"/>
      <c r="BO126" s="10"/>
      <c r="BP126" s="33"/>
      <c r="BQ126" s="33"/>
      <c r="BR126" s="48"/>
      <c r="BS126" s="12"/>
      <c r="BT126" s="10"/>
      <c r="BU126" s="10"/>
      <c r="BV126" s="33"/>
      <c r="BW126" s="33"/>
      <c r="BX126" s="48"/>
      <c r="BY126" s="12"/>
      <c r="BZ126" s="10"/>
      <c r="CA126" s="10"/>
      <c r="CB126" s="33"/>
      <c r="CC126" s="33"/>
      <c r="CD126" s="48"/>
      <c r="CE126" s="12"/>
    </row>
    <row r="127" spans="1:83" ht="80.25" customHeight="1">
      <c r="A127" s="20"/>
      <c r="B127" s="28"/>
      <c r="C127" s="27"/>
      <c r="D127" s="35"/>
      <c r="H127" s="29"/>
      <c r="I127" s="11"/>
      <c r="J127" s="56"/>
      <c r="K127" s="33"/>
      <c r="L127" s="10"/>
      <c r="M127" s="10"/>
      <c r="N127" s="33"/>
      <c r="O127" s="33"/>
      <c r="P127" s="56"/>
      <c r="Q127" s="33"/>
      <c r="R127" s="56"/>
      <c r="S127" s="56"/>
      <c r="T127" s="33"/>
      <c r="U127" s="33"/>
      <c r="V127" s="56"/>
      <c r="W127" s="33"/>
      <c r="X127" s="56"/>
      <c r="Y127" s="56"/>
      <c r="Z127" s="33"/>
      <c r="AA127" s="33"/>
      <c r="AB127" s="146"/>
      <c r="AC127" s="117"/>
      <c r="AD127" s="10"/>
      <c r="AE127" s="10"/>
      <c r="AF127" s="117"/>
      <c r="AG127" s="118"/>
      <c r="AH127" s="80"/>
      <c r="AI127" s="127"/>
      <c r="AJ127" s="111"/>
      <c r="AK127" s="111"/>
      <c r="AL127" s="112"/>
      <c r="AM127" s="112"/>
      <c r="AN127" s="80"/>
      <c r="AO127" s="12"/>
      <c r="AP127" s="10"/>
      <c r="AQ127" s="10"/>
      <c r="AR127" s="12"/>
      <c r="AS127" s="12"/>
      <c r="AT127" s="13"/>
      <c r="AU127" s="12"/>
      <c r="AV127" s="10"/>
      <c r="AW127" s="10"/>
      <c r="AX127" s="12"/>
      <c r="AY127" s="12"/>
      <c r="AZ127" s="32"/>
      <c r="BA127" s="12"/>
      <c r="BB127" s="10"/>
      <c r="BC127" s="10"/>
      <c r="BD127" s="12"/>
      <c r="BE127" s="12"/>
      <c r="BF127" s="48"/>
      <c r="BG127" s="12"/>
      <c r="BH127" s="10"/>
      <c r="BI127" s="10"/>
      <c r="BJ127" s="33"/>
      <c r="BK127" s="33"/>
      <c r="BL127" s="48"/>
      <c r="BM127" s="12"/>
      <c r="BN127" s="10"/>
      <c r="BO127" s="10"/>
      <c r="BP127" s="33"/>
      <c r="BQ127" s="33"/>
      <c r="BR127" s="48"/>
      <c r="BS127" s="12"/>
      <c r="BT127" s="10"/>
      <c r="BU127" s="10"/>
      <c r="BV127" s="33"/>
      <c r="BW127" s="33"/>
      <c r="BX127" s="48"/>
      <c r="BY127" s="12"/>
      <c r="BZ127" s="10"/>
      <c r="CA127" s="10"/>
      <c r="CB127" s="33"/>
      <c r="CC127" s="33"/>
      <c r="CD127" s="48"/>
      <c r="CE127" s="12"/>
    </row>
    <row r="128" spans="1:83" ht="80.25" customHeight="1">
      <c r="A128" s="20"/>
      <c r="B128" s="28"/>
      <c r="C128" s="27"/>
      <c r="D128" s="35"/>
      <c r="H128" s="29"/>
      <c r="I128" s="11"/>
      <c r="J128" s="56"/>
      <c r="K128" s="33"/>
      <c r="L128" s="10"/>
      <c r="M128" s="10"/>
      <c r="N128" s="33"/>
      <c r="O128" s="33"/>
      <c r="P128" s="56"/>
      <c r="Q128" s="33"/>
      <c r="R128" s="56"/>
      <c r="S128" s="56"/>
      <c r="T128" s="33"/>
      <c r="U128" s="33"/>
      <c r="V128" s="56"/>
      <c r="W128" s="33"/>
      <c r="X128" s="56"/>
      <c r="Y128" s="56"/>
      <c r="Z128" s="33"/>
      <c r="AA128" s="33"/>
      <c r="AB128" s="146"/>
      <c r="AC128" s="117"/>
      <c r="AD128" s="10"/>
      <c r="AE128" s="10"/>
      <c r="AF128" s="117"/>
      <c r="AG128" s="118"/>
      <c r="AH128" s="80"/>
      <c r="AI128" s="127"/>
      <c r="AJ128" s="111"/>
      <c r="AK128" s="111"/>
      <c r="AL128" s="112"/>
      <c r="AM128" s="112"/>
      <c r="AN128" s="80"/>
      <c r="AO128" s="12"/>
      <c r="AP128" s="10"/>
      <c r="AQ128" s="10"/>
      <c r="AR128" s="12"/>
      <c r="AS128" s="12"/>
      <c r="AT128" s="13"/>
      <c r="AU128" s="12"/>
      <c r="AV128" s="10"/>
      <c r="AW128" s="10"/>
      <c r="AX128" s="12"/>
      <c r="AY128" s="12"/>
      <c r="AZ128" s="32"/>
      <c r="BA128" s="12"/>
      <c r="BB128" s="10"/>
      <c r="BC128" s="10"/>
      <c r="BD128" s="12"/>
      <c r="BE128" s="12"/>
      <c r="BF128" s="48"/>
      <c r="BG128" s="12"/>
      <c r="BH128" s="10"/>
      <c r="BI128" s="10"/>
      <c r="BJ128" s="33"/>
      <c r="BK128" s="33"/>
      <c r="BL128" s="48"/>
      <c r="BM128" s="12"/>
      <c r="BN128" s="10"/>
      <c r="BO128" s="10"/>
      <c r="BP128" s="33"/>
      <c r="BQ128" s="33"/>
      <c r="BR128" s="48"/>
      <c r="BS128" s="12"/>
      <c r="BT128" s="10"/>
      <c r="BU128" s="10"/>
      <c r="BV128" s="33"/>
      <c r="BW128" s="33"/>
      <c r="BX128" s="48"/>
      <c r="BY128" s="12"/>
      <c r="BZ128" s="10"/>
      <c r="CA128" s="10"/>
      <c r="CB128" s="33"/>
      <c r="CC128" s="33"/>
      <c r="CD128" s="48"/>
      <c r="CE128" s="12"/>
    </row>
    <row r="129" spans="1:83" ht="80.25" customHeight="1">
      <c r="A129" s="20"/>
      <c r="B129" s="28"/>
      <c r="C129" s="27"/>
      <c r="D129" s="35"/>
      <c r="H129" s="29"/>
      <c r="I129" s="11"/>
      <c r="J129" s="56"/>
      <c r="K129" s="33"/>
      <c r="L129" s="10"/>
      <c r="M129" s="10"/>
      <c r="N129" s="33"/>
      <c r="O129" s="33"/>
      <c r="P129" s="56"/>
      <c r="Q129" s="33"/>
      <c r="R129" s="56"/>
      <c r="S129" s="56"/>
      <c r="T129" s="33"/>
      <c r="U129" s="33"/>
      <c r="V129" s="56"/>
      <c r="W129" s="33"/>
      <c r="X129" s="56"/>
      <c r="Y129" s="56"/>
      <c r="Z129" s="33"/>
      <c r="AA129" s="33"/>
      <c r="AB129" s="146"/>
      <c r="AC129" s="117"/>
      <c r="AD129" s="10"/>
      <c r="AE129" s="10"/>
      <c r="AF129" s="117"/>
      <c r="AG129" s="118"/>
      <c r="AH129" s="80"/>
      <c r="AI129" s="127"/>
      <c r="AJ129" s="111"/>
      <c r="AK129" s="111"/>
      <c r="AL129" s="112"/>
      <c r="AM129" s="112"/>
      <c r="AN129" s="80"/>
      <c r="AO129" s="12"/>
      <c r="AP129" s="10"/>
      <c r="AQ129" s="10"/>
      <c r="AR129" s="12"/>
      <c r="AS129" s="12"/>
      <c r="AT129" s="13"/>
      <c r="AU129" s="12"/>
      <c r="AV129" s="10"/>
      <c r="AW129" s="10"/>
      <c r="AX129" s="12"/>
      <c r="AY129" s="12"/>
      <c r="AZ129" s="32"/>
      <c r="BA129" s="12"/>
      <c r="BB129" s="10"/>
      <c r="BC129" s="10"/>
      <c r="BD129" s="12"/>
      <c r="BE129" s="12"/>
      <c r="BF129" s="48"/>
      <c r="BG129" s="12"/>
      <c r="BH129" s="10"/>
      <c r="BI129" s="10"/>
      <c r="BJ129" s="33"/>
      <c r="BK129" s="33"/>
      <c r="BL129" s="48"/>
      <c r="BM129" s="12"/>
      <c r="BN129" s="10"/>
      <c r="BO129" s="10"/>
      <c r="BP129" s="33"/>
      <c r="BQ129" s="33"/>
      <c r="BR129" s="48"/>
      <c r="BS129" s="12"/>
      <c r="BT129" s="10"/>
      <c r="BU129" s="10"/>
      <c r="BV129" s="33"/>
      <c r="BW129" s="33"/>
      <c r="BX129" s="48"/>
      <c r="BY129" s="12"/>
      <c r="BZ129" s="10"/>
      <c r="CA129" s="10"/>
      <c r="CB129" s="33"/>
      <c r="CC129" s="33"/>
      <c r="CD129" s="48"/>
      <c r="CE129" s="12"/>
    </row>
    <row r="130" spans="1:83" ht="80.25" customHeight="1">
      <c r="A130" s="20"/>
      <c r="B130" s="28"/>
      <c r="C130" s="30"/>
      <c r="D130" s="134"/>
      <c r="H130" s="29"/>
      <c r="I130" s="11"/>
      <c r="J130" s="56"/>
      <c r="K130" s="33"/>
      <c r="L130" s="10"/>
      <c r="M130" s="10"/>
      <c r="N130" s="33"/>
      <c r="O130" s="33"/>
      <c r="P130" s="56"/>
      <c r="Q130" s="33"/>
      <c r="R130" s="56"/>
      <c r="S130" s="56"/>
      <c r="T130" s="33"/>
      <c r="U130" s="33"/>
      <c r="V130" s="56"/>
      <c r="W130" s="33"/>
      <c r="X130" s="56"/>
      <c r="Y130" s="56"/>
      <c r="Z130" s="33"/>
      <c r="AA130" s="33"/>
      <c r="AB130" s="146"/>
      <c r="AC130" s="117"/>
      <c r="AD130" s="10"/>
      <c r="AE130" s="10"/>
      <c r="AF130" s="117"/>
      <c r="AG130" s="118"/>
      <c r="AH130" s="80"/>
      <c r="AI130" s="127"/>
      <c r="AJ130" s="111"/>
      <c r="AK130" s="111"/>
      <c r="AL130" s="112"/>
      <c r="AM130" s="112"/>
      <c r="AN130" s="80"/>
      <c r="AO130" s="12"/>
      <c r="AP130" s="10"/>
      <c r="AQ130" s="10"/>
      <c r="AR130" s="12"/>
      <c r="AS130" s="12"/>
      <c r="AT130" s="13"/>
      <c r="AU130" s="12"/>
      <c r="AV130" s="10"/>
      <c r="AW130" s="10"/>
      <c r="AX130" s="12"/>
      <c r="AY130" s="12"/>
      <c r="AZ130" s="32"/>
      <c r="BA130" s="12"/>
      <c r="BB130" s="10"/>
      <c r="BC130" s="10"/>
      <c r="BD130" s="12"/>
      <c r="BE130" s="12"/>
      <c r="BF130" s="48"/>
      <c r="BG130" s="12"/>
      <c r="BH130" s="10"/>
      <c r="BI130" s="10"/>
      <c r="BJ130" s="33"/>
      <c r="BK130" s="33"/>
      <c r="BL130" s="48"/>
      <c r="BM130" s="12"/>
      <c r="BN130" s="10"/>
      <c r="BO130" s="10"/>
      <c r="BP130" s="33"/>
      <c r="BQ130" s="33"/>
      <c r="BR130" s="48"/>
      <c r="BS130" s="12"/>
      <c r="BT130" s="10"/>
      <c r="BU130" s="10"/>
      <c r="BV130" s="33"/>
      <c r="BW130" s="33"/>
      <c r="BX130" s="48"/>
      <c r="BY130" s="12"/>
      <c r="BZ130" s="10"/>
      <c r="CA130" s="10"/>
      <c r="CB130" s="33"/>
      <c r="CC130" s="33"/>
      <c r="CD130" s="48"/>
      <c r="CE130" s="12"/>
    </row>
    <row r="131" spans="1:83" ht="80.25" customHeight="1">
      <c r="A131" s="20"/>
      <c r="B131" s="28"/>
      <c r="C131" s="30"/>
      <c r="D131" s="134"/>
      <c r="H131" s="29"/>
      <c r="I131" s="11"/>
      <c r="J131" s="56"/>
      <c r="K131" s="33"/>
      <c r="L131" s="10"/>
      <c r="M131" s="10"/>
      <c r="N131" s="33"/>
      <c r="O131" s="33"/>
      <c r="P131" s="56"/>
      <c r="Q131" s="33"/>
      <c r="R131" s="56"/>
      <c r="S131" s="56"/>
      <c r="T131" s="33"/>
      <c r="U131" s="33"/>
      <c r="V131" s="56"/>
      <c r="W131" s="33"/>
      <c r="X131" s="56"/>
      <c r="Y131" s="56"/>
      <c r="Z131" s="33"/>
      <c r="AA131" s="33"/>
      <c r="AB131" s="146"/>
      <c r="AC131" s="117"/>
      <c r="AD131" s="10"/>
      <c r="AE131" s="10"/>
      <c r="AF131" s="117"/>
      <c r="AG131" s="118"/>
      <c r="AH131" s="80"/>
      <c r="AI131" s="127"/>
      <c r="AJ131" s="111"/>
      <c r="AK131" s="111"/>
      <c r="AL131" s="112"/>
      <c r="AM131" s="112"/>
      <c r="AN131" s="80"/>
      <c r="AO131" s="12"/>
      <c r="AP131" s="10"/>
      <c r="AQ131" s="10"/>
      <c r="AR131" s="12"/>
      <c r="AS131" s="12"/>
      <c r="AT131" s="13"/>
      <c r="AU131" s="12"/>
      <c r="AV131" s="10"/>
      <c r="AW131" s="10"/>
      <c r="AX131" s="12"/>
      <c r="AY131" s="12"/>
      <c r="AZ131" s="32"/>
      <c r="BA131" s="12"/>
      <c r="BB131" s="10"/>
      <c r="BC131" s="10"/>
      <c r="BD131" s="12"/>
      <c r="BE131" s="12"/>
      <c r="BF131" s="48"/>
      <c r="BG131" s="12"/>
      <c r="BH131" s="10"/>
      <c r="BI131" s="10"/>
      <c r="BJ131" s="33"/>
      <c r="BK131" s="33"/>
      <c r="BL131" s="48"/>
      <c r="BM131" s="12"/>
      <c r="BN131" s="10"/>
      <c r="BO131" s="10"/>
      <c r="BP131" s="33"/>
      <c r="BQ131" s="33"/>
      <c r="BR131" s="48"/>
      <c r="BS131" s="12"/>
      <c r="BT131" s="10"/>
      <c r="BU131" s="10"/>
      <c r="BV131" s="33"/>
      <c r="BW131" s="33"/>
      <c r="BX131" s="48"/>
      <c r="BY131" s="12"/>
      <c r="BZ131" s="10"/>
      <c r="CA131" s="10"/>
      <c r="CB131" s="33"/>
      <c r="CC131" s="33"/>
      <c r="CD131" s="48"/>
      <c r="CE131" s="12"/>
    </row>
    <row r="132" spans="1:83" ht="80.25" customHeight="1">
      <c r="A132" s="20"/>
      <c r="B132" s="28"/>
      <c r="C132" s="30"/>
      <c r="D132" s="134"/>
      <c r="H132" s="29"/>
      <c r="I132" s="11"/>
      <c r="J132" s="56"/>
      <c r="K132" s="33"/>
      <c r="L132" s="10"/>
      <c r="M132" s="10"/>
      <c r="N132" s="33"/>
      <c r="O132" s="33"/>
      <c r="P132" s="56"/>
      <c r="Q132" s="33"/>
      <c r="R132" s="56"/>
      <c r="S132" s="56"/>
      <c r="T132" s="33"/>
      <c r="U132" s="33"/>
      <c r="V132" s="56"/>
      <c r="W132" s="33"/>
      <c r="X132" s="56"/>
      <c r="Y132" s="56"/>
      <c r="Z132" s="33"/>
      <c r="AA132" s="33"/>
      <c r="AB132" s="146"/>
      <c r="AC132" s="117"/>
      <c r="AD132" s="10"/>
      <c r="AE132" s="10"/>
      <c r="AF132" s="117"/>
      <c r="AG132" s="118"/>
      <c r="AH132" s="80"/>
      <c r="AI132" s="127"/>
      <c r="AJ132" s="111"/>
      <c r="AK132" s="111"/>
      <c r="AL132" s="112"/>
      <c r="AM132" s="112"/>
      <c r="AN132" s="80"/>
      <c r="AO132" s="12"/>
      <c r="AP132" s="10"/>
      <c r="AQ132" s="10"/>
      <c r="AR132" s="12"/>
      <c r="AS132" s="12"/>
      <c r="AT132" s="13"/>
      <c r="AU132" s="12"/>
      <c r="AV132" s="10"/>
      <c r="AW132" s="10"/>
      <c r="AX132" s="12"/>
      <c r="AY132" s="12"/>
      <c r="AZ132" s="32"/>
      <c r="BA132" s="12"/>
      <c r="BB132" s="10"/>
      <c r="BC132" s="10"/>
      <c r="BD132" s="12"/>
      <c r="BE132" s="12"/>
      <c r="BF132" s="48"/>
      <c r="BG132" s="12"/>
      <c r="BH132" s="10"/>
      <c r="BI132" s="10"/>
      <c r="BJ132" s="33"/>
      <c r="BK132" s="33"/>
      <c r="BL132" s="48"/>
      <c r="BM132" s="12"/>
      <c r="BN132" s="10"/>
      <c r="BO132" s="10"/>
      <c r="BP132" s="33"/>
      <c r="BQ132" s="33"/>
      <c r="BR132" s="48"/>
      <c r="BS132" s="12"/>
      <c r="BT132" s="10"/>
      <c r="BU132" s="10"/>
      <c r="BV132" s="33"/>
      <c r="BW132" s="33"/>
      <c r="BX132" s="48"/>
      <c r="BY132" s="12"/>
      <c r="BZ132" s="10"/>
      <c r="CA132" s="10"/>
      <c r="CB132" s="33"/>
      <c r="CC132" s="33"/>
      <c r="CD132" s="48"/>
      <c r="CE132" s="12"/>
    </row>
    <row r="133" spans="1:83" ht="80.25" customHeight="1">
      <c r="A133" s="20"/>
      <c r="B133" s="28"/>
      <c r="C133" s="30"/>
      <c r="D133" s="134"/>
      <c r="H133" s="29"/>
      <c r="I133" s="11"/>
      <c r="J133" s="56"/>
      <c r="K133" s="33"/>
      <c r="L133" s="10"/>
      <c r="M133" s="10"/>
      <c r="N133" s="33"/>
      <c r="O133" s="33"/>
      <c r="P133" s="56"/>
      <c r="Q133" s="33"/>
      <c r="R133" s="56"/>
      <c r="S133" s="56"/>
      <c r="T133" s="33"/>
      <c r="U133" s="33"/>
      <c r="V133" s="56"/>
      <c r="W133" s="33"/>
      <c r="X133" s="56"/>
      <c r="Y133" s="56"/>
      <c r="Z133" s="33"/>
      <c r="AA133" s="33"/>
      <c r="AB133" s="146"/>
      <c r="AC133" s="117"/>
      <c r="AD133" s="10"/>
      <c r="AE133" s="10"/>
      <c r="AF133" s="117"/>
      <c r="AG133" s="118"/>
      <c r="AH133" s="80"/>
      <c r="AI133" s="127"/>
      <c r="AJ133" s="111"/>
      <c r="AK133" s="111"/>
      <c r="AL133" s="112"/>
      <c r="AM133" s="112"/>
      <c r="AN133" s="80"/>
      <c r="AO133" s="12"/>
      <c r="AP133" s="10"/>
      <c r="AQ133" s="10"/>
      <c r="AR133" s="12"/>
      <c r="AS133" s="12"/>
      <c r="AT133" s="13"/>
      <c r="AU133" s="12"/>
      <c r="AV133" s="10"/>
      <c r="AW133" s="10"/>
      <c r="AX133" s="12"/>
      <c r="AY133" s="12"/>
      <c r="AZ133" s="32"/>
      <c r="BA133" s="12"/>
      <c r="BB133" s="10"/>
      <c r="BC133" s="10"/>
      <c r="BD133" s="12"/>
      <c r="BE133" s="12"/>
      <c r="BF133" s="48"/>
      <c r="BG133" s="12"/>
      <c r="BH133" s="10"/>
      <c r="BI133" s="10"/>
      <c r="BJ133" s="33"/>
      <c r="BK133" s="33"/>
      <c r="BL133" s="48"/>
      <c r="BM133" s="12"/>
      <c r="BN133" s="10"/>
      <c r="BO133" s="10"/>
      <c r="BP133" s="33"/>
      <c r="BQ133" s="33"/>
      <c r="BR133" s="48"/>
      <c r="BS133" s="12"/>
      <c r="BT133" s="10"/>
      <c r="BU133" s="10"/>
      <c r="BV133" s="33"/>
      <c r="BW133" s="33"/>
      <c r="BX133" s="48"/>
      <c r="BY133" s="12"/>
      <c r="BZ133" s="10"/>
      <c r="CA133" s="10"/>
      <c r="CB133" s="33"/>
      <c r="CC133" s="33"/>
      <c r="CD133" s="48"/>
      <c r="CE133" s="12"/>
    </row>
    <row r="134" spans="1:83" ht="80.25" customHeight="1">
      <c r="A134" s="20"/>
      <c r="B134" s="28"/>
      <c r="C134" s="30"/>
      <c r="D134" s="134"/>
      <c r="H134" s="29"/>
      <c r="I134" s="11"/>
      <c r="J134" s="56"/>
      <c r="K134" s="33"/>
      <c r="L134" s="10"/>
      <c r="M134" s="10"/>
      <c r="N134" s="33"/>
      <c r="O134" s="33"/>
      <c r="P134" s="56"/>
      <c r="Q134" s="33"/>
      <c r="R134" s="56"/>
      <c r="S134" s="56"/>
      <c r="T134" s="33"/>
      <c r="U134" s="33"/>
      <c r="V134" s="56"/>
      <c r="W134" s="33"/>
      <c r="X134" s="56"/>
      <c r="Y134" s="56"/>
      <c r="Z134" s="33"/>
      <c r="AA134" s="33"/>
      <c r="AB134" s="146"/>
      <c r="AC134" s="117"/>
      <c r="AD134" s="10"/>
      <c r="AE134" s="10"/>
      <c r="AF134" s="117"/>
      <c r="AG134" s="118"/>
      <c r="AH134" s="80"/>
      <c r="AI134" s="127"/>
      <c r="AJ134" s="111"/>
      <c r="AK134" s="111"/>
      <c r="AL134" s="112"/>
      <c r="AM134" s="112"/>
      <c r="AN134" s="80"/>
      <c r="AO134" s="12"/>
      <c r="AP134" s="10"/>
      <c r="AQ134" s="10"/>
      <c r="AR134" s="12"/>
      <c r="AS134" s="12"/>
      <c r="AT134" s="13"/>
      <c r="AU134" s="12"/>
      <c r="AV134" s="10"/>
      <c r="AW134" s="10"/>
      <c r="AX134" s="12"/>
      <c r="AY134" s="12"/>
      <c r="AZ134" s="32"/>
      <c r="BA134" s="12"/>
      <c r="BB134" s="10"/>
      <c r="BC134" s="10"/>
      <c r="BD134" s="12"/>
      <c r="BE134" s="12"/>
      <c r="BF134" s="48"/>
      <c r="BG134" s="12"/>
      <c r="BH134" s="10"/>
      <c r="BI134" s="10"/>
      <c r="BJ134" s="33"/>
      <c r="BK134" s="33"/>
      <c r="BL134" s="48"/>
      <c r="BM134" s="12"/>
      <c r="BN134" s="10"/>
      <c r="BO134" s="10"/>
      <c r="BP134" s="33"/>
      <c r="BQ134" s="33"/>
      <c r="BR134" s="48"/>
      <c r="BS134" s="12"/>
      <c r="BT134" s="10"/>
      <c r="BU134" s="10"/>
      <c r="BV134" s="33"/>
      <c r="BW134" s="33"/>
      <c r="BX134" s="48"/>
      <c r="BY134" s="12"/>
      <c r="BZ134" s="10"/>
      <c r="CA134" s="10"/>
      <c r="CB134" s="33"/>
      <c r="CC134" s="33"/>
      <c r="CD134" s="48"/>
      <c r="CE134" s="12"/>
    </row>
    <row r="135" spans="1:83" ht="80.25" customHeight="1">
      <c r="A135" s="20"/>
      <c r="B135" s="28"/>
      <c r="C135" s="27"/>
      <c r="D135" s="35"/>
      <c r="H135" s="29"/>
      <c r="I135" s="11"/>
      <c r="J135" s="56"/>
      <c r="K135" s="33"/>
      <c r="L135" s="10"/>
      <c r="M135" s="10"/>
      <c r="N135" s="33"/>
      <c r="O135" s="33"/>
      <c r="P135" s="56"/>
      <c r="Q135" s="33"/>
      <c r="R135" s="56"/>
      <c r="S135" s="56"/>
      <c r="T135" s="33"/>
      <c r="U135" s="33"/>
      <c r="V135" s="56"/>
      <c r="W135" s="33"/>
      <c r="X135" s="56"/>
      <c r="Y135" s="56"/>
      <c r="Z135" s="33"/>
      <c r="AA135" s="33"/>
      <c r="AB135" s="146"/>
      <c r="AC135" s="117"/>
      <c r="AD135" s="10"/>
      <c r="AE135" s="10"/>
      <c r="AF135" s="117"/>
      <c r="AG135" s="118"/>
      <c r="AH135" s="80"/>
      <c r="AI135" s="127"/>
      <c r="AJ135" s="111"/>
      <c r="AK135" s="111"/>
      <c r="AL135" s="112"/>
      <c r="AM135" s="112"/>
      <c r="AN135" s="80"/>
      <c r="AO135" s="12"/>
      <c r="AP135" s="10"/>
      <c r="AQ135" s="10"/>
      <c r="AR135" s="12"/>
      <c r="AS135" s="12"/>
      <c r="AT135" s="13"/>
      <c r="AU135" s="12"/>
      <c r="AV135" s="10"/>
      <c r="AW135" s="10"/>
      <c r="AX135" s="12"/>
      <c r="AY135" s="12"/>
      <c r="AZ135" s="32"/>
      <c r="BA135" s="12"/>
      <c r="BB135" s="10"/>
      <c r="BC135" s="10"/>
      <c r="BD135" s="12"/>
      <c r="BE135" s="12"/>
      <c r="BF135" s="48"/>
      <c r="BG135" s="12"/>
      <c r="BH135" s="10"/>
      <c r="BI135" s="10"/>
      <c r="BJ135" s="33"/>
      <c r="BK135" s="33"/>
      <c r="BL135" s="48"/>
      <c r="BM135" s="12"/>
      <c r="BN135" s="10"/>
      <c r="BO135" s="10"/>
      <c r="BP135" s="33"/>
      <c r="BQ135" s="33"/>
      <c r="BR135" s="48"/>
      <c r="BS135" s="12"/>
      <c r="BT135" s="10"/>
      <c r="BU135" s="10"/>
      <c r="BV135" s="33"/>
      <c r="BW135" s="33"/>
      <c r="BX135" s="48"/>
      <c r="BY135" s="12"/>
      <c r="BZ135" s="10"/>
      <c r="CA135" s="10"/>
      <c r="CB135" s="33"/>
      <c r="CC135" s="33"/>
      <c r="CD135" s="48"/>
      <c r="CE135" s="12"/>
    </row>
    <row r="136" spans="1:83" ht="80.25" customHeight="1">
      <c r="A136" s="20"/>
      <c r="B136" s="28"/>
      <c r="C136" s="27"/>
      <c r="D136" s="35"/>
      <c r="H136" s="29"/>
      <c r="I136" s="11"/>
      <c r="J136" s="56"/>
      <c r="K136" s="33"/>
      <c r="L136" s="10"/>
      <c r="M136" s="10"/>
      <c r="N136" s="33"/>
      <c r="O136" s="33"/>
      <c r="P136" s="56"/>
      <c r="Q136" s="33"/>
      <c r="R136" s="56"/>
      <c r="S136" s="56"/>
      <c r="T136" s="33"/>
      <c r="U136" s="33"/>
      <c r="V136" s="56"/>
      <c r="W136" s="33"/>
      <c r="X136" s="56"/>
      <c r="Y136" s="56"/>
      <c r="Z136" s="33"/>
      <c r="AA136" s="33"/>
      <c r="AB136" s="146"/>
      <c r="AC136" s="117"/>
      <c r="AD136" s="10"/>
      <c r="AE136" s="10"/>
      <c r="AF136" s="117"/>
      <c r="AG136" s="118"/>
      <c r="AH136" s="80"/>
      <c r="AI136" s="127"/>
      <c r="AJ136" s="111"/>
      <c r="AK136" s="111"/>
      <c r="AL136" s="112"/>
      <c r="AM136" s="112"/>
      <c r="AN136" s="80"/>
      <c r="AO136" s="12"/>
      <c r="AP136" s="10"/>
      <c r="AQ136" s="10"/>
      <c r="AR136" s="12"/>
      <c r="AS136" s="12"/>
      <c r="AT136" s="13"/>
      <c r="AU136" s="12"/>
      <c r="AV136" s="10"/>
      <c r="AW136" s="10"/>
      <c r="AX136" s="12"/>
      <c r="AY136" s="12"/>
      <c r="AZ136" s="32"/>
      <c r="BA136" s="12"/>
      <c r="BB136" s="10"/>
      <c r="BC136" s="10"/>
      <c r="BD136" s="12"/>
      <c r="BE136" s="12"/>
      <c r="BF136" s="48"/>
      <c r="BG136" s="12"/>
      <c r="BH136" s="10"/>
      <c r="BI136" s="10"/>
      <c r="BJ136" s="33"/>
      <c r="BK136" s="33"/>
      <c r="BL136" s="48"/>
      <c r="BM136" s="12"/>
      <c r="BN136" s="10"/>
      <c r="BO136" s="10"/>
      <c r="BP136" s="33"/>
      <c r="BQ136" s="33"/>
      <c r="BR136" s="48"/>
      <c r="BS136" s="12"/>
      <c r="BT136" s="10"/>
      <c r="BU136" s="10"/>
      <c r="BV136" s="33"/>
      <c r="BW136" s="33"/>
      <c r="BX136" s="48"/>
      <c r="BY136" s="12"/>
      <c r="BZ136" s="10"/>
      <c r="CA136" s="10"/>
      <c r="CB136" s="33"/>
      <c r="CC136" s="33"/>
      <c r="CD136" s="48"/>
      <c r="CE136" s="12"/>
    </row>
    <row r="137" spans="1:83" ht="80.25" customHeight="1">
      <c r="A137" s="20"/>
      <c r="B137" s="28"/>
      <c r="C137" s="27"/>
      <c r="D137" s="35"/>
      <c r="H137" s="29"/>
      <c r="I137" s="11"/>
      <c r="J137" s="56"/>
      <c r="K137" s="33"/>
      <c r="L137" s="10"/>
      <c r="M137" s="10"/>
      <c r="N137" s="33"/>
      <c r="O137" s="33"/>
      <c r="P137" s="56"/>
      <c r="Q137" s="33"/>
      <c r="R137" s="56"/>
      <c r="S137" s="56"/>
      <c r="T137" s="33"/>
      <c r="U137" s="33"/>
      <c r="V137" s="56"/>
      <c r="W137" s="33"/>
      <c r="X137" s="56"/>
      <c r="Y137" s="56"/>
      <c r="Z137" s="33"/>
      <c r="AA137" s="33"/>
      <c r="AB137" s="146"/>
      <c r="AC137" s="117"/>
      <c r="AD137" s="10"/>
      <c r="AE137" s="10"/>
      <c r="AF137" s="117"/>
      <c r="AG137" s="118"/>
      <c r="AH137" s="80"/>
      <c r="AI137" s="127"/>
      <c r="AJ137" s="111"/>
      <c r="AK137" s="111"/>
      <c r="AL137" s="112"/>
      <c r="AM137" s="112"/>
      <c r="AN137" s="80"/>
      <c r="AO137" s="12"/>
      <c r="AP137" s="10"/>
      <c r="AQ137" s="10"/>
      <c r="AR137" s="12"/>
      <c r="AS137" s="12"/>
      <c r="AT137" s="13"/>
      <c r="AU137" s="12"/>
      <c r="AV137" s="10"/>
      <c r="AW137" s="10"/>
      <c r="AX137" s="12"/>
      <c r="AY137" s="12"/>
      <c r="AZ137" s="32"/>
      <c r="BA137" s="12"/>
      <c r="BB137" s="10"/>
      <c r="BC137" s="10"/>
      <c r="BD137" s="12"/>
      <c r="BE137" s="12"/>
      <c r="BF137" s="48"/>
      <c r="BG137" s="12"/>
      <c r="BH137" s="10"/>
      <c r="BI137" s="10"/>
      <c r="BJ137" s="33"/>
      <c r="BK137" s="33"/>
      <c r="BL137" s="48"/>
      <c r="BM137" s="12"/>
      <c r="BN137" s="10"/>
      <c r="BO137" s="10"/>
      <c r="BP137" s="33"/>
      <c r="BQ137" s="33"/>
      <c r="BR137" s="48"/>
      <c r="BS137" s="12"/>
      <c r="BT137" s="10"/>
      <c r="BU137" s="10"/>
      <c r="BV137" s="33"/>
      <c r="BW137" s="33"/>
      <c r="BX137" s="48"/>
      <c r="BY137" s="12"/>
      <c r="BZ137" s="10"/>
      <c r="CA137" s="10"/>
      <c r="CB137" s="33"/>
      <c r="CC137" s="33"/>
      <c r="CD137" s="48"/>
      <c r="CE137" s="12"/>
    </row>
    <row r="138" spans="1:83" ht="80.25" customHeight="1">
      <c r="A138" s="20"/>
      <c r="B138" s="28"/>
      <c r="C138" s="27"/>
      <c r="D138" s="36"/>
      <c r="H138" s="29"/>
      <c r="I138" s="11"/>
      <c r="J138" s="56"/>
      <c r="K138" s="33"/>
      <c r="L138" s="10"/>
      <c r="M138" s="10"/>
      <c r="N138" s="33"/>
      <c r="O138" s="33"/>
      <c r="P138" s="56"/>
      <c r="Q138" s="33"/>
      <c r="R138" s="56"/>
      <c r="S138" s="56"/>
      <c r="T138" s="33"/>
      <c r="U138" s="33"/>
      <c r="V138" s="56"/>
      <c r="W138" s="33"/>
      <c r="X138" s="56"/>
      <c r="Y138" s="56"/>
      <c r="Z138" s="33"/>
      <c r="AA138" s="33"/>
      <c r="AB138" s="146"/>
      <c r="AC138" s="117"/>
      <c r="AD138" s="10"/>
      <c r="AE138" s="10"/>
      <c r="AF138" s="117"/>
      <c r="AG138" s="118"/>
      <c r="AH138" s="80"/>
      <c r="AI138" s="127"/>
      <c r="AJ138" s="111"/>
      <c r="AK138" s="111"/>
      <c r="AL138" s="112"/>
      <c r="AM138" s="112"/>
      <c r="AN138" s="80"/>
      <c r="AO138" s="12"/>
      <c r="AP138" s="10"/>
      <c r="AQ138" s="10"/>
      <c r="AR138" s="12"/>
      <c r="AS138" s="12"/>
      <c r="AT138" s="13"/>
      <c r="AU138" s="12"/>
      <c r="AV138" s="10"/>
      <c r="AW138" s="10"/>
      <c r="AX138" s="12"/>
      <c r="AY138" s="12"/>
      <c r="AZ138" s="32"/>
      <c r="BA138" s="12"/>
      <c r="BB138" s="10"/>
      <c r="BC138" s="10"/>
      <c r="BD138" s="12"/>
      <c r="BE138" s="12"/>
      <c r="BF138" s="48"/>
      <c r="BG138" s="12"/>
      <c r="BH138" s="10"/>
      <c r="BI138" s="10"/>
      <c r="BJ138" s="33"/>
      <c r="BK138" s="33"/>
      <c r="BL138" s="48"/>
      <c r="BM138" s="12"/>
      <c r="BN138" s="10"/>
      <c r="BO138" s="10"/>
      <c r="BP138" s="33"/>
      <c r="BQ138" s="33"/>
      <c r="BR138" s="48"/>
      <c r="BS138" s="12"/>
      <c r="BT138" s="10"/>
      <c r="BU138" s="10"/>
      <c r="BV138" s="33"/>
      <c r="BW138" s="33"/>
      <c r="BX138" s="48"/>
      <c r="BY138" s="12"/>
      <c r="BZ138" s="10"/>
      <c r="CA138" s="10"/>
      <c r="CB138" s="33"/>
      <c r="CC138" s="33"/>
      <c r="CD138" s="48"/>
      <c r="CE138" s="12"/>
    </row>
    <row r="139" spans="1:83" ht="80.25" customHeight="1">
      <c r="A139" s="20"/>
      <c r="B139" s="28"/>
      <c r="C139" s="27"/>
      <c r="D139" s="36"/>
      <c r="H139" s="29"/>
      <c r="I139" s="11"/>
      <c r="J139" s="56"/>
      <c r="K139" s="33"/>
      <c r="L139" s="10"/>
      <c r="M139" s="10"/>
      <c r="N139" s="33"/>
      <c r="O139" s="33"/>
      <c r="P139" s="56"/>
      <c r="Q139" s="33"/>
      <c r="R139" s="56"/>
      <c r="S139" s="56"/>
      <c r="T139" s="33"/>
      <c r="U139" s="33"/>
      <c r="V139" s="56"/>
      <c r="W139" s="33"/>
      <c r="X139" s="56"/>
      <c r="Y139" s="56"/>
      <c r="Z139" s="33"/>
      <c r="AA139" s="33"/>
      <c r="AB139" s="146"/>
      <c r="AC139" s="117"/>
      <c r="AD139" s="10"/>
      <c r="AE139" s="10"/>
      <c r="AF139" s="117"/>
      <c r="AG139" s="118"/>
      <c r="AH139" s="80"/>
      <c r="AI139" s="127"/>
      <c r="AJ139" s="111"/>
      <c r="AK139" s="111"/>
      <c r="AL139" s="112"/>
      <c r="AM139" s="112"/>
      <c r="AN139" s="80"/>
      <c r="AO139" s="12"/>
      <c r="AP139" s="10"/>
      <c r="AQ139" s="10"/>
      <c r="AR139" s="12"/>
      <c r="AS139" s="12"/>
      <c r="AT139" s="13"/>
      <c r="AU139" s="12"/>
      <c r="AV139" s="10"/>
      <c r="AW139" s="10"/>
      <c r="AX139" s="12"/>
      <c r="AY139" s="12"/>
      <c r="AZ139" s="32"/>
      <c r="BA139" s="12"/>
      <c r="BB139" s="10"/>
      <c r="BC139" s="10"/>
      <c r="BD139" s="12"/>
      <c r="BE139" s="12"/>
      <c r="BF139" s="48"/>
      <c r="BG139" s="12"/>
      <c r="BH139" s="10"/>
      <c r="BI139" s="10"/>
      <c r="BJ139" s="33"/>
      <c r="BK139" s="33"/>
      <c r="BL139" s="48"/>
      <c r="BM139" s="12"/>
      <c r="BN139" s="10"/>
      <c r="BO139" s="10"/>
      <c r="BP139" s="33"/>
      <c r="BQ139" s="33"/>
      <c r="BR139" s="48"/>
      <c r="BS139" s="12"/>
      <c r="BT139" s="10"/>
      <c r="BU139" s="10"/>
      <c r="BV139" s="33"/>
      <c r="BW139" s="33"/>
      <c r="BX139" s="48"/>
      <c r="BY139" s="12"/>
      <c r="BZ139" s="10"/>
      <c r="CA139" s="10"/>
      <c r="CB139" s="33"/>
      <c r="CC139" s="33"/>
      <c r="CD139" s="48"/>
      <c r="CE139" s="12"/>
    </row>
    <row r="140" spans="1:83" ht="80.25" customHeight="1">
      <c r="A140" s="20"/>
      <c r="B140" s="28"/>
      <c r="C140" s="27"/>
      <c r="D140" s="36"/>
      <c r="H140" s="29"/>
      <c r="I140" s="11"/>
      <c r="J140" s="56"/>
      <c r="K140" s="33"/>
      <c r="L140" s="10"/>
      <c r="M140" s="10"/>
      <c r="N140" s="33"/>
      <c r="O140" s="33"/>
      <c r="P140" s="56"/>
      <c r="Q140" s="33"/>
      <c r="R140" s="56"/>
      <c r="S140" s="56"/>
      <c r="T140" s="33"/>
      <c r="U140" s="33"/>
      <c r="V140" s="56"/>
      <c r="W140" s="33"/>
      <c r="X140" s="56"/>
      <c r="Y140" s="56"/>
      <c r="Z140" s="33"/>
      <c r="AA140" s="33"/>
      <c r="AB140" s="146"/>
      <c r="AC140" s="117"/>
      <c r="AD140" s="10"/>
      <c r="AE140" s="10"/>
      <c r="AF140" s="117"/>
      <c r="AG140" s="118"/>
      <c r="AH140" s="80"/>
      <c r="AI140" s="127"/>
      <c r="AJ140" s="111"/>
      <c r="AK140" s="111"/>
      <c r="AL140" s="112"/>
      <c r="AM140" s="112"/>
      <c r="AN140" s="80"/>
      <c r="AO140" s="12"/>
      <c r="AP140" s="10"/>
      <c r="AQ140" s="10"/>
      <c r="AR140" s="12"/>
      <c r="AS140" s="12"/>
      <c r="AT140" s="13"/>
      <c r="AU140" s="12"/>
      <c r="AV140" s="10"/>
      <c r="AW140" s="10"/>
      <c r="AX140" s="12"/>
      <c r="AY140" s="12"/>
      <c r="AZ140" s="32"/>
      <c r="BA140" s="12"/>
      <c r="BB140" s="10"/>
      <c r="BC140" s="10"/>
      <c r="BD140" s="12"/>
      <c r="BE140" s="12"/>
      <c r="BF140" s="48"/>
      <c r="BG140" s="12"/>
      <c r="BH140" s="10"/>
      <c r="BI140" s="10"/>
      <c r="BJ140" s="33"/>
      <c r="BK140" s="33"/>
      <c r="BL140" s="48"/>
      <c r="BM140" s="12"/>
      <c r="BN140" s="10"/>
      <c r="BO140" s="10"/>
      <c r="BP140" s="33"/>
      <c r="BQ140" s="33"/>
      <c r="BR140" s="48"/>
      <c r="BS140" s="12"/>
      <c r="BT140" s="10"/>
      <c r="BU140" s="10"/>
      <c r="BV140" s="33"/>
      <c r="BW140" s="33"/>
      <c r="BX140" s="48"/>
      <c r="BY140" s="12"/>
      <c r="BZ140" s="10"/>
      <c r="CA140" s="10"/>
      <c r="CB140" s="33"/>
      <c r="CC140" s="33"/>
      <c r="CD140" s="48"/>
      <c r="CE140" s="12"/>
    </row>
    <row r="141" spans="1:83" ht="80.25" customHeight="1">
      <c r="A141" s="20"/>
      <c r="B141" s="28"/>
      <c r="C141" s="30"/>
      <c r="D141" s="37"/>
      <c r="H141" s="29"/>
      <c r="I141" s="11"/>
      <c r="J141" s="56"/>
      <c r="K141" s="33"/>
      <c r="L141" s="10"/>
      <c r="M141" s="10"/>
      <c r="N141" s="33"/>
      <c r="O141" s="33"/>
      <c r="P141" s="56"/>
      <c r="Q141" s="33"/>
      <c r="R141" s="56"/>
      <c r="S141" s="56"/>
      <c r="T141" s="33"/>
      <c r="U141" s="33"/>
      <c r="V141" s="56"/>
      <c r="W141" s="33"/>
      <c r="X141" s="56"/>
      <c r="Y141" s="56"/>
      <c r="Z141" s="33"/>
      <c r="AA141" s="33"/>
      <c r="AB141" s="146"/>
      <c r="AC141" s="117"/>
      <c r="AD141" s="10"/>
      <c r="AE141" s="10"/>
      <c r="AF141" s="117"/>
      <c r="AG141" s="118"/>
      <c r="AH141" s="80"/>
      <c r="AI141" s="127"/>
      <c r="AJ141" s="111"/>
      <c r="AK141" s="111"/>
      <c r="AL141" s="112"/>
      <c r="AM141" s="112"/>
      <c r="AN141" s="80"/>
      <c r="AO141" s="12"/>
      <c r="AP141" s="10"/>
      <c r="AQ141" s="10"/>
      <c r="AR141" s="12"/>
      <c r="AS141" s="12"/>
      <c r="AT141" s="13"/>
      <c r="AU141" s="12"/>
      <c r="AV141" s="10"/>
      <c r="AW141" s="10"/>
      <c r="AX141" s="12"/>
      <c r="AY141" s="12"/>
      <c r="AZ141" s="32"/>
      <c r="BA141" s="12"/>
      <c r="BB141" s="10"/>
      <c r="BC141" s="10"/>
      <c r="BD141" s="12"/>
      <c r="BE141" s="12"/>
      <c r="BF141" s="48"/>
      <c r="BG141" s="12"/>
      <c r="BH141" s="10"/>
      <c r="BI141" s="10"/>
      <c r="BJ141" s="33"/>
      <c r="BK141" s="33"/>
      <c r="BL141" s="48"/>
      <c r="BM141" s="12"/>
      <c r="BN141" s="10"/>
      <c r="BO141" s="10"/>
      <c r="BP141" s="33"/>
      <c r="BQ141" s="33"/>
      <c r="BR141" s="48"/>
      <c r="BS141" s="12"/>
      <c r="BT141" s="10"/>
      <c r="BU141" s="10"/>
      <c r="BV141" s="33"/>
      <c r="BW141" s="33"/>
      <c r="BX141" s="48"/>
      <c r="BY141" s="12"/>
      <c r="BZ141" s="10"/>
      <c r="CA141" s="10"/>
      <c r="CB141" s="33"/>
      <c r="CC141" s="33"/>
      <c r="CD141" s="48"/>
      <c r="CE141" s="12"/>
    </row>
    <row r="142" spans="1:83" ht="80.25" customHeight="1">
      <c r="A142" s="20"/>
      <c r="B142" s="28"/>
      <c r="C142" s="27"/>
      <c r="D142" s="36"/>
      <c r="H142" s="29"/>
      <c r="I142" s="11"/>
      <c r="J142" s="56"/>
      <c r="K142" s="33"/>
      <c r="L142" s="10"/>
      <c r="M142" s="10"/>
      <c r="N142" s="33"/>
      <c r="O142" s="33"/>
      <c r="P142" s="56"/>
      <c r="Q142" s="33"/>
      <c r="R142" s="56"/>
      <c r="S142" s="56"/>
      <c r="T142" s="33"/>
      <c r="U142" s="33"/>
      <c r="V142" s="56"/>
      <c r="W142" s="33"/>
      <c r="X142" s="56"/>
      <c r="Y142" s="56"/>
      <c r="Z142" s="33"/>
      <c r="AA142" s="33"/>
      <c r="AB142" s="146"/>
      <c r="AC142" s="117"/>
      <c r="AD142" s="10"/>
      <c r="AE142" s="10"/>
      <c r="AF142" s="117"/>
      <c r="AG142" s="118"/>
      <c r="AH142" s="80"/>
      <c r="AI142" s="127"/>
      <c r="AJ142" s="111"/>
      <c r="AK142" s="111"/>
      <c r="AL142" s="112"/>
      <c r="AM142" s="112"/>
      <c r="AN142" s="80"/>
      <c r="AO142" s="12"/>
      <c r="AP142" s="10"/>
      <c r="AQ142" s="10"/>
      <c r="AR142" s="12"/>
      <c r="AS142" s="12"/>
      <c r="AT142" s="13"/>
      <c r="AU142" s="12"/>
      <c r="AV142" s="10"/>
      <c r="AW142" s="10"/>
      <c r="AX142" s="12"/>
      <c r="AY142" s="12"/>
      <c r="AZ142" s="32"/>
      <c r="BA142" s="12"/>
      <c r="BB142" s="10"/>
      <c r="BC142" s="10"/>
      <c r="BD142" s="12"/>
      <c r="BE142" s="12"/>
      <c r="BF142" s="48"/>
      <c r="BG142" s="12"/>
      <c r="BH142" s="10"/>
      <c r="BI142" s="10"/>
      <c r="BJ142" s="33"/>
      <c r="BK142" s="33"/>
      <c r="BL142" s="48"/>
      <c r="BM142" s="12"/>
      <c r="BN142" s="10"/>
      <c r="BO142" s="10"/>
      <c r="BP142" s="33"/>
      <c r="BQ142" s="33"/>
      <c r="BR142" s="48"/>
      <c r="BS142" s="12"/>
      <c r="BT142" s="10"/>
      <c r="BU142" s="10"/>
      <c r="BV142" s="33"/>
      <c r="BW142" s="33"/>
      <c r="BX142" s="48"/>
      <c r="BY142" s="12"/>
      <c r="BZ142" s="10"/>
      <c r="CA142" s="10"/>
      <c r="CB142" s="33"/>
      <c r="CC142" s="33"/>
      <c r="CD142" s="48"/>
      <c r="CE142" s="12"/>
    </row>
    <row r="143" spans="1:83" ht="80.25" customHeight="1">
      <c r="A143" s="20"/>
      <c r="B143" s="28"/>
      <c r="C143" s="27"/>
      <c r="D143" s="36"/>
      <c r="H143" s="29"/>
      <c r="I143" s="11"/>
      <c r="J143" s="56"/>
      <c r="K143" s="33"/>
      <c r="L143" s="10"/>
      <c r="M143" s="10"/>
      <c r="N143" s="33"/>
      <c r="O143" s="33"/>
      <c r="P143" s="56"/>
      <c r="Q143" s="33"/>
      <c r="R143" s="56"/>
      <c r="S143" s="56"/>
      <c r="T143" s="33"/>
      <c r="U143" s="33"/>
      <c r="V143" s="56"/>
      <c r="W143" s="33"/>
      <c r="X143" s="56"/>
      <c r="Y143" s="56"/>
      <c r="Z143" s="33"/>
      <c r="AA143" s="33"/>
      <c r="AB143" s="146"/>
      <c r="AC143" s="117"/>
      <c r="AD143" s="10"/>
      <c r="AE143" s="10"/>
      <c r="AF143" s="117"/>
      <c r="AG143" s="118"/>
      <c r="AH143" s="80"/>
      <c r="AI143" s="127"/>
      <c r="AJ143" s="111"/>
      <c r="AK143" s="111"/>
      <c r="AL143" s="112"/>
      <c r="AM143" s="112"/>
      <c r="AN143" s="80"/>
      <c r="AO143" s="12"/>
      <c r="AP143" s="10"/>
      <c r="AQ143" s="10"/>
      <c r="AR143" s="12"/>
      <c r="AS143" s="12"/>
      <c r="AT143" s="13"/>
      <c r="AU143" s="12"/>
      <c r="AV143" s="10"/>
      <c r="AW143" s="10"/>
      <c r="AX143" s="12"/>
      <c r="AY143" s="12"/>
      <c r="AZ143" s="32"/>
      <c r="BA143" s="12"/>
      <c r="BB143" s="10"/>
      <c r="BC143" s="10"/>
      <c r="BD143" s="12"/>
      <c r="BE143" s="12"/>
      <c r="BF143" s="48"/>
      <c r="BG143" s="12"/>
      <c r="BH143" s="10"/>
      <c r="BI143" s="10"/>
      <c r="BJ143" s="33"/>
      <c r="BK143" s="33"/>
      <c r="BL143" s="48"/>
      <c r="BM143" s="12"/>
      <c r="BN143" s="10"/>
      <c r="BO143" s="10"/>
      <c r="BP143" s="33"/>
      <c r="BQ143" s="33"/>
      <c r="BR143" s="48"/>
      <c r="BS143" s="12"/>
      <c r="BT143" s="10"/>
      <c r="BU143" s="10"/>
      <c r="BV143" s="33"/>
      <c r="BW143" s="33"/>
      <c r="BX143" s="48"/>
      <c r="BY143" s="12"/>
      <c r="BZ143" s="10"/>
      <c r="CA143" s="10"/>
      <c r="CB143" s="33"/>
      <c r="CC143" s="33"/>
      <c r="CD143" s="48"/>
      <c r="CE143" s="12"/>
    </row>
    <row r="144" spans="1:83" ht="80.25" customHeight="1">
      <c r="A144" s="20"/>
      <c r="B144" s="28"/>
      <c r="C144" s="27"/>
      <c r="D144" s="36"/>
      <c r="H144" s="29"/>
      <c r="I144" s="11"/>
      <c r="J144" s="56"/>
      <c r="K144" s="33"/>
      <c r="L144" s="10"/>
      <c r="M144" s="10"/>
      <c r="N144" s="33"/>
      <c r="O144" s="33"/>
      <c r="P144" s="56"/>
      <c r="Q144" s="33"/>
      <c r="R144" s="56"/>
      <c r="S144" s="56"/>
      <c r="T144" s="33"/>
      <c r="U144" s="33"/>
      <c r="V144" s="56"/>
      <c r="W144" s="33"/>
      <c r="X144" s="56"/>
      <c r="Y144" s="56"/>
      <c r="Z144" s="33"/>
      <c r="AA144" s="33"/>
      <c r="AB144" s="146"/>
      <c r="AC144" s="117"/>
      <c r="AD144" s="10"/>
      <c r="AE144" s="10"/>
      <c r="AF144" s="117"/>
      <c r="AG144" s="118"/>
      <c r="AH144" s="80"/>
      <c r="AI144" s="127"/>
      <c r="AJ144" s="111"/>
      <c r="AK144" s="111"/>
      <c r="AL144" s="112"/>
      <c r="AM144" s="112"/>
      <c r="AN144" s="80"/>
      <c r="AO144" s="12"/>
      <c r="AP144" s="10"/>
      <c r="AQ144" s="10"/>
      <c r="AR144" s="12"/>
      <c r="AS144" s="12"/>
      <c r="AT144" s="13"/>
      <c r="AU144" s="12"/>
      <c r="AV144" s="10"/>
      <c r="AW144" s="10"/>
      <c r="AX144" s="12"/>
      <c r="AY144" s="12"/>
      <c r="AZ144" s="32"/>
      <c r="BA144" s="12"/>
      <c r="BB144" s="10"/>
      <c r="BC144" s="10"/>
      <c r="BD144" s="12"/>
      <c r="BE144" s="12"/>
      <c r="BF144" s="48"/>
      <c r="BG144" s="12"/>
      <c r="BH144" s="10"/>
      <c r="BI144" s="10"/>
      <c r="BJ144" s="33"/>
      <c r="BK144" s="33"/>
      <c r="BL144" s="48"/>
      <c r="BM144" s="12"/>
      <c r="BN144" s="10"/>
      <c r="BO144" s="10"/>
      <c r="BP144" s="33"/>
      <c r="BQ144" s="33"/>
      <c r="BR144" s="48"/>
      <c r="BS144" s="12"/>
      <c r="BT144" s="10"/>
      <c r="BU144" s="10"/>
      <c r="BV144" s="33"/>
      <c r="BW144" s="33"/>
      <c r="BX144" s="48"/>
      <c r="BY144" s="12"/>
      <c r="BZ144" s="10"/>
      <c r="CA144" s="10"/>
      <c r="CB144" s="33"/>
      <c r="CC144" s="33"/>
      <c r="CD144" s="48"/>
      <c r="CE144" s="12"/>
    </row>
    <row r="145" spans="1:83" ht="80.25" customHeight="1">
      <c r="A145" s="20"/>
      <c r="B145" s="28"/>
      <c r="C145" s="30"/>
      <c r="D145" s="37"/>
      <c r="H145" s="29"/>
      <c r="I145" s="11"/>
      <c r="J145" s="56"/>
      <c r="K145" s="33"/>
      <c r="L145" s="10"/>
      <c r="M145" s="10"/>
      <c r="N145" s="33"/>
      <c r="O145" s="33"/>
      <c r="P145" s="56"/>
      <c r="Q145" s="33"/>
      <c r="R145" s="56"/>
      <c r="S145" s="56"/>
      <c r="T145" s="33"/>
      <c r="U145" s="33"/>
      <c r="V145" s="56"/>
      <c r="W145" s="33"/>
      <c r="X145" s="56"/>
      <c r="Y145" s="56"/>
      <c r="Z145" s="33"/>
      <c r="AA145" s="33"/>
      <c r="AB145" s="146"/>
      <c r="AC145" s="117"/>
      <c r="AD145" s="10"/>
      <c r="AE145" s="10"/>
      <c r="AF145" s="117"/>
      <c r="AG145" s="118"/>
      <c r="AH145" s="80"/>
      <c r="AI145" s="127"/>
      <c r="AJ145" s="111"/>
      <c r="AK145" s="111"/>
      <c r="AL145" s="112"/>
      <c r="AM145" s="112"/>
      <c r="AN145" s="80"/>
      <c r="AO145" s="12"/>
      <c r="AP145" s="10"/>
      <c r="AQ145" s="10"/>
      <c r="AR145" s="12"/>
      <c r="AS145" s="12"/>
      <c r="AT145" s="13"/>
      <c r="AU145" s="12"/>
      <c r="AV145" s="10"/>
      <c r="AW145" s="10"/>
      <c r="AX145" s="12"/>
      <c r="AY145" s="12"/>
      <c r="AZ145" s="32"/>
      <c r="BA145" s="12"/>
      <c r="BB145" s="10"/>
      <c r="BC145" s="10"/>
      <c r="BD145" s="12"/>
      <c r="BE145" s="12"/>
      <c r="BF145" s="48"/>
      <c r="BG145" s="12"/>
      <c r="BH145" s="10"/>
      <c r="BI145" s="10"/>
      <c r="BJ145" s="33"/>
      <c r="BK145" s="33"/>
      <c r="BL145" s="48"/>
      <c r="BM145" s="12"/>
      <c r="BN145" s="10"/>
      <c r="BO145" s="10"/>
      <c r="BP145" s="33"/>
      <c r="BQ145" s="33"/>
      <c r="BR145" s="48"/>
      <c r="BS145" s="12"/>
      <c r="BT145" s="10"/>
      <c r="BU145" s="10"/>
      <c r="BV145" s="33"/>
      <c r="BW145" s="33"/>
      <c r="BX145" s="48"/>
      <c r="BY145" s="12"/>
      <c r="BZ145" s="10"/>
      <c r="CA145" s="10"/>
      <c r="CB145" s="33"/>
      <c r="CC145" s="33"/>
      <c r="CD145" s="48"/>
      <c r="CE145" s="12"/>
    </row>
    <row r="146" spans="1:83" ht="80.25" customHeight="1">
      <c r="A146" s="20"/>
      <c r="B146" s="28"/>
      <c r="C146" s="27"/>
      <c r="D146" s="36"/>
      <c r="H146" s="29"/>
      <c r="I146" s="11"/>
      <c r="J146" s="56"/>
      <c r="K146" s="33"/>
      <c r="L146" s="10"/>
      <c r="M146" s="10"/>
      <c r="N146" s="33"/>
      <c r="O146" s="33"/>
      <c r="P146" s="56"/>
      <c r="Q146" s="33"/>
      <c r="R146" s="56"/>
      <c r="S146" s="56"/>
      <c r="T146" s="33"/>
      <c r="U146" s="33"/>
      <c r="V146" s="56"/>
      <c r="W146" s="33"/>
      <c r="X146" s="56"/>
      <c r="Y146" s="56"/>
      <c r="Z146" s="33"/>
      <c r="AA146" s="33"/>
      <c r="AB146" s="146"/>
      <c r="AC146" s="117"/>
      <c r="AD146" s="10"/>
      <c r="AE146" s="10"/>
      <c r="AF146" s="117"/>
      <c r="AG146" s="118"/>
      <c r="AH146" s="80"/>
      <c r="AI146" s="127"/>
      <c r="AJ146" s="111"/>
      <c r="AK146" s="111"/>
      <c r="AL146" s="112"/>
      <c r="AM146" s="112"/>
      <c r="AN146" s="80"/>
      <c r="AO146" s="12"/>
      <c r="AP146" s="10"/>
      <c r="AQ146" s="10"/>
      <c r="AR146" s="12"/>
      <c r="AS146" s="12"/>
      <c r="AT146" s="13"/>
      <c r="AU146" s="12"/>
      <c r="AV146" s="10"/>
      <c r="AW146" s="10"/>
      <c r="AX146" s="12"/>
      <c r="AY146" s="12"/>
      <c r="AZ146" s="32"/>
      <c r="BA146" s="12"/>
      <c r="BB146" s="10"/>
      <c r="BC146" s="10"/>
      <c r="BD146" s="12"/>
      <c r="BE146" s="12"/>
      <c r="BF146" s="48"/>
      <c r="BG146" s="12"/>
      <c r="BH146" s="10"/>
      <c r="BI146" s="10"/>
      <c r="BJ146" s="33"/>
      <c r="BK146" s="33"/>
      <c r="BL146" s="48"/>
      <c r="BM146" s="12"/>
      <c r="BN146" s="10"/>
      <c r="BO146" s="10"/>
      <c r="BP146" s="33"/>
      <c r="BQ146" s="33"/>
      <c r="BR146" s="48"/>
      <c r="BS146" s="12"/>
      <c r="BT146" s="10"/>
      <c r="BU146" s="10"/>
      <c r="BV146" s="33"/>
      <c r="BW146" s="33"/>
      <c r="BX146" s="48"/>
      <c r="BY146" s="12"/>
      <c r="BZ146" s="10"/>
      <c r="CA146" s="10"/>
      <c r="CB146" s="33"/>
      <c r="CC146" s="33"/>
      <c r="CD146" s="48"/>
      <c r="CE146" s="12"/>
    </row>
    <row r="147" spans="1:83" ht="80.25" customHeight="1">
      <c r="A147" s="20"/>
      <c r="B147" s="28"/>
      <c r="C147" s="27"/>
      <c r="D147" s="36"/>
      <c r="H147" s="29"/>
      <c r="I147" s="11"/>
      <c r="J147" s="56"/>
      <c r="K147" s="33"/>
      <c r="L147" s="10"/>
      <c r="M147" s="10"/>
      <c r="N147" s="33"/>
      <c r="O147" s="33"/>
      <c r="P147" s="56"/>
      <c r="Q147" s="33"/>
      <c r="R147" s="56"/>
      <c r="S147" s="56"/>
      <c r="T147" s="33"/>
      <c r="U147" s="33"/>
      <c r="V147" s="56"/>
      <c r="W147" s="33"/>
      <c r="X147" s="56"/>
      <c r="Y147" s="56"/>
      <c r="Z147" s="33"/>
      <c r="AA147" s="33"/>
      <c r="AB147" s="146"/>
      <c r="AC147" s="117"/>
      <c r="AD147" s="10"/>
      <c r="AE147" s="10"/>
      <c r="AF147" s="117"/>
      <c r="AG147" s="118"/>
      <c r="AH147" s="80"/>
      <c r="AI147" s="127"/>
      <c r="AJ147" s="111"/>
      <c r="AK147" s="111"/>
      <c r="AL147" s="112"/>
      <c r="AM147" s="112"/>
      <c r="AN147" s="80"/>
      <c r="AO147" s="12"/>
      <c r="AP147" s="10"/>
      <c r="AQ147" s="10"/>
      <c r="AR147" s="12"/>
      <c r="AS147" s="12"/>
      <c r="AT147" s="13"/>
      <c r="AU147" s="12"/>
      <c r="AV147" s="10"/>
      <c r="AW147" s="10"/>
      <c r="AX147" s="12"/>
      <c r="AY147" s="12"/>
      <c r="AZ147" s="32"/>
      <c r="BA147" s="12"/>
      <c r="BB147" s="10"/>
      <c r="BC147" s="10"/>
      <c r="BD147" s="12"/>
      <c r="BE147" s="12"/>
      <c r="BF147" s="48"/>
      <c r="BG147" s="12"/>
      <c r="BH147" s="10"/>
      <c r="BI147" s="10"/>
      <c r="BJ147" s="33"/>
      <c r="BK147" s="33"/>
      <c r="BL147" s="48"/>
      <c r="BM147" s="12"/>
      <c r="BN147" s="10"/>
      <c r="BO147" s="10"/>
      <c r="BP147" s="33"/>
      <c r="BQ147" s="33"/>
      <c r="BR147" s="48"/>
      <c r="BS147" s="12"/>
      <c r="BT147" s="10"/>
      <c r="BU147" s="10"/>
      <c r="BV147" s="33"/>
      <c r="BW147" s="33"/>
      <c r="BX147" s="48"/>
      <c r="BY147" s="12"/>
      <c r="BZ147" s="10"/>
      <c r="CA147" s="10"/>
      <c r="CB147" s="33"/>
      <c r="CC147" s="33"/>
      <c r="CD147" s="48"/>
      <c r="CE147" s="12"/>
    </row>
    <row r="148" spans="1:83" ht="80.25" customHeight="1">
      <c r="A148" s="20"/>
      <c r="B148" s="28"/>
      <c r="C148" s="30"/>
      <c r="D148" s="37"/>
      <c r="H148" s="29"/>
      <c r="I148" s="11"/>
      <c r="J148" s="56"/>
      <c r="K148" s="33"/>
      <c r="L148" s="10"/>
      <c r="M148" s="10"/>
      <c r="N148" s="33"/>
      <c r="O148" s="33"/>
      <c r="P148" s="56"/>
      <c r="Q148" s="33"/>
      <c r="R148" s="56"/>
      <c r="S148" s="56"/>
      <c r="T148" s="33"/>
      <c r="U148" s="33"/>
      <c r="V148" s="56"/>
      <c r="W148" s="33"/>
      <c r="X148" s="56"/>
      <c r="Y148" s="56"/>
      <c r="Z148" s="33"/>
      <c r="AA148" s="33"/>
      <c r="AB148" s="146"/>
      <c r="AC148" s="117"/>
      <c r="AD148" s="10"/>
      <c r="AE148" s="10"/>
      <c r="AF148" s="117"/>
      <c r="AG148" s="118"/>
      <c r="AH148" s="80"/>
      <c r="AI148" s="127"/>
      <c r="AJ148" s="111"/>
      <c r="AK148" s="111"/>
      <c r="AL148" s="112"/>
      <c r="AM148" s="112"/>
      <c r="AN148" s="80"/>
      <c r="AO148" s="12"/>
      <c r="AP148" s="10"/>
      <c r="AQ148" s="10"/>
      <c r="AR148" s="12"/>
      <c r="AS148" s="12"/>
      <c r="AT148" s="13"/>
      <c r="AU148" s="12"/>
      <c r="AV148" s="10"/>
      <c r="AW148" s="10"/>
      <c r="AX148" s="12"/>
      <c r="AY148" s="12"/>
      <c r="AZ148" s="32"/>
      <c r="BA148" s="12"/>
      <c r="BB148" s="10"/>
      <c r="BC148" s="10"/>
      <c r="BD148" s="12"/>
      <c r="BE148" s="12"/>
      <c r="BF148" s="48"/>
      <c r="BG148" s="12"/>
      <c r="BH148" s="10"/>
      <c r="BI148" s="10"/>
      <c r="BJ148" s="33"/>
      <c r="BK148" s="33"/>
      <c r="BL148" s="48"/>
      <c r="BM148" s="12"/>
      <c r="BN148" s="10"/>
      <c r="BO148" s="10"/>
      <c r="BP148" s="33"/>
      <c r="BQ148" s="33"/>
      <c r="BR148" s="48"/>
      <c r="BS148" s="12"/>
      <c r="BT148" s="10"/>
      <c r="BU148" s="10"/>
      <c r="BV148" s="33"/>
      <c r="BW148" s="33"/>
      <c r="BX148" s="48"/>
      <c r="BY148" s="12"/>
      <c r="BZ148" s="10"/>
      <c r="CA148" s="10"/>
      <c r="CB148" s="33"/>
      <c r="CC148" s="33"/>
      <c r="CD148" s="48"/>
      <c r="CE148" s="12"/>
    </row>
    <row r="149" spans="1:83" ht="80.25" customHeight="1">
      <c r="A149" s="20"/>
      <c r="B149" s="28"/>
      <c r="C149" s="30"/>
      <c r="D149" s="37"/>
      <c r="H149" s="29"/>
      <c r="I149" s="11"/>
      <c r="J149" s="56"/>
      <c r="K149" s="33"/>
      <c r="L149" s="10"/>
      <c r="M149" s="10"/>
      <c r="N149" s="33"/>
      <c r="O149" s="33"/>
      <c r="P149" s="56"/>
      <c r="Q149" s="33"/>
      <c r="R149" s="56"/>
      <c r="S149" s="56"/>
      <c r="T149" s="33"/>
      <c r="U149" s="33"/>
      <c r="V149" s="56"/>
      <c r="W149" s="33"/>
      <c r="X149" s="56"/>
      <c r="Y149" s="56"/>
      <c r="Z149" s="33"/>
      <c r="AA149" s="33"/>
      <c r="AB149" s="146"/>
      <c r="AC149" s="117"/>
      <c r="AD149" s="10"/>
      <c r="AE149" s="10"/>
      <c r="AF149" s="117"/>
      <c r="AG149" s="118"/>
      <c r="AH149" s="80"/>
      <c r="AI149" s="127"/>
      <c r="AJ149" s="111"/>
      <c r="AK149" s="111"/>
      <c r="AL149" s="112"/>
      <c r="AM149" s="112"/>
      <c r="AN149" s="80"/>
      <c r="AO149" s="12"/>
      <c r="AP149" s="10"/>
      <c r="AQ149" s="10"/>
      <c r="AR149" s="12"/>
      <c r="AS149" s="12"/>
      <c r="AT149" s="13"/>
      <c r="AU149" s="12"/>
      <c r="AV149" s="10"/>
      <c r="AW149" s="10"/>
      <c r="AX149" s="12"/>
      <c r="AY149" s="12"/>
      <c r="AZ149" s="32"/>
      <c r="BA149" s="12"/>
      <c r="BB149" s="10"/>
      <c r="BC149" s="10"/>
      <c r="BD149" s="12"/>
      <c r="BE149" s="12"/>
      <c r="BF149" s="48"/>
      <c r="BG149" s="12"/>
      <c r="BH149" s="10"/>
      <c r="BI149" s="10"/>
      <c r="BJ149" s="33"/>
      <c r="BK149" s="33"/>
      <c r="BL149" s="48"/>
      <c r="BM149" s="12"/>
      <c r="BN149" s="10"/>
      <c r="BO149" s="10"/>
      <c r="BP149" s="33"/>
      <c r="BQ149" s="33"/>
      <c r="BR149" s="48"/>
      <c r="BS149" s="12"/>
      <c r="BT149" s="10"/>
      <c r="BU149" s="10"/>
      <c r="BV149" s="33"/>
      <c r="BW149" s="33"/>
      <c r="BX149" s="48"/>
      <c r="BY149" s="12"/>
      <c r="BZ149" s="10"/>
      <c r="CA149" s="10"/>
      <c r="CB149" s="33"/>
      <c r="CC149" s="33"/>
      <c r="CD149" s="48"/>
      <c r="CE149" s="12"/>
    </row>
    <row r="150" spans="1:83" ht="80.25" customHeight="1">
      <c r="A150" s="20"/>
      <c r="B150" s="28"/>
      <c r="C150" s="27"/>
      <c r="D150" s="36"/>
      <c r="H150" s="29"/>
      <c r="I150" s="11"/>
      <c r="J150" s="56"/>
      <c r="K150" s="33"/>
      <c r="L150" s="10"/>
      <c r="M150" s="10"/>
      <c r="N150" s="33"/>
      <c r="O150" s="33"/>
      <c r="P150" s="56"/>
      <c r="Q150" s="33"/>
      <c r="R150" s="56"/>
      <c r="S150" s="56"/>
      <c r="T150" s="33"/>
      <c r="U150" s="33"/>
      <c r="V150" s="56"/>
      <c r="W150" s="33"/>
      <c r="X150" s="56"/>
      <c r="Y150" s="56"/>
      <c r="Z150" s="33"/>
      <c r="AA150" s="33"/>
      <c r="AB150" s="146"/>
      <c r="AC150" s="117"/>
      <c r="AD150" s="10"/>
      <c r="AE150" s="10"/>
      <c r="AF150" s="117"/>
      <c r="AG150" s="118"/>
      <c r="AH150" s="80"/>
      <c r="AI150" s="127"/>
      <c r="AJ150" s="111"/>
      <c r="AK150" s="111"/>
      <c r="AL150" s="112"/>
      <c r="AM150" s="112"/>
      <c r="AN150" s="80"/>
      <c r="AO150" s="12"/>
      <c r="AP150" s="10"/>
      <c r="AQ150" s="10"/>
      <c r="AR150" s="12"/>
      <c r="AS150" s="12"/>
      <c r="AT150" s="13"/>
      <c r="AU150" s="12"/>
      <c r="AV150" s="10"/>
      <c r="AW150" s="10"/>
      <c r="AX150" s="12"/>
      <c r="AY150" s="12"/>
      <c r="AZ150" s="32"/>
      <c r="BA150" s="12"/>
      <c r="BB150" s="10"/>
      <c r="BC150" s="10"/>
      <c r="BD150" s="12"/>
      <c r="BE150" s="12"/>
      <c r="BF150" s="48"/>
      <c r="BG150" s="12"/>
      <c r="BH150" s="10"/>
      <c r="BI150" s="10"/>
      <c r="BJ150" s="33"/>
      <c r="BK150" s="33"/>
      <c r="BL150" s="48"/>
      <c r="BM150" s="12"/>
      <c r="BN150" s="10"/>
      <c r="BO150" s="10"/>
      <c r="BP150" s="33"/>
      <c r="BQ150" s="33"/>
      <c r="BR150" s="48"/>
      <c r="BS150" s="12"/>
      <c r="BT150" s="10"/>
      <c r="BU150" s="10"/>
      <c r="BV150" s="33"/>
      <c r="BW150" s="33"/>
      <c r="BX150" s="48"/>
      <c r="BY150" s="12"/>
      <c r="BZ150" s="10"/>
      <c r="CA150" s="10"/>
      <c r="CB150" s="33"/>
      <c r="CC150" s="33"/>
      <c r="CD150" s="48"/>
      <c r="CE150" s="12"/>
    </row>
    <row r="151" spans="1:83" ht="80.25" customHeight="1">
      <c r="A151" s="20"/>
      <c r="B151" s="28"/>
      <c r="C151" s="30"/>
      <c r="D151" s="37"/>
      <c r="H151" s="29"/>
      <c r="I151" s="11"/>
      <c r="J151" s="56"/>
      <c r="K151" s="33"/>
      <c r="L151" s="10"/>
      <c r="M151" s="10"/>
      <c r="N151" s="33"/>
      <c r="O151" s="33"/>
      <c r="P151" s="56"/>
      <c r="Q151" s="33"/>
      <c r="R151" s="56"/>
      <c r="S151" s="56"/>
      <c r="T151" s="33"/>
      <c r="U151" s="33"/>
      <c r="V151" s="56"/>
      <c r="W151" s="33"/>
      <c r="X151" s="56"/>
      <c r="Y151" s="56"/>
      <c r="Z151" s="33"/>
      <c r="AA151" s="33"/>
      <c r="AB151" s="146"/>
      <c r="AC151" s="117"/>
      <c r="AD151" s="10"/>
      <c r="AE151" s="10"/>
      <c r="AF151" s="117"/>
      <c r="AG151" s="118"/>
      <c r="AH151" s="80"/>
      <c r="AI151" s="127"/>
      <c r="AJ151" s="111"/>
      <c r="AK151" s="111"/>
      <c r="AL151" s="112"/>
      <c r="AM151" s="112"/>
      <c r="AN151" s="80"/>
      <c r="AO151" s="12"/>
      <c r="AP151" s="10"/>
      <c r="AQ151" s="10"/>
      <c r="AR151" s="12"/>
      <c r="AS151" s="12"/>
      <c r="AT151" s="13"/>
      <c r="AU151" s="12"/>
      <c r="AV151" s="10"/>
      <c r="AW151" s="10"/>
      <c r="AX151" s="12"/>
      <c r="AY151" s="12"/>
      <c r="AZ151" s="32"/>
      <c r="BA151" s="12"/>
      <c r="BB151" s="10"/>
      <c r="BC151" s="10"/>
      <c r="BD151" s="12"/>
      <c r="BE151" s="12"/>
      <c r="BF151" s="48"/>
      <c r="BG151" s="12"/>
      <c r="BH151" s="10"/>
      <c r="BI151" s="10"/>
      <c r="BJ151" s="33"/>
      <c r="BK151" s="33"/>
      <c r="BL151" s="48"/>
      <c r="BM151" s="12"/>
      <c r="BN151" s="10"/>
      <c r="BO151" s="10"/>
      <c r="BP151" s="33"/>
      <c r="BQ151" s="33"/>
      <c r="BR151" s="48"/>
      <c r="BS151" s="12"/>
      <c r="BT151" s="10"/>
      <c r="BU151" s="10"/>
      <c r="BV151" s="33"/>
      <c r="BW151" s="33"/>
      <c r="BX151" s="48"/>
      <c r="BY151" s="12"/>
      <c r="BZ151" s="10"/>
      <c r="CA151" s="10"/>
      <c r="CB151" s="33"/>
      <c r="CC151" s="33"/>
      <c r="CD151" s="48"/>
      <c r="CE151" s="12"/>
    </row>
    <row r="152" spans="1:83" ht="80.25" customHeight="1">
      <c r="A152" s="20"/>
      <c r="B152" s="28"/>
      <c r="C152" s="30"/>
      <c r="D152" s="37"/>
      <c r="H152" s="29"/>
      <c r="I152" s="11"/>
      <c r="J152" s="56"/>
      <c r="K152" s="33"/>
      <c r="L152" s="10"/>
      <c r="M152" s="10"/>
      <c r="N152" s="33"/>
      <c r="O152" s="33"/>
      <c r="P152" s="56"/>
      <c r="Q152" s="33"/>
      <c r="R152" s="56"/>
      <c r="S152" s="56"/>
      <c r="T152" s="33"/>
      <c r="U152" s="33"/>
      <c r="V152" s="56"/>
      <c r="W152" s="33"/>
      <c r="X152" s="56"/>
      <c r="Y152" s="56"/>
      <c r="Z152" s="33"/>
      <c r="AA152" s="33"/>
      <c r="AB152" s="146"/>
      <c r="AC152" s="117"/>
      <c r="AD152" s="10"/>
      <c r="AE152" s="10"/>
      <c r="AF152" s="117"/>
      <c r="AG152" s="118"/>
      <c r="AH152" s="80"/>
      <c r="AI152" s="127"/>
      <c r="AJ152" s="111"/>
      <c r="AK152" s="111"/>
      <c r="AL152" s="112"/>
      <c r="AM152" s="112"/>
      <c r="AN152" s="80"/>
      <c r="AO152" s="12"/>
      <c r="AP152" s="10"/>
      <c r="AQ152" s="10"/>
      <c r="AR152" s="12"/>
      <c r="AS152" s="12"/>
      <c r="AT152" s="13"/>
      <c r="AU152" s="12"/>
      <c r="AV152" s="10"/>
      <c r="AW152" s="10"/>
      <c r="AX152" s="12"/>
      <c r="AY152" s="12"/>
      <c r="AZ152" s="32"/>
      <c r="BA152" s="12"/>
      <c r="BB152" s="10"/>
      <c r="BC152" s="10"/>
      <c r="BD152" s="12"/>
      <c r="BE152" s="12"/>
      <c r="BF152" s="48"/>
      <c r="BG152" s="12"/>
      <c r="BH152" s="10"/>
      <c r="BI152" s="10"/>
      <c r="BJ152" s="33"/>
      <c r="BK152" s="33"/>
      <c r="BL152" s="48"/>
      <c r="BM152" s="12"/>
      <c r="BN152" s="10"/>
      <c r="BO152" s="10"/>
      <c r="BP152" s="33"/>
      <c r="BQ152" s="33"/>
      <c r="BR152" s="48"/>
      <c r="BS152" s="12"/>
      <c r="BT152" s="10"/>
      <c r="BU152" s="10"/>
      <c r="BV152" s="33"/>
      <c r="BW152" s="33"/>
      <c r="BX152" s="48"/>
      <c r="BY152" s="12"/>
      <c r="BZ152" s="10"/>
      <c r="CA152" s="10"/>
      <c r="CB152" s="33"/>
      <c r="CC152" s="33"/>
      <c r="CD152" s="48"/>
      <c r="CE152" s="12"/>
    </row>
    <row r="153" spans="1:83" ht="80.25" customHeight="1">
      <c r="A153" s="20"/>
      <c r="B153" s="28"/>
      <c r="C153" s="27"/>
      <c r="D153" s="36"/>
      <c r="H153" s="29"/>
      <c r="I153" s="11"/>
      <c r="J153" s="56"/>
      <c r="K153" s="33"/>
      <c r="L153" s="10"/>
      <c r="M153" s="10"/>
      <c r="N153" s="33"/>
      <c r="O153" s="33"/>
      <c r="P153" s="56"/>
      <c r="Q153" s="33"/>
      <c r="R153" s="56"/>
      <c r="S153" s="56"/>
      <c r="T153" s="33"/>
      <c r="U153" s="33"/>
      <c r="V153" s="56"/>
      <c r="W153" s="33"/>
      <c r="X153" s="56"/>
      <c r="Y153" s="56"/>
      <c r="Z153" s="33"/>
      <c r="AA153" s="33"/>
      <c r="AB153" s="146"/>
      <c r="AC153" s="117"/>
      <c r="AD153" s="10"/>
      <c r="AE153" s="10"/>
      <c r="AF153" s="117"/>
      <c r="AG153" s="118"/>
      <c r="AH153" s="80"/>
      <c r="AI153" s="127"/>
      <c r="AJ153" s="111"/>
      <c r="AK153" s="111"/>
      <c r="AL153" s="112"/>
      <c r="AM153" s="112"/>
      <c r="AN153" s="80"/>
      <c r="AO153" s="12"/>
      <c r="AP153" s="10"/>
      <c r="AQ153" s="10"/>
      <c r="AR153" s="12"/>
      <c r="AS153" s="12"/>
      <c r="AT153" s="13"/>
      <c r="AU153" s="12"/>
      <c r="AV153" s="10"/>
      <c r="AW153" s="10"/>
      <c r="AX153" s="12"/>
      <c r="AY153" s="12"/>
      <c r="AZ153" s="32"/>
      <c r="BA153" s="12"/>
      <c r="BB153" s="10"/>
      <c r="BC153" s="10"/>
      <c r="BD153" s="12"/>
      <c r="BE153" s="12"/>
      <c r="BF153" s="48"/>
      <c r="BG153" s="12"/>
      <c r="BH153" s="10"/>
      <c r="BI153" s="10"/>
      <c r="BJ153" s="33"/>
      <c r="BK153" s="33"/>
      <c r="BL153" s="48"/>
      <c r="BM153" s="12"/>
      <c r="BN153" s="10"/>
      <c r="BO153" s="10"/>
      <c r="BP153" s="33"/>
      <c r="BQ153" s="33"/>
      <c r="BR153" s="48"/>
      <c r="BS153" s="12"/>
      <c r="BT153" s="10"/>
      <c r="BU153" s="10"/>
      <c r="BV153" s="33"/>
      <c r="BW153" s="33"/>
      <c r="BX153" s="48"/>
      <c r="BY153" s="12"/>
      <c r="BZ153" s="10"/>
      <c r="CA153" s="10"/>
      <c r="CB153" s="33"/>
      <c r="CC153" s="33"/>
      <c r="CD153" s="48"/>
      <c r="CE153" s="12"/>
    </row>
    <row r="154" spans="1:83" ht="80.25" customHeight="1">
      <c r="A154" s="20"/>
      <c r="B154" s="28"/>
      <c r="C154" s="27"/>
      <c r="D154" s="36"/>
      <c r="H154" s="29"/>
      <c r="I154" s="11"/>
      <c r="J154" s="56"/>
      <c r="K154" s="33"/>
      <c r="L154" s="10"/>
      <c r="M154" s="10"/>
      <c r="N154" s="33"/>
      <c r="O154" s="33"/>
      <c r="P154" s="56"/>
      <c r="Q154" s="33"/>
      <c r="R154" s="56"/>
      <c r="S154" s="56"/>
      <c r="T154" s="33"/>
      <c r="U154" s="33"/>
      <c r="V154" s="56"/>
      <c r="W154" s="33"/>
      <c r="X154" s="56"/>
      <c r="Y154" s="56"/>
      <c r="Z154" s="33"/>
      <c r="AA154" s="33"/>
      <c r="AB154" s="146"/>
      <c r="AC154" s="117"/>
      <c r="AD154" s="10"/>
      <c r="AE154" s="10"/>
      <c r="AF154" s="117"/>
      <c r="AG154" s="118"/>
      <c r="AH154" s="80"/>
      <c r="AI154" s="127"/>
      <c r="AJ154" s="111"/>
      <c r="AK154" s="111"/>
      <c r="AL154" s="112"/>
      <c r="AM154" s="112"/>
      <c r="AN154" s="80"/>
      <c r="AO154" s="12"/>
      <c r="AP154" s="10"/>
      <c r="AQ154" s="10"/>
      <c r="AR154" s="12"/>
      <c r="AS154" s="12"/>
      <c r="AT154" s="13"/>
      <c r="AU154" s="12"/>
      <c r="AV154" s="10"/>
      <c r="AW154" s="10"/>
      <c r="AX154" s="12"/>
      <c r="AY154" s="12"/>
      <c r="AZ154" s="32"/>
      <c r="BA154" s="12"/>
      <c r="BB154" s="10"/>
      <c r="BC154" s="10"/>
      <c r="BD154" s="12"/>
      <c r="BE154" s="12"/>
      <c r="BF154" s="48"/>
      <c r="BG154" s="12"/>
      <c r="BH154" s="10"/>
      <c r="BI154" s="10"/>
      <c r="BJ154" s="33"/>
      <c r="BK154" s="33"/>
      <c r="BL154" s="48"/>
      <c r="BM154" s="12"/>
      <c r="BN154" s="10"/>
      <c r="BO154" s="10"/>
      <c r="BP154" s="33"/>
      <c r="BQ154" s="33"/>
      <c r="BR154" s="48"/>
      <c r="BS154" s="12"/>
      <c r="BT154" s="10"/>
      <c r="BU154" s="10"/>
      <c r="BV154" s="33"/>
      <c r="BW154" s="33"/>
      <c r="BX154" s="48"/>
      <c r="BY154" s="12"/>
      <c r="BZ154" s="10"/>
      <c r="CA154" s="10"/>
      <c r="CB154" s="33"/>
      <c r="CC154" s="33"/>
      <c r="CD154" s="48"/>
      <c r="CE154" s="12"/>
    </row>
    <row r="155" spans="1:83" ht="80.25" customHeight="1">
      <c r="A155" s="20"/>
      <c r="B155" s="28"/>
      <c r="C155" s="27"/>
      <c r="D155" s="36"/>
      <c r="H155" s="29"/>
      <c r="I155" s="11"/>
      <c r="J155" s="56"/>
      <c r="K155" s="33"/>
      <c r="L155" s="10"/>
      <c r="M155" s="10"/>
      <c r="N155" s="33"/>
      <c r="O155" s="33"/>
      <c r="P155" s="56"/>
      <c r="Q155" s="33"/>
      <c r="R155" s="56"/>
      <c r="S155" s="56"/>
      <c r="T155" s="33"/>
      <c r="U155" s="33"/>
      <c r="V155" s="56"/>
      <c r="W155" s="33"/>
      <c r="X155" s="56"/>
      <c r="Y155" s="56"/>
      <c r="Z155" s="33"/>
      <c r="AA155" s="33"/>
      <c r="AB155" s="146"/>
      <c r="AC155" s="117"/>
      <c r="AD155" s="10"/>
      <c r="AE155" s="10"/>
      <c r="AF155" s="117"/>
      <c r="AG155" s="118"/>
      <c r="AH155" s="80"/>
      <c r="AI155" s="127"/>
      <c r="AJ155" s="111"/>
      <c r="AK155" s="111"/>
      <c r="AL155" s="112"/>
      <c r="AM155" s="112"/>
      <c r="AN155" s="80"/>
      <c r="AO155" s="12"/>
      <c r="AP155" s="10"/>
      <c r="AQ155" s="10"/>
      <c r="AR155" s="12"/>
      <c r="AS155" s="12"/>
      <c r="AT155" s="13"/>
      <c r="AU155" s="12"/>
      <c r="AV155" s="10"/>
      <c r="AW155" s="10"/>
      <c r="AX155" s="12"/>
      <c r="AY155" s="12"/>
      <c r="AZ155" s="32"/>
      <c r="BA155" s="12"/>
      <c r="BB155" s="10"/>
      <c r="BC155" s="10"/>
      <c r="BD155" s="12"/>
      <c r="BE155" s="12"/>
      <c r="BF155" s="48"/>
      <c r="BG155" s="12"/>
      <c r="BH155" s="10"/>
      <c r="BI155" s="10"/>
      <c r="BJ155" s="33"/>
      <c r="BK155" s="33"/>
      <c r="BL155" s="48"/>
      <c r="BM155" s="12"/>
      <c r="BN155" s="10"/>
      <c r="BO155" s="10"/>
      <c r="BP155" s="33"/>
      <c r="BQ155" s="33"/>
      <c r="BR155" s="48"/>
      <c r="BS155" s="12"/>
      <c r="BT155" s="10"/>
      <c r="BU155" s="10"/>
      <c r="BV155" s="33"/>
      <c r="BW155" s="33"/>
      <c r="BX155" s="48"/>
      <c r="BY155" s="12"/>
      <c r="BZ155" s="10"/>
      <c r="CA155" s="10"/>
      <c r="CB155" s="33"/>
      <c r="CC155" s="33"/>
      <c r="CD155" s="48"/>
      <c r="CE155" s="12"/>
    </row>
    <row r="156" spans="1:83" ht="80.25" customHeight="1">
      <c r="A156" s="20"/>
      <c r="B156" s="28"/>
      <c r="C156" s="27"/>
      <c r="D156" s="36"/>
      <c r="H156" s="29"/>
      <c r="I156" s="11"/>
      <c r="J156" s="56"/>
      <c r="K156" s="33"/>
      <c r="L156" s="10"/>
      <c r="M156" s="10"/>
      <c r="N156" s="33"/>
      <c r="O156" s="33"/>
      <c r="P156" s="56"/>
      <c r="Q156" s="33"/>
      <c r="R156" s="56"/>
      <c r="S156" s="56"/>
      <c r="T156" s="33"/>
      <c r="U156" s="33"/>
      <c r="V156" s="56"/>
      <c r="W156" s="33"/>
      <c r="X156" s="56"/>
      <c r="Y156" s="56"/>
      <c r="Z156" s="33"/>
      <c r="AA156" s="33"/>
      <c r="AB156" s="146"/>
      <c r="AC156" s="117"/>
      <c r="AD156" s="10"/>
      <c r="AE156" s="10"/>
      <c r="AF156" s="117"/>
      <c r="AG156" s="118"/>
      <c r="AH156" s="80"/>
      <c r="AI156" s="127"/>
      <c r="AJ156" s="111"/>
      <c r="AK156" s="111"/>
      <c r="AL156" s="112"/>
      <c r="AM156" s="112"/>
      <c r="AN156" s="80"/>
      <c r="AO156" s="12"/>
      <c r="AP156" s="10"/>
      <c r="AQ156" s="10"/>
      <c r="AR156" s="12"/>
      <c r="AS156" s="12"/>
      <c r="AT156" s="13"/>
      <c r="AU156" s="12"/>
      <c r="AV156" s="10"/>
      <c r="AW156" s="10"/>
      <c r="AX156" s="12"/>
      <c r="AY156" s="12"/>
      <c r="AZ156" s="32"/>
      <c r="BA156" s="12"/>
      <c r="BB156" s="10"/>
      <c r="BC156" s="10"/>
      <c r="BD156" s="12"/>
      <c r="BE156" s="12"/>
      <c r="BF156" s="48"/>
      <c r="BG156" s="12"/>
      <c r="BH156" s="10"/>
      <c r="BI156" s="10"/>
      <c r="BJ156" s="33"/>
      <c r="BK156" s="33"/>
      <c r="BL156" s="48"/>
      <c r="BM156" s="12"/>
      <c r="BN156" s="10"/>
      <c r="BO156" s="10"/>
      <c r="BP156" s="33"/>
      <c r="BQ156" s="33"/>
      <c r="BR156" s="48"/>
      <c r="BS156" s="12"/>
      <c r="BT156" s="10"/>
      <c r="BU156" s="10"/>
      <c r="BV156" s="33"/>
      <c r="BW156" s="33"/>
      <c r="BX156" s="48"/>
      <c r="BY156" s="12"/>
      <c r="BZ156" s="10"/>
      <c r="CA156" s="10"/>
      <c r="CB156" s="33"/>
      <c r="CC156" s="33"/>
      <c r="CD156" s="48"/>
      <c r="CE156" s="12"/>
    </row>
    <row r="157" spans="1:83" ht="80.25" customHeight="1">
      <c r="A157" s="20"/>
      <c r="B157" s="28"/>
      <c r="C157" s="27"/>
      <c r="D157" s="36"/>
      <c r="H157" s="29"/>
      <c r="I157" s="11"/>
      <c r="J157" s="56"/>
      <c r="K157" s="33"/>
      <c r="L157" s="10"/>
      <c r="M157" s="10"/>
      <c r="N157" s="33"/>
      <c r="O157" s="33"/>
      <c r="P157" s="56"/>
      <c r="Q157" s="33"/>
      <c r="R157" s="56"/>
      <c r="S157" s="56"/>
      <c r="T157" s="33"/>
      <c r="U157" s="33"/>
      <c r="V157" s="56"/>
      <c r="W157" s="33"/>
      <c r="X157" s="56"/>
      <c r="Y157" s="56"/>
      <c r="Z157" s="33"/>
      <c r="AA157" s="33"/>
      <c r="AB157" s="146"/>
      <c r="AC157" s="117"/>
      <c r="AD157" s="10"/>
      <c r="AE157" s="10"/>
      <c r="AF157" s="117"/>
      <c r="AG157" s="118"/>
      <c r="AH157" s="80"/>
      <c r="AI157" s="127"/>
      <c r="AJ157" s="111"/>
      <c r="AK157" s="111"/>
      <c r="AL157" s="112"/>
      <c r="AM157" s="112"/>
      <c r="AN157" s="80"/>
      <c r="AO157" s="12"/>
      <c r="AP157" s="10"/>
      <c r="AQ157" s="10"/>
      <c r="AR157" s="12"/>
      <c r="AS157" s="12"/>
      <c r="AT157" s="13"/>
      <c r="AU157" s="12"/>
      <c r="AV157" s="10"/>
      <c r="AW157" s="10"/>
      <c r="AX157" s="12"/>
      <c r="AY157" s="12"/>
      <c r="AZ157" s="32"/>
      <c r="BA157" s="12"/>
      <c r="BB157" s="10"/>
      <c r="BC157" s="10"/>
      <c r="BD157" s="12"/>
      <c r="BE157" s="12"/>
      <c r="BF157" s="48"/>
      <c r="BG157" s="12"/>
      <c r="BH157" s="10"/>
      <c r="BI157" s="10"/>
      <c r="BJ157" s="33"/>
      <c r="BK157" s="33"/>
      <c r="BL157" s="48"/>
      <c r="BM157" s="12"/>
      <c r="BN157" s="10"/>
      <c r="BO157" s="10"/>
      <c r="BP157" s="33"/>
      <c r="BQ157" s="33"/>
      <c r="BR157" s="48"/>
      <c r="BS157" s="12"/>
      <c r="BT157" s="10"/>
      <c r="BU157" s="10"/>
      <c r="BV157" s="33"/>
      <c r="BW157" s="33"/>
      <c r="BX157" s="48"/>
      <c r="BY157" s="12"/>
      <c r="BZ157" s="10"/>
      <c r="CA157" s="10"/>
      <c r="CB157" s="33"/>
      <c r="CC157" s="33"/>
      <c r="CD157" s="48"/>
      <c r="CE157" s="12"/>
    </row>
    <row r="158" spans="1:83" ht="80.25" customHeight="1">
      <c r="A158" s="20"/>
      <c r="B158" s="28"/>
      <c r="C158" s="27"/>
      <c r="D158" s="36"/>
      <c r="H158" s="29"/>
      <c r="I158" s="11"/>
      <c r="J158" s="56"/>
      <c r="K158" s="33"/>
      <c r="L158" s="10"/>
      <c r="M158" s="10"/>
      <c r="N158" s="33"/>
      <c r="O158" s="33"/>
      <c r="P158" s="56"/>
      <c r="Q158" s="33"/>
      <c r="R158" s="56"/>
      <c r="S158" s="56"/>
      <c r="T158" s="33"/>
      <c r="U158" s="33"/>
      <c r="V158" s="56"/>
      <c r="W158" s="33"/>
      <c r="X158" s="56"/>
      <c r="Y158" s="56"/>
      <c r="Z158" s="33"/>
      <c r="AA158" s="33"/>
      <c r="AB158" s="146"/>
      <c r="AC158" s="117"/>
      <c r="AD158" s="10"/>
      <c r="AE158" s="10"/>
      <c r="AF158" s="117"/>
      <c r="AG158" s="118"/>
      <c r="AH158" s="80"/>
      <c r="AI158" s="127"/>
      <c r="AJ158" s="111"/>
      <c r="AK158" s="111"/>
      <c r="AL158" s="112"/>
      <c r="AM158" s="112"/>
      <c r="AN158" s="80"/>
      <c r="AO158" s="12"/>
      <c r="AP158" s="10"/>
      <c r="AQ158" s="10"/>
      <c r="AR158" s="12"/>
      <c r="AS158" s="12"/>
      <c r="AT158" s="13"/>
      <c r="AU158" s="12"/>
      <c r="AV158" s="10"/>
      <c r="AW158" s="10"/>
      <c r="AX158" s="12"/>
      <c r="AY158" s="12"/>
      <c r="AZ158" s="32"/>
      <c r="BA158" s="12"/>
      <c r="BB158" s="10"/>
      <c r="BC158" s="10"/>
      <c r="BD158" s="12"/>
      <c r="BE158" s="12"/>
      <c r="BF158" s="48"/>
      <c r="BG158" s="12"/>
      <c r="BH158" s="10"/>
      <c r="BI158" s="10"/>
      <c r="BJ158" s="33"/>
      <c r="BK158" s="33"/>
      <c r="BL158" s="48"/>
      <c r="BM158" s="12"/>
      <c r="BN158" s="10"/>
      <c r="BO158" s="10"/>
      <c r="BP158" s="33"/>
      <c r="BQ158" s="33"/>
      <c r="BR158" s="48"/>
      <c r="BS158" s="12"/>
      <c r="BT158" s="10"/>
      <c r="BU158" s="10"/>
      <c r="BV158" s="33"/>
      <c r="BW158" s="33"/>
      <c r="BX158" s="48"/>
      <c r="BY158" s="12"/>
      <c r="BZ158" s="10"/>
      <c r="CA158" s="10"/>
      <c r="CB158" s="33"/>
      <c r="CC158" s="33"/>
      <c r="CD158" s="48"/>
      <c r="CE158" s="12"/>
    </row>
    <row r="159" spans="1:83" ht="80.25" customHeight="1">
      <c r="A159" s="20"/>
      <c r="B159" s="28"/>
      <c r="C159" s="30"/>
      <c r="D159" s="37"/>
      <c r="H159" s="29"/>
      <c r="I159" s="11"/>
      <c r="J159" s="56"/>
      <c r="K159" s="33"/>
      <c r="L159" s="10"/>
      <c r="M159" s="10"/>
      <c r="N159" s="33"/>
      <c r="O159" s="33"/>
      <c r="P159" s="56"/>
      <c r="Q159" s="33"/>
      <c r="R159" s="56"/>
      <c r="S159" s="56"/>
      <c r="T159" s="33"/>
      <c r="U159" s="33"/>
      <c r="V159" s="56"/>
      <c r="W159" s="33"/>
      <c r="X159" s="56"/>
      <c r="Y159" s="56"/>
      <c r="Z159" s="33"/>
      <c r="AA159" s="33"/>
      <c r="AB159" s="146"/>
      <c r="AC159" s="117"/>
      <c r="AD159" s="10"/>
      <c r="AE159" s="10"/>
      <c r="AF159" s="117"/>
      <c r="AG159" s="118"/>
      <c r="AH159" s="80"/>
      <c r="AI159" s="127"/>
      <c r="AJ159" s="111"/>
      <c r="AK159" s="111"/>
      <c r="AL159" s="112"/>
      <c r="AM159" s="112"/>
      <c r="AN159" s="80"/>
      <c r="AO159" s="12"/>
      <c r="AP159" s="10"/>
      <c r="AQ159" s="10"/>
      <c r="AR159" s="12"/>
      <c r="AS159" s="12"/>
      <c r="AT159" s="13"/>
      <c r="AU159" s="12"/>
      <c r="AV159" s="10"/>
      <c r="AW159" s="10"/>
      <c r="AX159" s="12"/>
      <c r="AY159" s="12"/>
      <c r="AZ159" s="32"/>
      <c r="BA159" s="12"/>
      <c r="BB159" s="10"/>
      <c r="BC159" s="10"/>
      <c r="BD159" s="12"/>
      <c r="BE159" s="12"/>
      <c r="BF159" s="48"/>
      <c r="BG159" s="12"/>
      <c r="BH159" s="10"/>
      <c r="BI159" s="10"/>
      <c r="BJ159" s="33"/>
      <c r="BK159" s="33"/>
      <c r="BL159" s="48"/>
      <c r="BM159" s="12"/>
      <c r="BN159" s="10"/>
      <c r="BO159" s="10"/>
      <c r="BP159" s="33"/>
      <c r="BQ159" s="33"/>
      <c r="BR159" s="48"/>
      <c r="BS159" s="12"/>
      <c r="BT159" s="10"/>
      <c r="BU159" s="10"/>
      <c r="BV159" s="33"/>
      <c r="BW159" s="33"/>
      <c r="BX159" s="48"/>
      <c r="BY159" s="12"/>
      <c r="BZ159" s="10"/>
      <c r="CA159" s="10"/>
      <c r="CB159" s="33"/>
      <c r="CC159" s="33"/>
      <c r="CD159" s="48"/>
      <c r="CE159" s="12"/>
    </row>
    <row r="160" spans="1:83" ht="80.25" customHeight="1">
      <c r="A160" s="20"/>
      <c r="B160" s="28"/>
      <c r="C160" s="27"/>
      <c r="D160" s="36"/>
      <c r="H160" s="29"/>
      <c r="I160" s="11"/>
      <c r="J160" s="56"/>
      <c r="K160" s="33"/>
      <c r="L160" s="10"/>
      <c r="M160" s="10"/>
      <c r="N160" s="33"/>
      <c r="O160" s="33"/>
      <c r="P160" s="56"/>
      <c r="Q160" s="33"/>
      <c r="R160" s="56"/>
      <c r="S160" s="56"/>
      <c r="T160" s="33"/>
      <c r="U160" s="33"/>
      <c r="V160" s="56"/>
      <c r="W160" s="33"/>
      <c r="X160" s="56"/>
      <c r="Y160" s="56"/>
      <c r="Z160" s="33"/>
      <c r="AA160" s="33"/>
      <c r="AB160" s="146"/>
      <c r="AC160" s="117"/>
      <c r="AD160" s="10"/>
      <c r="AE160" s="10"/>
      <c r="AF160" s="117"/>
      <c r="AG160" s="118"/>
      <c r="AH160" s="80"/>
      <c r="AI160" s="127"/>
      <c r="AJ160" s="111"/>
      <c r="AK160" s="111"/>
      <c r="AL160" s="112"/>
      <c r="AM160" s="112"/>
      <c r="AN160" s="80"/>
      <c r="AO160" s="12"/>
      <c r="AP160" s="10"/>
      <c r="AQ160" s="10"/>
      <c r="AR160" s="12"/>
      <c r="AS160" s="12"/>
      <c r="AT160" s="13"/>
      <c r="AU160" s="12"/>
      <c r="AV160" s="10"/>
      <c r="AW160" s="10"/>
      <c r="AX160" s="12"/>
      <c r="AY160" s="12"/>
      <c r="AZ160" s="32"/>
      <c r="BA160" s="12"/>
      <c r="BB160" s="10"/>
      <c r="BC160" s="10"/>
      <c r="BD160" s="12"/>
      <c r="BE160" s="12"/>
      <c r="BF160" s="48"/>
      <c r="BG160" s="12"/>
      <c r="BH160" s="10"/>
      <c r="BI160" s="10"/>
      <c r="BJ160" s="33"/>
      <c r="BK160" s="33"/>
      <c r="BL160" s="48"/>
      <c r="BM160" s="12"/>
      <c r="BN160" s="10"/>
      <c r="BO160" s="10"/>
      <c r="BP160" s="33"/>
      <c r="BQ160" s="33"/>
      <c r="BR160" s="48"/>
      <c r="BS160" s="12"/>
      <c r="BT160" s="10"/>
      <c r="BU160" s="10"/>
      <c r="BV160" s="33"/>
      <c r="BW160" s="33"/>
      <c r="BX160" s="48"/>
      <c r="BY160" s="12"/>
      <c r="BZ160" s="10"/>
      <c r="CA160" s="10"/>
      <c r="CB160" s="33"/>
      <c r="CC160" s="33"/>
      <c r="CD160" s="48"/>
      <c r="CE160" s="12"/>
    </row>
    <row r="161" spans="1:83" ht="80.25" customHeight="1">
      <c r="A161" s="20"/>
      <c r="B161" s="28"/>
      <c r="C161" s="27"/>
      <c r="D161" s="36"/>
      <c r="H161" s="29"/>
      <c r="I161" s="11"/>
      <c r="J161" s="56"/>
      <c r="K161" s="33"/>
      <c r="L161" s="10"/>
      <c r="M161" s="10"/>
      <c r="N161" s="33"/>
      <c r="O161" s="33"/>
      <c r="P161" s="56"/>
      <c r="Q161" s="33"/>
      <c r="R161" s="56"/>
      <c r="S161" s="56"/>
      <c r="T161" s="33"/>
      <c r="U161" s="33"/>
      <c r="V161" s="56"/>
      <c r="W161" s="33"/>
      <c r="X161" s="56"/>
      <c r="Y161" s="56"/>
      <c r="Z161" s="33"/>
      <c r="AA161" s="33"/>
      <c r="AB161" s="146"/>
      <c r="AC161" s="117"/>
      <c r="AD161" s="10"/>
      <c r="AE161" s="10"/>
      <c r="AF161" s="117"/>
      <c r="AG161" s="118"/>
      <c r="AH161" s="80"/>
      <c r="AI161" s="127"/>
      <c r="AJ161" s="111"/>
      <c r="AK161" s="111"/>
      <c r="AL161" s="112"/>
      <c r="AM161" s="112"/>
      <c r="AN161" s="80"/>
      <c r="AO161" s="12"/>
      <c r="AP161" s="10"/>
      <c r="AQ161" s="10"/>
      <c r="AR161" s="12"/>
      <c r="AS161" s="12"/>
      <c r="AT161" s="13"/>
      <c r="AU161" s="12"/>
      <c r="AV161" s="10"/>
      <c r="AW161" s="10"/>
      <c r="AX161" s="12"/>
      <c r="AY161" s="12"/>
      <c r="AZ161" s="32"/>
      <c r="BA161" s="12"/>
      <c r="BB161" s="10"/>
      <c r="BC161" s="10"/>
      <c r="BD161" s="12"/>
      <c r="BE161" s="12"/>
      <c r="BF161" s="48"/>
      <c r="BG161" s="12"/>
      <c r="BH161" s="10"/>
      <c r="BI161" s="10"/>
      <c r="BJ161" s="33"/>
      <c r="BK161" s="33"/>
      <c r="BL161" s="48"/>
      <c r="BM161" s="12"/>
      <c r="BN161" s="10"/>
      <c r="BO161" s="10"/>
      <c r="BP161" s="33"/>
      <c r="BQ161" s="33"/>
      <c r="BR161" s="48"/>
      <c r="BS161" s="12"/>
      <c r="BT161" s="10"/>
      <c r="BU161" s="10"/>
      <c r="BV161" s="33"/>
      <c r="BW161" s="33"/>
      <c r="BX161" s="48"/>
      <c r="BY161" s="12"/>
      <c r="BZ161" s="10"/>
      <c r="CA161" s="10"/>
      <c r="CB161" s="33"/>
      <c r="CC161" s="33"/>
      <c r="CD161" s="48"/>
      <c r="CE161" s="12"/>
    </row>
    <row r="162" spans="1:83" ht="80.25" customHeight="1">
      <c r="A162" s="20"/>
      <c r="B162" s="28"/>
      <c r="C162" s="27"/>
      <c r="D162" s="36"/>
      <c r="H162" s="29"/>
      <c r="I162" s="11"/>
      <c r="J162" s="56"/>
      <c r="K162" s="33"/>
      <c r="L162" s="10"/>
      <c r="M162" s="10"/>
      <c r="N162" s="33"/>
      <c r="O162" s="33"/>
      <c r="P162" s="56"/>
      <c r="Q162" s="33"/>
      <c r="R162" s="56"/>
      <c r="S162" s="56"/>
      <c r="T162" s="33"/>
      <c r="U162" s="33"/>
      <c r="V162" s="56"/>
      <c r="W162" s="33"/>
      <c r="X162" s="56"/>
      <c r="Y162" s="56"/>
      <c r="Z162" s="33"/>
      <c r="AA162" s="33"/>
      <c r="AB162" s="146"/>
      <c r="AC162" s="117"/>
      <c r="AD162" s="10"/>
      <c r="AE162" s="10"/>
      <c r="AF162" s="117"/>
      <c r="AG162" s="118"/>
      <c r="AH162" s="80"/>
      <c r="AI162" s="127"/>
      <c r="AJ162" s="111"/>
      <c r="AK162" s="111"/>
      <c r="AL162" s="112"/>
      <c r="AM162" s="112"/>
      <c r="AN162" s="80"/>
      <c r="AO162" s="12"/>
      <c r="AP162" s="10"/>
      <c r="AQ162" s="10"/>
      <c r="AR162" s="12"/>
      <c r="AS162" s="12"/>
      <c r="AT162" s="13"/>
      <c r="AU162" s="12"/>
      <c r="AV162" s="10"/>
      <c r="AW162" s="10"/>
      <c r="AX162" s="12"/>
      <c r="AY162" s="12"/>
      <c r="AZ162" s="32"/>
      <c r="BA162" s="12"/>
      <c r="BB162" s="10"/>
      <c r="BC162" s="10"/>
      <c r="BD162" s="12"/>
      <c r="BE162" s="12"/>
      <c r="BF162" s="48"/>
      <c r="BG162" s="12"/>
      <c r="BH162" s="10"/>
      <c r="BI162" s="10"/>
      <c r="BJ162" s="33"/>
      <c r="BK162" s="33"/>
      <c r="BL162" s="48"/>
      <c r="BM162" s="12"/>
      <c r="BN162" s="10"/>
      <c r="BO162" s="10"/>
      <c r="BP162" s="33"/>
      <c r="BQ162" s="33"/>
      <c r="BR162" s="48"/>
      <c r="BS162" s="12"/>
      <c r="BT162" s="10"/>
      <c r="BU162" s="10"/>
      <c r="BV162" s="33"/>
      <c r="BW162" s="33"/>
      <c r="BX162" s="48"/>
      <c r="BY162" s="12"/>
      <c r="BZ162" s="10"/>
      <c r="CA162" s="10"/>
      <c r="CB162" s="33"/>
      <c r="CC162" s="33"/>
      <c r="CD162" s="48"/>
      <c r="CE162" s="12"/>
    </row>
    <row r="163" spans="1:83" ht="80.25" customHeight="1">
      <c r="A163" s="20"/>
      <c r="B163" s="28"/>
      <c r="C163" s="27"/>
      <c r="D163" s="36"/>
      <c r="H163" s="29"/>
      <c r="I163" s="11"/>
      <c r="J163" s="56"/>
      <c r="K163" s="33"/>
      <c r="L163" s="10"/>
      <c r="M163" s="10"/>
      <c r="N163" s="33"/>
      <c r="O163" s="33"/>
      <c r="P163" s="56"/>
      <c r="Q163" s="33"/>
      <c r="R163" s="56"/>
      <c r="S163" s="56"/>
      <c r="T163" s="33"/>
      <c r="U163" s="33"/>
      <c r="V163" s="56"/>
      <c r="W163" s="33"/>
      <c r="X163" s="56"/>
      <c r="Y163" s="56"/>
      <c r="Z163" s="33"/>
      <c r="AA163" s="33"/>
      <c r="AB163" s="146"/>
      <c r="AC163" s="117"/>
      <c r="AD163" s="10"/>
      <c r="AE163" s="10"/>
      <c r="AF163" s="117"/>
      <c r="AG163" s="118"/>
      <c r="AH163" s="80"/>
      <c r="AI163" s="127"/>
      <c r="AJ163" s="111"/>
      <c r="AK163" s="111"/>
      <c r="AL163" s="112"/>
      <c r="AM163" s="112"/>
      <c r="AN163" s="80"/>
      <c r="AO163" s="12"/>
      <c r="AP163" s="10"/>
      <c r="AQ163" s="10"/>
      <c r="AR163" s="12"/>
      <c r="AS163" s="12"/>
      <c r="AT163" s="13"/>
      <c r="AU163" s="12"/>
      <c r="AV163" s="10"/>
      <c r="AW163" s="10"/>
      <c r="AX163" s="12"/>
      <c r="AY163" s="12"/>
      <c r="AZ163" s="32"/>
      <c r="BA163" s="12"/>
      <c r="BB163" s="10"/>
      <c r="BC163" s="10"/>
      <c r="BD163" s="12"/>
      <c r="BE163" s="12"/>
      <c r="BF163" s="48"/>
      <c r="BG163" s="12"/>
      <c r="BH163" s="10"/>
      <c r="BI163" s="10"/>
      <c r="BJ163" s="33"/>
      <c r="BK163" s="33"/>
      <c r="BL163" s="48"/>
      <c r="BM163" s="12"/>
      <c r="BN163" s="10"/>
      <c r="BO163" s="10"/>
      <c r="BP163" s="33"/>
      <c r="BQ163" s="33"/>
      <c r="BR163" s="48"/>
      <c r="BS163" s="12"/>
      <c r="BT163" s="10"/>
      <c r="BU163" s="10"/>
      <c r="BV163" s="33"/>
      <c r="BW163" s="33"/>
      <c r="BX163" s="48"/>
      <c r="BY163" s="12"/>
      <c r="BZ163" s="10"/>
      <c r="CA163" s="10"/>
      <c r="CB163" s="33"/>
      <c r="CC163" s="33"/>
      <c r="CD163" s="48"/>
      <c r="CE163" s="12"/>
    </row>
    <row r="164" spans="1:83" ht="80.25" customHeight="1">
      <c r="A164" s="20"/>
      <c r="B164" s="28"/>
      <c r="C164" s="27"/>
      <c r="D164" s="36"/>
      <c r="H164" s="29"/>
      <c r="I164" s="11"/>
      <c r="J164" s="56"/>
      <c r="K164" s="33"/>
      <c r="L164" s="10"/>
      <c r="M164" s="10"/>
      <c r="N164" s="33"/>
      <c r="O164" s="33"/>
      <c r="P164" s="56"/>
      <c r="Q164" s="33"/>
      <c r="R164" s="56"/>
      <c r="S164" s="56"/>
      <c r="T164" s="33"/>
      <c r="U164" s="33"/>
      <c r="V164" s="56"/>
      <c r="W164" s="33"/>
      <c r="X164" s="56"/>
      <c r="Y164" s="56"/>
      <c r="Z164" s="33"/>
      <c r="AA164" s="33"/>
      <c r="AB164" s="146"/>
      <c r="AC164" s="117"/>
      <c r="AD164" s="10"/>
      <c r="AE164" s="10"/>
      <c r="AF164" s="117"/>
      <c r="AG164" s="118"/>
      <c r="AH164" s="80"/>
      <c r="AI164" s="127"/>
      <c r="AJ164" s="111"/>
      <c r="AK164" s="111"/>
      <c r="AL164" s="112"/>
      <c r="AM164" s="112"/>
      <c r="AN164" s="80"/>
      <c r="AO164" s="12"/>
      <c r="AP164" s="10"/>
      <c r="AQ164" s="10"/>
      <c r="AR164" s="12"/>
      <c r="AS164" s="12"/>
      <c r="AT164" s="13"/>
      <c r="AU164" s="12"/>
      <c r="AV164" s="10"/>
      <c r="AW164" s="10"/>
      <c r="AX164" s="12"/>
      <c r="AY164" s="12"/>
      <c r="AZ164" s="32"/>
      <c r="BA164" s="12"/>
      <c r="BB164" s="10"/>
      <c r="BC164" s="10"/>
      <c r="BD164" s="12"/>
      <c r="BE164" s="12"/>
      <c r="BF164" s="48"/>
      <c r="BG164" s="12"/>
      <c r="BH164" s="10"/>
      <c r="BI164" s="10"/>
      <c r="BJ164" s="33"/>
      <c r="BK164" s="33"/>
      <c r="BL164" s="48"/>
      <c r="BM164" s="12"/>
      <c r="BN164" s="10"/>
      <c r="BO164" s="10"/>
      <c r="BP164" s="33"/>
      <c r="BQ164" s="33"/>
      <c r="BR164" s="48"/>
      <c r="BS164" s="12"/>
      <c r="BT164" s="10"/>
      <c r="BU164" s="10"/>
      <c r="BV164" s="33"/>
      <c r="BW164" s="33"/>
      <c r="BX164" s="48"/>
      <c r="BY164" s="12"/>
      <c r="BZ164" s="10"/>
      <c r="CA164" s="10"/>
      <c r="CB164" s="33"/>
      <c r="CC164" s="33"/>
      <c r="CD164" s="48"/>
      <c r="CE164" s="12"/>
    </row>
    <row r="165" spans="1:83" ht="80.25" customHeight="1">
      <c r="A165" s="20"/>
      <c r="B165" s="28"/>
      <c r="C165" s="27"/>
      <c r="D165" s="36"/>
      <c r="H165" s="29"/>
      <c r="I165" s="11"/>
      <c r="J165" s="56"/>
      <c r="K165" s="33"/>
      <c r="L165" s="10"/>
      <c r="M165" s="10"/>
      <c r="N165" s="33"/>
      <c r="O165" s="33"/>
      <c r="P165" s="56"/>
      <c r="Q165" s="33"/>
      <c r="R165" s="56"/>
      <c r="S165" s="56"/>
      <c r="T165" s="33"/>
      <c r="U165" s="33"/>
      <c r="V165" s="56"/>
      <c r="W165" s="33"/>
      <c r="X165" s="56"/>
      <c r="Y165" s="56"/>
      <c r="Z165" s="33"/>
      <c r="AA165" s="33"/>
      <c r="AB165" s="146"/>
      <c r="AC165" s="117"/>
      <c r="AD165" s="10"/>
      <c r="AE165" s="10"/>
      <c r="AF165" s="117"/>
      <c r="AG165" s="118"/>
      <c r="AH165" s="80"/>
      <c r="AI165" s="127"/>
      <c r="AJ165" s="111"/>
      <c r="AK165" s="111"/>
      <c r="AL165" s="112"/>
      <c r="AM165" s="112"/>
      <c r="AN165" s="80"/>
      <c r="AO165" s="12"/>
      <c r="AP165" s="10"/>
      <c r="AQ165" s="10"/>
      <c r="AR165" s="12"/>
      <c r="AS165" s="12"/>
      <c r="AT165" s="13"/>
      <c r="AU165" s="12"/>
      <c r="AV165" s="10"/>
      <c r="AW165" s="10"/>
      <c r="AX165" s="12"/>
      <c r="AY165" s="12"/>
      <c r="AZ165" s="32"/>
      <c r="BA165" s="12"/>
      <c r="BB165" s="10"/>
      <c r="BC165" s="10"/>
      <c r="BD165" s="12"/>
      <c r="BE165" s="12"/>
      <c r="BF165" s="48"/>
      <c r="BG165" s="12"/>
      <c r="BH165" s="10"/>
      <c r="BI165" s="10"/>
      <c r="BJ165" s="33"/>
      <c r="BK165" s="33"/>
      <c r="BL165" s="48"/>
      <c r="BM165" s="12"/>
      <c r="BN165" s="10"/>
      <c r="BO165" s="10"/>
      <c r="BP165" s="33"/>
      <c r="BQ165" s="33"/>
      <c r="BR165" s="48"/>
      <c r="BS165" s="12"/>
      <c r="BT165" s="10"/>
      <c r="BU165" s="10"/>
      <c r="BV165" s="33"/>
      <c r="BW165" s="33"/>
      <c r="BX165" s="48"/>
      <c r="BY165" s="12"/>
      <c r="BZ165" s="10"/>
      <c r="CA165" s="10"/>
      <c r="CB165" s="33"/>
      <c r="CC165" s="33"/>
      <c r="CD165" s="48"/>
      <c r="CE165" s="12"/>
    </row>
    <row r="166" spans="1:83" ht="80.25" customHeight="1">
      <c r="A166" s="20"/>
      <c r="B166" s="28"/>
      <c r="C166" s="30"/>
      <c r="D166" s="37"/>
      <c r="H166" s="29"/>
      <c r="I166" s="11"/>
      <c r="J166" s="56"/>
      <c r="K166" s="33"/>
      <c r="L166" s="10"/>
      <c r="M166" s="10"/>
      <c r="N166" s="33"/>
      <c r="O166" s="33"/>
      <c r="P166" s="56"/>
      <c r="Q166" s="33"/>
      <c r="R166" s="56"/>
      <c r="S166" s="56"/>
      <c r="T166" s="33"/>
      <c r="U166" s="33"/>
      <c r="V166" s="56"/>
      <c r="W166" s="33"/>
      <c r="X166" s="56"/>
      <c r="Y166" s="56"/>
      <c r="Z166" s="33"/>
      <c r="AA166" s="33"/>
      <c r="AB166" s="146"/>
      <c r="AC166" s="117"/>
      <c r="AD166" s="10"/>
      <c r="AE166" s="10"/>
      <c r="AF166" s="117"/>
      <c r="AG166" s="118"/>
      <c r="AH166" s="80"/>
      <c r="AI166" s="127"/>
      <c r="AJ166" s="111"/>
      <c r="AK166" s="111"/>
      <c r="AL166" s="112"/>
      <c r="AM166" s="112"/>
      <c r="AN166" s="80"/>
      <c r="AO166" s="12"/>
      <c r="AP166" s="10"/>
      <c r="AQ166" s="10"/>
      <c r="AR166" s="12"/>
      <c r="AS166" s="12"/>
      <c r="AT166" s="13"/>
      <c r="AU166" s="12"/>
      <c r="AV166" s="10"/>
      <c r="AW166" s="10"/>
      <c r="AX166" s="12"/>
      <c r="AY166" s="12"/>
      <c r="AZ166" s="32"/>
      <c r="BA166" s="12"/>
      <c r="BB166" s="10"/>
      <c r="BC166" s="10"/>
      <c r="BD166" s="12"/>
      <c r="BE166" s="12"/>
      <c r="BF166" s="48"/>
      <c r="BG166" s="12"/>
      <c r="BH166" s="10"/>
      <c r="BI166" s="10"/>
      <c r="BJ166" s="33"/>
      <c r="BK166" s="33"/>
      <c r="BL166" s="48"/>
      <c r="BM166" s="12"/>
      <c r="BN166" s="10"/>
      <c r="BO166" s="10"/>
      <c r="BP166" s="33"/>
      <c r="BQ166" s="33"/>
      <c r="BR166" s="48"/>
      <c r="BS166" s="12"/>
      <c r="BT166" s="10"/>
      <c r="BU166" s="10"/>
      <c r="BV166" s="33"/>
      <c r="BW166" s="33"/>
      <c r="BX166" s="48"/>
      <c r="BY166" s="12"/>
      <c r="BZ166" s="10"/>
      <c r="CA166" s="10"/>
      <c r="CB166" s="33"/>
      <c r="CC166" s="33"/>
      <c r="CD166" s="48"/>
      <c r="CE166" s="12"/>
    </row>
    <row r="167" spans="1:83" ht="80.25" customHeight="1">
      <c r="A167" s="20"/>
      <c r="B167" s="28"/>
      <c r="C167" s="27"/>
      <c r="D167" s="36"/>
      <c r="H167" s="29"/>
      <c r="I167" s="11"/>
      <c r="J167" s="56"/>
      <c r="K167" s="33"/>
      <c r="L167" s="10"/>
      <c r="M167" s="10"/>
      <c r="N167" s="33"/>
      <c r="O167" s="33"/>
      <c r="P167" s="56"/>
      <c r="Q167" s="33"/>
      <c r="R167" s="56"/>
      <c r="S167" s="56"/>
      <c r="T167" s="33"/>
      <c r="U167" s="33"/>
      <c r="V167" s="56"/>
      <c r="W167" s="33"/>
      <c r="X167" s="56"/>
      <c r="Y167" s="56"/>
      <c r="Z167" s="33"/>
      <c r="AA167" s="33"/>
      <c r="AB167" s="146"/>
      <c r="AC167" s="117"/>
      <c r="AD167" s="10"/>
      <c r="AE167" s="10"/>
      <c r="AF167" s="117"/>
      <c r="AG167" s="118"/>
      <c r="AH167" s="80"/>
      <c r="AI167" s="127"/>
      <c r="AJ167" s="111"/>
      <c r="AK167" s="111"/>
      <c r="AL167" s="112"/>
      <c r="AM167" s="112"/>
      <c r="AN167" s="80"/>
      <c r="AO167" s="12"/>
      <c r="AP167" s="10"/>
      <c r="AQ167" s="10"/>
      <c r="AR167" s="12"/>
      <c r="AS167" s="12"/>
      <c r="AT167" s="13"/>
      <c r="AU167" s="12"/>
      <c r="AV167" s="10"/>
      <c r="AW167" s="10"/>
      <c r="AX167" s="12"/>
      <c r="AY167" s="12"/>
      <c r="AZ167" s="32"/>
      <c r="BA167" s="12"/>
      <c r="BB167" s="10"/>
      <c r="BC167" s="10"/>
      <c r="BD167" s="12"/>
      <c r="BE167" s="12"/>
      <c r="BF167" s="48"/>
      <c r="BG167" s="12"/>
      <c r="BH167" s="10"/>
      <c r="BI167" s="10"/>
      <c r="BJ167" s="33"/>
      <c r="BK167" s="33"/>
      <c r="BL167" s="48"/>
      <c r="BM167" s="12"/>
      <c r="BN167" s="10"/>
      <c r="BO167" s="10"/>
      <c r="BP167" s="33"/>
      <c r="BQ167" s="33"/>
      <c r="BR167" s="48"/>
      <c r="BS167" s="12"/>
      <c r="BT167" s="10"/>
      <c r="BU167" s="10"/>
      <c r="BV167" s="33"/>
      <c r="BW167" s="33"/>
      <c r="BX167" s="48"/>
      <c r="BY167" s="12"/>
      <c r="BZ167" s="10"/>
      <c r="CA167" s="10"/>
      <c r="CB167" s="33"/>
      <c r="CC167" s="33"/>
      <c r="CD167" s="48"/>
      <c r="CE167" s="12"/>
    </row>
    <row r="168" spans="1:83" ht="80.25" customHeight="1">
      <c r="A168" s="20"/>
      <c r="B168" s="28"/>
      <c r="C168" s="27"/>
      <c r="D168" s="36"/>
      <c r="H168" s="29"/>
      <c r="I168" s="11"/>
      <c r="J168" s="56"/>
      <c r="K168" s="33"/>
      <c r="L168" s="10"/>
      <c r="M168" s="10"/>
      <c r="N168" s="33"/>
      <c r="O168" s="33"/>
      <c r="P168" s="56"/>
      <c r="Q168" s="33"/>
      <c r="R168" s="56"/>
      <c r="S168" s="56"/>
      <c r="T168" s="33"/>
      <c r="U168" s="33"/>
      <c r="V168" s="56"/>
      <c r="W168" s="33"/>
      <c r="X168" s="56"/>
      <c r="Y168" s="56"/>
      <c r="Z168" s="33"/>
      <c r="AA168" s="33"/>
      <c r="AB168" s="146"/>
      <c r="AC168" s="117"/>
      <c r="AD168" s="10"/>
      <c r="AE168" s="10"/>
      <c r="AF168" s="117"/>
      <c r="AG168" s="118"/>
      <c r="AH168" s="80"/>
      <c r="AI168" s="127"/>
      <c r="AJ168" s="111"/>
      <c r="AK168" s="111"/>
      <c r="AL168" s="112"/>
      <c r="AM168" s="112"/>
      <c r="AN168" s="80"/>
      <c r="AO168" s="12"/>
      <c r="AP168" s="10"/>
      <c r="AQ168" s="10"/>
      <c r="AR168" s="12"/>
      <c r="AS168" s="12"/>
      <c r="AT168" s="13"/>
      <c r="AU168" s="12"/>
      <c r="AV168" s="10"/>
      <c r="AW168" s="10"/>
      <c r="AX168" s="12"/>
      <c r="AY168" s="12"/>
      <c r="AZ168" s="32"/>
      <c r="BA168" s="12"/>
      <c r="BB168" s="10"/>
      <c r="BC168" s="10"/>
      <c r="BD168" s="12"/>
      <c r="BE168" s="12"/>
      <c r="BF168" s="48"/>
      <c r="BG168" s="12"/>
      <c r="BH168" s="10"/>
      <c r="BI168" s="10"/>
      <c r="BJ168" s="33"/>
      <c r="BK168" s="33"/>
      <c r="BL168" s="48"/>
      <c r="BM168" s="12"/>
      <c r="BN168" s="10"/>
      <c r="BO168" s="10"/>
      <c r="BP168" s="33"/>
      <c r="BQ168" s="33"/>
      <c r="BR168" s="48"/>
      <c r="BS168" s="12"/>
      <c r="BT168" s="10"/>
      <c r="BU168" s="10"/>
      <c r="BV168" s="33"/>
      <c r="BW168" s="33"/>
      <c r="BX168" s="48"/>
      <c r="BY168" s="12"/>
      <c r="BZ168" s="10"/>
      <c r="CA168" s="10"/>
      <c r="CB168" s="33"/>
      <c r="CC168" s="33"/>
      <c r="CD168" s="48"/>
      <c r="CE168" s="12"/>
    </row>
    <row r="169" spans="1:83" ht="80.25" customHeight="1">
      <c r="A169" s="20"/>
      <c r="B169" s="28"/>
      <c r="C169" s="27"/>
      <c r="D169" s="36"/>
      <c r="H169" s="29"/>
      <c r="I169" s="11"/>
      <c r="J169" s="56"/>
      <c r="K169" s="33"/>
      <c r="L169" s="10"/>
      <c r="M169" s="10"/>
      <c r="N169" s="33"/>
      <c r="O169" s="33"/>
      <c r="P169" s="56"/>
      <c r="Q169" s="33"/>
      <c r="R169" s="56"/>
      <c r="S169" s="56"/>
      <c r="T169" s="33"/>
      <c r="U169" s="33"/>
      <c r="V169" s="56"/>
      <c r="W169" s="33"/>
      <c r="X169" s="56"/>
      <c r="Y169" s="56"/>
      <c r="Z169" s="33"/>
      <c r="AA169" s="33"/>
      <c r="AB169" s="146"/>
      <c r="AC169" s="117"/>
      <c r="AD169" s="10"/>
      <c r="AE169" s="10"/>
      <c r="AF169" s="117"/>
      <c r="AG169" s="118"/>
      <c r="AH169" s="80"/>
      <c r="AI169" s="127"/>
      <c r="AJ169" s="111"/>
      <c r="AK169" s="111"/>
      <c r="AL169" s="112"/>
      <c r="AM169" s="112"/>
      <c r="AN169" s="80"/>
      <c r="AO169" s="12"/>
      <c r="AP169" s="10"/>
      <c r="AQ169" s="10"/>
      <c r="AR169" s="12"/>
      <c r="AS169" s="12"/>
      <c r="AT169" s="13"/>
      <c r="AU169" s="12"/>
      <c r="AV169" s="10"/>
      <c r="AW169" s="10"/>
      <c r="AX169" s="12"/>
      <c r="AY169" s="12"/>
      <c r="AZ169" s="32"/>
      <c r="BA169" s="12"/>
      <c r="BB169" s="10"/>
      <c r="BC169" s="10"/>
      <c r="BD169" s="12"/>
      <c r="BE169" s="12"/>
      <c r="BF169" s="48"/>
      <c r="BG169" s="12"/>
      <c r="BH169" s="10"/>
      <c r="BI169" s="10"/>
      <c r="BJ169" s="33"/>
      <c r="BK169" s="33"/>
      <c r="BL169" s="48"/>
      <c r="BM169" s="12"/>
      <c r="BN169" s="10"/>
      <c r="BO169" s="10"/>
      <c r="BP169" s="33"/>
      <c r="BQ169" s="33"/>
      <c r="BR169" s="48"/>
      <c r="BS169" s="12"/>
      <c r="BT169" s="10"/>
      <c r="BU169" s="10"/>
      <c r="BV169" s="33"/>
      <c r="BW169" s="33"/>
      <c r="BX169" s="48"/>
      <c r="BY169" s="12"/>
      <c r="BZ169" s="10"/>
      <c r="CA169" s="10"/>
      <c r="CB169" s="33"/>
      <c r="CC169" s="33"/>
      <c r="CD169" s="48"/>
      <c r="CE169" s="12"/>
    </row>
    <row r="170" spans="1:83" ht="80.25" customHeight="1">
      <c r="A170" s="20"/>
      <c r="B170" s="28"/>
      <c r="C170" s="27"/>
      <c r="D170" s="36"/>
      <c r="H170" s="29"/>
      <c r="I170" s="11"/>
      <c r="J170" s="56"/>
      <c r="K170" s="33"/>
      <c r="L170" s="10"/>
      <c r="M170" s="10"/>
      <c r="N170" s="33"/>
      <c r="O170" s="33"/>
      <c r="P170" s="56"/>
      <c r="Q170" s="33"/>
      <c r="R170" s="56"/>
      <c r="S170" s="56"/>
      <c r="T170" s="33"/>
      <c r="U170" s="33"/>
      <c r="V170" s="56"/>
      <c r="W170" s="33"/>
      <c r="X170" s="56"/>
      <c r="Y170" s="56"/>
      <c r="Z170" s="33"/>
      <c r="AA170" s="33"/>
      <c r="AB170" s="146"/>
      <c r="AC170" s="117"/>
      <c r="AD170" s="10"/>
      <c r="AE170" s="10"/>
      <c r="AF170" s="117"/>
      <c r="AG170" s="118"/>
      <c r="AH170" s="80"/>
      <c r="AI170" s="127"/>
      <c r="AJ170" s="111"/>
      <c r="AK170" s="111"/>
      <c r="AL170" s="112"/>
      <c r="AM170" s="112"/>
      <c r="AN170" s="80"/>
      <c r="AO170" s="12"/>
      <c r="AP170" s="10"/>
      <c r="AQ170" s="10"/>
      <c r="AR170" s="12"/>
      <c r="AS170" s="12"/>
      <c r="AT170" s="13"/>
      <c r="AU170" s="12"/>
      <c r="AV170" s="10"/>
      <c r="AW170" s="10"/>
      <c r="AX170" s="12"/>
      <c r="AY170" s="12"/>
      <c r="AZ170" s="32"/>
      <c r="BA170" s="12"/>
      <c r="BB170" s="10"/>
      <c r="BC170" s="10"/>
      <c r="BD170" s="12"/>
      <c r="BE170" s="12"/>
      <c r="BF170" s="48"/>
      <c r="BG170" s="12"/>
      <c r="BH170" s="10"/>
      <c r="BI170" s="10"/>
      <c r="BJ170" s="33"/>
      <c r="BK170" s="33"/>
      <c r="BL170" s="48"/>
      <c r="BM170" s="12"/>
      <c r="BN170" s="10"/>
      <c r="BO170" s="10"/>
      <c r="BP170" s="33"/>
      <c r="BQ170" s="33"/>
      <c r="BR170" s="48"/>
      <c r="BS170" s="12"/>
      <c r="BT170" s="10"/>
      <c r="BU170" s="10"/>
      <c r="BV170" s="33"/>
      <c r="BW170" s="33"/>
      <c r="BX170" s="48"/>
      <c r="BY170" s="12"/>
      <c r="BZ170" s="10"/>
      <c r="CA170" s="10"/>
      <c r="CB170" s="33"/>
      <c r="CC170" s="33"/>
      <c r="CD170" s="48"/>
      <c r="CE170" s="12"/>
    </row>
    <row r="171" spans="1:83" ht="80.25" customHeight="1">
      <c r="A171" s="20"/>
      <c r="B171" s="28"/>
      <c r="C171" s="30"/>
      <c r="D171" s="37"/>
      <c r="H171" s="29"/>
      <c r="I171" s="11"/>
      <c r="J171" s="56"/>
      <c r="K171" s="33"/>
      <c r="L171" s="10"/>
      <c r="M171" s="10"/>
      <c r="N171" s="33"/>
      <c r="O171" s="33"/>
      <c r="P171" s="56"/>
      <c r="Q171" s="33"/>
      <c r="R171" s="56"/>
      <c r="S171" s="56"/>
      <c r="T171" s="33"/>
      <c r="U171" s="33"/>
      <c r="V171" s="56"/>
      <c r="W171" s="33"/>
      <c r="X171" s="56"/>
      <c r="Y171" s="56"/>
      <c r="Z171" s="33"/>
      <c r="AA171" s="33"/>
      <c r="AB171" s="146"/>
      <c r="AC171" s="117"/>
      <c r="AD171" s="10"/>
      <c r="AE171" s="10"/>
      <c r="AF171" s="117"/>
      <c r="AG171" s="118"/>
      <c r="AH171" s="80"/>
      <c r="AI171" s="127"/>
      <c r="AJ171" s="111"/>
      <c r="AK171" s="111"/>
      <c r="AL171" s="112"/>
      <c r="AM171" s="112"/>
      <c r="AN171" s="80"/>
      <c r="AO171" s="12"/>
      <c r="AP171" s="10"/>
      <c r="AQ171" s="10"/>
      <c r="AR171" s="12"/>
      <c r="AS171" s="12"/>
      <c r="AT171" s="13"/>
      <c r="AU171" s="12"/>
      <c r="AV171" s="10"/>
      <c r="AW171" s="10"/>
      <c r="AX171" s="12"/>
      <c r="AY171" s="12"/>
      <c r="AZ171" s="32"/>
      <c r="BA171" s="12"/>
      <c r="BB171" s="10"/>
      <c r="BC171" s="10"/>
      <c r="BD171" s="12"/>
      <c r="BE171" s="12"/>
      <c r="BF171" s="48"/>
      <c r="BG171" s="12"/>
      <c r="BH171" s="10"/>
      <c r="BI171" s="10"/>
      <c r="BJ171" s="33"/>
      <c r="BK171" s="33"/>
      <c r="BL171" s="48"/>
      <c r="BM171" s="12"/>
      <c r="BN171" s="10"/>
      <c r="BO171" s="10"/>
      <c r="BP171" s="33"/>
      <c r="BQ171" s="33"/>
      <c r="BR171" s="48"/>
      <c r="BS171" s="12"/>
      <c r="BT171" s="10"/>
      <c r="BU171" s="10"/>
      <c r="BV171" s="33"/>
      <c r="BW171" s="33"/>
      <c r="BX171" s="48"/>
      <c r="BY171" s="12"/>
      <c r="BZ171" s="10"/>
      <c r="CA171" s="10"/>
      <c r="CB171" s="33"/>
      <c r="CC171" s="33"/>
      <c r="CD171" s="48"/>
      <c r="CE171" s="12"/>
    </row>
    <row r="172" spans="1:83" ht="80.25" customHeight="1">
      <c r="A172" s="20"/>
      <c r="B172" s="28"/>
      <c r="C172" s="27"/>
      <c r="D172" s="36"/>
      <c r="H172" s="29"/>
      <c r="I172" s="11"/>
      <c r="J172" s="56"/>
      <c r="K172" s="33"/>
      <c r="L172" s="10"/>
      <c r="M172" s="10"/>
      <c r="N172" s="33"/>
      <c r="O172" s="33"/>
      <c r="P172" s="56"/>
      <c r="Q172" s="33"/>
      <c r="R172" s="56"/>
      <c r="S172" s="56"/>
      <c r="T172" s="33"/>
      <c r="U172" s="33"/>
      <c r="V172" s="56"/>
      <c r="W172" s="33"/>
      <c r="X172" s="56"/>
      <c r="Y172" s="56"/>
      <c r="Z172" s="33"/>
      <c r="AA172" s="33"/>
      <c r="AB172" s="146"/>
      <c r="AC172" s="117"/>
      <c r="AD172" s="10"/>
      <c r="AE172" s="10"/>
      <c r="AF172" s="117"/>
      <c r="AG172" s="118"/>
      <c r="AH172" s="80"/>
      <c r="AI172" s="127"/>
      <c r="AJ172" s="111"/>
      <c r="AK172" s="111"/>
      <c r="AL172" s="112"/>
      <c r="AM172" s="112"/>
      <c r="AN172" s="80"/>
      <c r="AO172" s="12"/>
      <c r="AP172" s="10"/>
      <c r="AQ172" s="10"/>
      <c r="AR172" s="12"/>
      <c r="AS172" s="12"/>
      <c r="AT172" s="13"/>
      <c r="AU172" s="12"/>
      <c r="AV172" s="10"/>
      <c r="AW172" s="10"/>
      <c r="AX172" s="12"/>
      <c r="AY172" s="12"/>
      <c r="AZ172" s="32"/>
      <c r="BA172" s="12"/>
      <c r="BB172" s="10"/>
      <c r="BC172" s="10"/>
      <c r="BD172" s="12"/>
      <c r="BE172" s="12"/>
      <c r="BF172" s="48"/>
      <c r="BG172" s="12"/>
      <c r="BH172" s="10"/>
      <c r="BI172" s="10"/>
      <c r="BJ172" s="33"/>
      <c r="BK172" s="33"/>
      <c r="BL172" s="48"/>
      <c r="BM172" s="12"/>
      <c r="BN172" s="10"/>
      <c r="BO172" s="10"/>
      <c r="BP172" s="33"/>
      <c r="BQ172" s="33"/>
      <c r="BR172" s="48"/>
      <c r="BS172" s="12"/>
      <c r="BT172" s="10"/>
      <c r="BU172" s="10"/>
      <c r="BV172" s="33"/>
      <c r="BW172" s="33"/>
      <c r="BX172" s="48"/>
      <c r="BY172" s="12"/>
      <c r="BZ172" s="10"/>
      <c r="CA172" s="10"/>
      <c r="CB172" s="33"/>
      <c r="CC172" s="33"/>
      <c r="CD172" s="48"/>
      <c r="CE172" s="12"/>
    </row>
    <row r="173" spans="1:83" ht="80.25" customHeight="1">
      <c r="A173" s="20"/>
      <c r="B173" s="28"/>
      <c r="C173" s="27"/>
      <c r="D173" s="36"/>
      <c r="H173" s="29"/>
      <c r="I173" s="11"/>
      <c r="J173" s="56"/>
      <c r="K173" s="33"/>
      <c r="L173" s="10"/>
      <c r="M173" s="10"/>
      <c r="N173" s="33"/>
      <c r="O173" s="33"/>
      <c r="P173" s="56"/>
      <c r="Q173" s="33"/>
      <c r="R173" s="56"/>
      <c r="S173" s="56"/>
      <c r="T173" s="33"/>
      <c r="U173" s="33"/>
      <c r="V173" s="56"/>
      <c r="W173" s="33"/>
      <c r="X173" s="56"/>
      <c r="Y173" s="56"/>
      <c r="Z173" s="33"/>
      <c r="AA173" s="33"/>
      <c r="AB173" s="146"/>
      <c r="AC173" s="117"/>
      <c r="AD173" s="10"/>
      <c r="AE173" s="10"/>
      <c r="AF173" s="117"/>
      <c r="AG173" s="118"/>
      <c r="AH173" s="80"/>
      <c r="AI173" s="127"/>
      <c r="AJ173" s="111"/>
      <c r="AK173" s="111"/>
      <c r="AL173" s="112"/>
      <c r="AM173" s="112"/>
      <c r="AN173" s="80"/>
      <c r="AO173" s="12"/>
      <c r="AP173" s="10"/>
      <c r="AQ173" s="10"/>
      <c r="AR173" s="12"/>
      <c r="AS173" s="12"/>
      <c r="AT173" s="13"/>
      <c r="AU173" s="12"/>
      <c r="AV173" s="10"/>
      <c r="AW173" s="10"/>
      <c r="AX173" s="12"/>
      <c r="AY173" s="12"/>
      <c r="AZ173" s="32"/>
      <c r="BA173" s="12"/>
      <c r="BB173" s="10"/>
      <c r="BC173" s="10"/>
      <c r="BD173" s="12"/>
      <c r="BE173" s="12"/>
      <c r="BF173" s="48"/>
      <c r="BG173" s="12"/>
      <c r="BH173" s="10"/>
      <c r="BI173" s="10"/>
      <c r="BJ173" s="33"/>
      <c r="BK173" s="33"/>
      <c r="BL173" s="48"/>
      <c r="BM173" s="12"/>
      <c r="BN173" s="10"/>
      <c r="BO173" s="10"/>
      <c r="BP173" s="33"/>
      <c r="BQ173" s="33"/>
      <c r="BR173" s="48"/>
      <c r="BS173" s="12"/>
      <c r="BT173" s="10"/>
      <c r="BU173" s="10"/>
      <c r="BV173" s="33"/>
      <c r="BW173" s="33"/>
      <c r="BX173" s="48"/>
      <c r="BY173" s="12"/>
      <c r="BZ173" s="10"/>
      <c r="CA173" s="10"/>
      <c r="CB173" s="33"/>
      <c r="CC173" s="33"/>
      <c r="CD173" s="48"/>
      <c r="CE173" s="12"/>
    </row>
    <row r="174" spans="1:83" ht="80.25" customHeight="1">
      <c r="A174" s="20"/>
      <c r="B174" s="28"/>
      <c r="C174" s="30"/>
      <c r="D174" s="37"/>
      <c r="H174" s="29"/>
      <c r="I174" s="11"/>
      <c r="J174" s="56"/>
      <c r="K174" s="33"/>
      <c r="L174" s="10"/>
      <c r="M174" s="10"/>
      <c r="N174" s="33"/>
      <c r="O174" s="33"/>
      <c r="P174" s="56"/>
      <c r="Q174" s="33"/>
      <c r="R174" s="56"/>
      <c r="S174" s="56"/>
      <c r="T174" s="33"/>
      <c r="U174" s="33"/>
      <c r="V174" s="56"/>
      <c r="W174" s="33"/>
      <c r="X174" s="56"/>
      <c r="Y174" s="56"/>
      <c r="Z174" s="33"/>
      <c r="AA174" s="33"/>
      <c r="AB174" s="146"/>
      <c r="AC174" s="117"/>
      <c r="AD174" s="10"/>
      <c r="AE174" s="10"/>
      <c r="AF174" s="117"/>
      <c r="AG174" s="118"/>
      <c r="AH174" s="80"/>
      <c r="AI174" s="127"/>
      <c r="AJ174" s="111"/>
      <c r="AK174" s="111"/>
      <c r="AL174" s="112"/>
      <c r="AM174" s="112"/>
      <c r="AN174" s="80"/>
      <c r="AO174" s="12"/>
      <c r="AP174" s="10"/>
      <c r="AQ174" s="10"/>
      <c r="AR174" s="12"/>
      <c r="AS174" s="12"/>
      <c r="AT174" s="13"/>
      <c r="AU174" s="12"/>
      <c r="AV174" s="10"/>
      <c r="AW174" s="10"/>
      <c r="AX174" s="12"/>
      <c r="AY174" s="12"/>
      <c r="AZ174" s="32"/>
      <c r="BA174" s="12"/>
      <c r="BB174" s="10"/>
      <c r="BC174" s="10"/>
      <c r="BD174" s="12"/>
      <c r="BE174" s="12"/>
      <c r="BF174" s="48"/>
      <c r="BG174" s="12"/>
      <c r="BH174" s="10"/>
      <c r="BI174" s="10"/>
      <c r="BJ174" s="33"/>
      <c r="BK174" s="33"/>
      <c r="BL174" s="48"/>
      <c r="BM174" s="12"/>
      <c r="BN174" s="10"/>
      <c r="BO174" s="10"/>
      <c r="BP174" s="33"/>
      <c r="BQ174" s="33"/>
      <c r="BR174" s="48"/>
      <c r="BS174" s="12"/>
      <c r="BT174" s="10"/>
      <c r="BU174" s="10"/>
      <c r="BV174" s="33"/>
      <c r="BW174" s="33"/>
      <c r="BX174" s="48"/>
      <c r="BY174" s="12"/>
      <c r="BZ174" s="10"/>
      <c r="CA174" s="10"/>
      <c r="CB174" s="33"/>
      <c r="CC174" s="33"/>
      <c r="CD174" s="48"/>
      <c r="CE174" s="12"/>
    </row>
    <row r="175" spans="1:83" ht="80.25" customHeight="1">
      <c r="A175" s="20"/>
      <c r="B175" s="28"/>
      <c r="C175" s="27"/>
      <c r="D175" s="36"/>
      <c r="H175" s="29"/>
      <c r="I175" s="11"/>
      <c r="J175" s="56"/>
      <c r="K175" s="33"/>
      <c r="L175" s="10"/>
      <c r="M175" s="10"/>
      <c r="N175" s="33"/>
      <c r="O175" s="33"/>
      <c r="P175" s="56"/>
      <c r="Q175" s="33"/>
      <c r="R175" s="56"/>
      <c r="S175" s="56"/>
      <c r="T175" s="33"/>
      <c r="U175" s="33"/>
      <c r="V175" s="56"/>
      <c r="W175" s="33"/>
      <c r="X175" s="56"/>
      <c r="Y175" s="56"/>
      <c r="Z175" s="33"/>
      <c r="AA175" s="33"/>
      <c r="AB175" s="146"/>
      <c r="AC175" s="117"/>
      <c r="AD175" s="10"/>
      <c r="AE175" s="10"/>
      <c r="AF175" s="117"/>
      <c r="AG175" s="118"/>
      <c r="AH175" s="80"/>
      <c r="AI175" s="127"/>
      <c r="AJ175" s="111"/>
      <c r="AK175" s="111"/>
      <c r="AL175" s="112"/>
      <c r="AM175" s="112"/>
      <c r="AN175" s="80"/>
      <c r="AO175" s="12"/>
      <c r="AP175" s="10"/>
      <c r="AQ175" s="10"/>
      <c r="AR175" s="12"/>
      <c r="AS175" s="12"/>
      <c r="AT175" s="13"/>
      <c r="AU175" s="12"/>
      <c r="AV175" s="10"/>
      <c r="AW175" s="10"/>
      <c r="AX175" s="12"/>
      <c r="AY175" s="12"/>
      <c r="AZ175" s="32"/>
      <c r="BA175" s="12"/>
      <c r="BB175" s="10"/>
      <c r="BC175" s="10"/>
      <c r="BD175" s="12"/>
      <c r="BE175" s="12"/>
      <c r="BF175" s="48"/>
      <c r="BG175" s="12"/>
      <c r="BH175" s="10"/>
      <c r="BI175" s="10"/>
      <c r="BJ175" s="33"/>
      <c r="BK175" s="33"/>
      <c r="BL175" s="48"/>
      <c r="BM175" s="12"/>
      <c r="BN175" s="10"/>
      <c r="BO175" s="10"/>
      <c r="BP175" s="33"/>
      <c r="BQ175" s="33"/>
      <c r="BR175" s="48"/>
      <c r="BS175" s="12"/>
      <c r="BT175" s="10"/>
      <c r="BU175" s="10"/>
      <c r="BV175" s="33"/>
      <c r="BW175" s="33"/>
      <c r="BX175" s="48"/>
      <c r="BY175" s="12"/>
      <c r="BZ175" s="10"/>
      <c r="CA175" s="10"/>
      <c r="CB175" s="33"/>
      <c r="CC175" s="33"/>
      <c r="CD175" s="48"/>
      <c r="CE175" s="12"/>
    </row>
    <row r="176" spans="1:83" ht="80.25" customHeight="1">
      <c r="A176" s="20"/>
      <c r="B176" s="28"/>
      <c r="C176" s="27"/>
      <c r="D176" s="36"/>
      <c r="H176" s="29"/>
      <c r="I176" s="11"/>
      <c r="J176" s="56"/>
      <c r="K176" s="33"/>
      <c r="L176" s="10"/>
      <c r="M176" s="10"/>
      <c r="N176" s="33"/>
      <c r="O176" s="33"/>
      <c r="P176" s="56"/>
      <c r="Q176" s="33"/>
      <c r="R176" s="56"/>
      <c r="S176" s="56"/>
      <c r="T176" s="33"/>
      <c r="U176" s="33"/>
      <c r="V176" s="56"/>
      <c r="W176" s="33"/>
      <c r="X176" s="56"/>
      <c r="Y176" s="56"/>
      <c r="Z176" s="33"/>
      <c r="AA176" s="33"/>
      <c r="AB176" s="146"/>
      <c r="AC176" s="117"/>
      <c r="AD176" s="10"/>
      <c r="AE176" s="10"/>
      <c r="AF176" s="117"/>
      <c r="AG176" s="118"/>
      <c r="AH176" s="80"/>
      <c r="AI176" s="127"/>
      <c r="AJ176" s="111"/>
      <c r="AK176" s="111"/>
      <c r="AL176" s="112"/>
      <c r="AM176" s="112"/>
      <c r="AN176" s="80"/>
      <c r="AO176" s="12"/>
      <c r="AP176" s="10"/>
      <c r="AQ176" s="10"/>
      <c r="AR176" s="12"/>
      <c r="AS176" s="12"/>
      <c r="AT176" s="13"/>
      <c r="AU176" s="12"/>
      <c r="AV176" s="10"/>
      <c r="AW176" s="10"/>
      <c r="AX176" s="12"/>
      <c r="AY176" s="12"/>
      <c r="AZ176" s="32"/>
      <c r="BA176" s="12"/>
      <c r="BB176" s="10"/>
      <c r="BC176" s="10"/>
      <c r="BD176" s="12"/>
      <c r="BE176" s="12"/>
      <c r="BF176" s="48"/>
      <c r="BG176" s="12"/>
      <c r="BH176" s="10"/>
      <c r="BI176" s="10"/>
      <c r="BJ176" s="33"/>
      <c r="BK176" s="33"/>
      <c r="BL176" s="48"/>
      <c r="BM176" s="12"/>
      <c r="BN176" s="10"/>
      <c r="BO176" s="10"/>
      <c r="BP176" s="33"/>
      <c r="BQ176" s="33"/>
      <c r="BR176" s="48"/>
      <c r="BS176" s="12"/>
      <c r="BT176" s="10"/>
      <c r="BU176" s="10"/>
      <c r="BV176" s="33"/>
      <c r="BW176" s="33"/>
      <c r="BX176" s="48"/>
      <c r="BY176" s="12"/>
      <c r="BZ176" s="10"/>
      <c r="CA176" s="10"/>
      <c r="CB176" s="33"/>
      <c r="CC176" s="33"/>
      <c r="CD176" s="48"/>
      <c r="CE176" s="12"/>
    </row>
    <row r="177" spans="1:83" ht="80.25" customHeight="1">
      <c r="A177" s="20"/>
      <c r="B177" s="28"/>
      <c r="C177" s="30"/>
      <c r="D177" s="37"/>
      <c r="H177" s="29"/>
      <c r="I177" s="11"/>
      <c r="J177" s="56"/>
      <c r="K177" s="33"/>
      <c r="L177" s="10"/>
      <c r="M177" s="10"/>
      <c r="N177" s="33"/>
      <c r="O177" s="33"/>
      <c r="P177" s="56"/>
      <c r="Q177" s="33"/>
      <c r="R177" s="56"/>
      <c r="S177" s="56"/>
      <c r="T177" s="33"/>
      <c r="U177" s="33"/>
      <c r="V177" s="56"/>
      <c r="W177" s="33"/>
      <c r="X177" s="56"/>
      <c r="Y177" s="56"/>
      <c r="Z177" s="33"/>
      <c r="AA177" s="33"/>
      <c r="AB177" s="146"/>
      <c r="AC177" s="117"/>
      <c r="AD177" s="10"/>
      <c r="AE177" s="10"/>
      <c r="AF177" s="117"/>
      <c r="AG177" s="118"/>
      <c r="AH177" s="80"/>
      <c r="AI177" s="127"/>
      <c r="AJ177" s="111"/>
      <c r="AK177" s="111"/>
      <c r="AL177" s="112"/>
      <c r="AM177" s="112"/>
      <c r="AN177" s="80"/>
      <c r="AO177" s="12"/>
      <c r="AP177" s="10"/>
      <c r="AQ177" s="10"/>
      <c r="AR177" s="12"/>
      <c r="AS177" s="12"/>
      <c r="AT177" s="13"/>
      <c r="AU177" s="12"/>
      <c r="AV177" s="10"/>
      <c r="AW177" s="10"/>
      <c r="AX177" s="12"/>
      <c r="AY177" s="12"/>
      <c r="AZ177" s="32"/>
      <c r="BA177" s="12"/>
      <c r="BB177" s="10"/>
      <c r="BC177" s="10"/>
      <c r="BD177" s="12"/>
      <c r="BE177" s="12"/>
      <c r="BF177" s="48"/>
      <c r="BG177" s="12"/>
      <c r="BH177" s="10"/>
      <c r="BI177" s="10"/>
      <c r="BJ177" s="33"/>
      <c r="BK177" s="33"/>
      <c r="BL177" s="48"/>
      <c r="BM177" s="12"/>
      <c r="BN177" s="10"/>
      <c r="BO177" s="10"/>
      <c r="BP177" s="33"/>
      <c r="BQ177" s="33"/>
      <c r="BR177" s="48"/>
      <c r="BS177" s="12"/>
      <c r="BT177" s="10"/>
      <c r="BU177" s="10"/>
      <c r="BV177" s="33"/>
      <c r="BW177" s="33"/>
      <c r="BX177" s="48"/>
      <c r="BY177" s="12"/>
      <c r="BZ177" s="10"/>
      <c r="CA177" s="10"/>
      <c r="CB177" s="33"/>
      <c r="CC177" s="33"/>
      <c r="CD177" s="48"/>
      <c r="CE177" s="12"/>
    </row>
    <row r="178" spans="1:83" ht="80.25" customHeight="1">
      <c r="A178" s="20"/>
      <c r="B178" s="28"/>
      <c r="C178" s="27"/>
      <c r="D178" s="36"/>
      <c r="H178" s="29"/>
      <c r="I178" s="11"/>
      <c r="J178" s="56"/>
      <c r="K178" s="33"/>
      <c r="L178" s="10"/>
      <c r="M178" s="10"/>
      <c r="N178" s="33"/>
      <c r="O178" s="33"/>
      <c r="P178" s="56"/>
      <c r="Q178" s="33"/>
      <c r="R178" s="56"/>
      <c r="S178" s="56"/>
      <c r="T178" s="33"/>
      <c r="U178" s="33"/>
      <c r="V178" s="56"/>
      <c r="W178" s="33"/>
      <c r="X178" s="56"/>
      <c r="Y178" s="56"/>
      <c r="Z178" s="33"/>
      <c r="AA178" s="33"/>
      <c r="AB178" s="146"/>
      <c r="AC178" s="117"/>
      <c r="AD178" s="10"/>
      <c r="AE178" s="10"/>
      <c r="AF178" s="117"/>
      <c r="AG178" s="118"/>
      <c r="AH178" s="80"/>
      <c r="AI178" s="127"/>
      <c r="AJ178" s="111"/>
      <c r="AK178" s="111"/>
      <c r="AL178" s="112"/>
      <c r="AM178" s="112"/>
      <c r="AN178" s="80"/>
      <c r="AO178" s="12"/>
      <c r="AP178" s="10"/>
      <c r="AQ178" s="10"/>
      <c r="AR178" s="12"/>
      <c r="AS178" s="12"/>
      <c r="AT178" s="13"/>
      <c r="AU178" s="12"/>
      <c r="AV178" s="10"/>
      <c r="AW178" s="10"/>
      <c r="AX178" s="12"/>
      <c r="AY178" s="12"/>
      <c r="AZ178" s="32"/>
      <c r="BA178" s="12"/>
      <c r="BB178" s="10"/>
      <c r="BC178" s="10"/>
      <c r="BD178" s="12"/>
      <c r="BE178" s="12"/>
      <c r="BF178" s="48"/>
      <c r="BG178" s="12"/>
      <c r="BH178" s="10"/>
      <c r="BI178" s="10"/>
      <c r="BJ178" s="33"/>
      <c r="BK178" s="33"/>
      <c r="BL178" s="48"/>
      <c r="BM178" s="12"/>
      <c r="BN178" s="10"/>
      <c r="BO178" s="10"/>
      <c r="BP178" s="33"/>
      <c r="BQ178" s="33"/>
      <c r="BR178" s="48"/>
      <c r="BS178" s="12"/>
      <c r="BT178" s="10"/>
      <c r="BU178" s="10"/>
      <c r="BV178" s="33"/>
      <c r="BW178" s="33"/>
      <c r="BX178" s="48"/>
      <c r="BY178" s="12"/>
      <c r="BZ178" s="10"/>
      <c r="CA178" s="10"/>
      <c r="CB178" s="33"/>
      <c r="CC178" s="33"/>
      <c r="CD178" s="48"/>
      <c r="CE178" s="12"/>
    </row>
    <row r="179" spans="1:83" ht="80.25" customHeight="1">
      <c r="A179" s="20"/>
      <c r="B179" s="28"/>
      <c r="C179" s="27"/>
      <c r="D179" s="36"/>
      <c r="H179" s="29"/>
      <c r="I179" s="11"/>
      <c r="J179" s="56"/>
      <c r="K179" s="33"/>
      <c r="L179" s="10"/>
      <c r="M179" s="10"/>
      <c r="N179" s="33"/>
      <c r="O179" s="33"/>
      <c r="P179" s="56"/>
      <c r="Q179" s="33"/>
      <c r="R179" s="56"/>
      <c r="S179" s="56"/>
      <c r="T179" s="33"/>
      <c r="U179" s="33"/>
      <c r="V179" s="56"/>
      <c r="W179" s="33"/>
      <c r="X179" s="56"/>
      <c r="Y179" s="56"/>
      <c r="Z179" s="33"/>
      <c r="AA179" s="33"/>
      <c r="AB179" s="146"/>
      <c r="AC179" s="117"/>
      <c r="AD179" s="10"/>
      <c r="AE179" s="10"/>
      <c r="AF179" s="117"/>
      <c r="AG179" s="118"/>
      <c r="AH179" s="80"/>
      <c r="AI179" s="127"/>
      <c r="AJ179" s="111"/>
      <c r="AK179" s="111"/>
      <c r="AL179" s="112"/>
      <c r="AM179" s="112"/>
      <c r="AN179" s="80"/>
      <c r="AO179" s="12"/>
      <c r="AP179" s="10"/>
      <c r="AQ179" s="10"/>
      <c r="AR179" s="12"/>
      <c r="AS179" s="12"/>
      <c r="AT179" s="13"/>
      <c r="AU179" s="12"/>
      <c r="AV179" s="10"/>
      <c r="AW179" s="10"/>
      <c r="AX179" s="12"/>
      <c r="AY179" s="12"/>
      <c r="AZ179" s="32"/>
      <c r="BA179" s="12"/>
      <c r="BB179" s="10"/>
      <c r="BC179" s="10"/>
      <c r="BD179" s="12"/>
      <c r="BE179" s="12"/>
      <c r="BF179" s="48"/>
      <c r="BG179" s="12"/>
      <c r="BH179" s="10"/>
      <c r="BI179" s="10"/>
      <c r="BJ179" s="33"/>
      <c r="BK179" s="33"/>
      <c r="BL179" s="48"/>
      <c r="BM179" s="12"/>
      <c r="BN179" s="10"/>
      <c r="BO179" s="10"/>
      <c r="BP179" s="33"/>
      <c r="BQ179" s="33"/>
      <c r="BR179" s="48"/>
      <c r="BS179" s="12"/>
      <c r="BT179" s="10"/>
      <c r="BU179" s="10"/>
      <c r="BV179" s="33"/>
      <c r="BW179" s="33"/>
      <c r="BX179" s="48"/>
      <c r="BY179" s="12"/>
      <c r="BZ179" s="10"/>
      <c r="CA179" s="10"/>
      <c r="CB179" s="33"/>
      <c r="CC179" s="33"/>
      <c r="CD179" s="48"/>
      <c r="CE179" s="12"/>
    </row>
    <row r="180" spans="1:83" ht="80.25" customHeight="1">
      <c r="A180" s="20"/>
      <c r="B180" s="28"/>
      <c r="C180" s="30"/>
      <c r="D180" s="37"/>
      <c r="H180" s="29"/>
      <c r="I180" s="11"/>
      <c r="J180" s="56"/>
      <c r="K180" s="33"/>
      <c r="L180" s="10"/>
      <c r="M180" s="10"/>
      <c r="N180" s="33"/>
      <c r="O180" s="33"/>
      <c r="P180" s="56"/>
      <c r="Q180" s="33"/>
      <c r="R180" s="56"/>
      <c r="S180" s="56"/>
      <c r="T180" s="33"/>
      <c r="U180" s="33"/>
      <c r="V180" s="56"/>
      <c r="W180" s="33"/>
      <c r="X180" s="56"/>
      <c r="Y180" s="56"/>
      <c r="Z180" s="33"/>
      <c r="AA180" s="33"/>
      <c r="AB180" s="146"/>
      <c r="AC180" s="117"/>
      <c r="AD180" s="10"/>
      <c r="AE180" s="10"/>
      <c r="AF180" s="117"/>
      <c r="AG180" s="118"/>
      <c r="AH180" s="80"/>
      <c r="AI180" s="127"/>
      <c r="AJ180" s="111"/>
      <c r="AK180" s="111"/>
      <c r="AL180" s="112"/>
      <c r="AM180" s="112"/>
      <c r="AN180" s="80"/>
      <c r="AO180" s="12"/>
      <c r="AP180" s="10"/>
      <c r="AQ180" s="10"/>
      <c r="AR180" s="12"/>
      <c r="AS180" s="12"/>
      <c r="AT180" s="13"/>
      <c r="AU180" s="12"/>
      <c r="AV180" s="10"/>
      <c r="AW180" s="10"/>
      <c r="AX180" s="12"/>
      <c r="AY180" s="12"/>
      <c r="AZ180" s="32"/>
      <c r="BA180" s="12"/>
      <c r="BB180" s="10"/>
      <c r="BC180" s="10"/>
      <c r="BD180" s="12"/>
      <c r="BE180" s="12"/>
      <c r="BF180" s="48"/>
      <c r="BG180" s="12"/>
      <c r="BH180" s="10"/>
      <c r="BI180" s="10"/>
      <c r="BJ180" s="33"/>
      <c r="BK180" s="33"/>
      <c r="BL180" s="48"/>
      <c r="BM180" s="12"/>
      <c r="BN180" s="10"/>
      <c r="BO180" s="10"/>
      <c r="BP180" s="33"/>
      <c r="BQ180" s="33"/>
      <c r="BR180" s="48"/>
      <c r="BS180" s="12"/>
      <c r="BT180" s="10"/>
      <c r="BU180" s="10"/>
      <c r="BV180" s="33"/>
      <c r="BW180" s="33"/>
      <c r="BX180" s="48"/>
      <c r="BY180" s="12"/>
      <c r="BZ180" s="10"/>
      <c r="CA180" s="10"/>
      <c r="CB180" s="33"/>
      <c r="CC180" s="33"/>
      <c r="CD180" s="48"/>
      <c r="CE180" s="12"/>
    </row>
    <row r="181" spans="1:83" ht="80.25" customHeight="1">
      <c r="A181" s="20"/>
      <c r="B181" s="28"/>
      <c r="C181" s="27"/>
      <c r="D181" s="36"/>
      <c r="H181" s="29"/>
      <c r="I181" s="11"/>
      <c r="J181" s="56"/>
      <c r="K181" s="33"/>
      <c r="L181" s="10"/>
      <c r="M181" s="10"/>
      <c r="N181" s="33"/>
      <c r="O181" s="33"/>
      <c r="P181" s="56"/>
      <c r="Q181" s="33"/>
      <c r="R181" s="56"/>
      <c r="S181" s="56"/>
      <c r="T181" s="33"/>
      <c r="U181" s="33"/>
      <c r="V181" s="56"/>
      <c r="W181" s="33"/>
      <c r="X181" s="56"/>
      <c r="Y181" s="56"/>
      <c r="Z181" s="33"/>
      <c r="AA181" s="33"/>
      <c r="AB181" s="146"/>
      <c r="AC181" s="117"/>
      <c r="AD181" s="10"/>
      <c r="AE181" s="10"/>
      <c r="AF181" s="117"/>
      <c r="AG181" s="118"/>
      <c r="AH181" s="80"/>
      <c r="AI181" s="127"/>
      <c r="AJ181" s="111"/>
      <c r="AK181" s="111"/>
      <c r="AL181" s="112"/>
      <c r="AM181" s="112"/>
      <c r="AN181" s="80"/>
      <c r="AO181" s="12"/>
      <c r="AP181" s="10"/>
      <c r="AQ181" s="10"/>
      <c r="AR181" s="12"/>
      <c r="AS181" s="12"/>
      <c r="AT181" s="13"/>
      <c r="AU181" s="12"/>
      <c r="AV181" s="10"/>
      <c r="AW181" s="10"/>
      <c r="AX181" s="12"/>
      <c r="AY181" s="12"/>
      <c r="AZ181" s="32"/>
      <c r="BA181" s="12"/>
      <c r="BB181" s="10"/>
      <c r="BC181" s="10"/>
      <c r="BD181" s="12"/>
      <c r="BE181" s="12"/>
      <c r="BF181" s="48"/>
      <c r="BG181" s="12"/>
      <c r="BH181" s="10"/>
      <c r="BI181" s="10"/>
      <c r="BJ181" s="33"/>
      <c r="BK181" s="33"/>
      <c r="BL181" s="48"/>
      <c r="BM181" s="12"/>
      <c r="BN181" s="10"/>
      <c r="BO181" s="10"/>
      <c r="BP181" s="33"/>
      <c r="BQ181" s="33"/>
      <c r="BR181" s="48"/>
      <c r="BS181" s="12"/>
      <c r="BT181" s="10"/>
      <c r="BU181" s="10"/>
      <c r="BV181" s="33"/>
      <c r="BW181" s="33"/>
      <c r="BX181" s="48"/>
      <c r="BY181" s="12"/>
      <c r="BZ181" s="10"/>
      <c r="CA181" s="10"/>
      <c r="CB181" s="33"/>
      <c r="CC181" s="33"/>
      <c r="CD181" s="48"/>
      <c r="CE181" s="12"/>
    </row>
    <row r="182" spans="1:83" ht="80.25" customHeight="1">
      <c r="A182" s="20"/>
      <c r="B182" s="28"/>
      <c r="C182" s="27"/>
      <c r="D182" s="36"/>
      <c r="H182" s="29"/>
      <c r="I182" s="11"/>
      <c r="J182" s="56"/>
      <c r="K182" s="33"/>
      <c r="L182" s="10"/>
      <c r="M182" s="10"/>
      <c r="N182" s="33"/>
      <c r="O182" s="33"/>
      <c r="P182" s="56"/>
      <c r="Q182" s="33"/>
      <c r="R182" s="56"/>
      <c r="S182" s="56"/>
      <c r="T182" s="33"/>
      <c r="U182" s="33"/>
      <c r="V182" s="56"/>
      <c r="W182" s="33"/>
      <c r="X182" s="56"/>
      <c r="Y182" s="56"/>
      <c r="Z182" s="33"/>
      <c r="AA182" s="33"/>
      <c r="AB182" s="146"/>
      <c r="AC182" s="117"/>
      <c r="AD182" s="10"/>
      <c r="AE182" s="10"/>
      <c r="AF182" s="117"/>
      <c r="AG182" s="118"/>
      <c r="AH182" s="80"/>
      <c r="AI182" s="127"/>
      <c r="AJ182" s="111"/>
      <c r="AK182" s="111"/>
      <c r="AL182" s="112"/>
      <c r="AM182" s="112"/>
      <c r="AN182" s="80"/>
      <c r="AO182" s="12"/>
      <c r="AP182" s="10"/>
      <c r="AQ182" s="10"/>
      <c r="AR182" s="12"/>
      <c r="AS182" s="12"/>
      <c r="AT182" s="13"/>
      <c r="AU182" s="12"/>
      <c r="AV182" s="10"/>
      <c r="AW182" s="10"/>
      <c r="AX182" s="12"/>
      <c r="AY182" s="12"/>
      <c r="AZ182" s="32"/>
      <c r="BA182" s="12"/>
      <c r="BB182" s="10"/>
      <c r="BC182" s="10"/>
      <c r="BD182" s="12"/>
      <c r="BE182" s="12"/>
      <c r="BF182" s="48"/>
      <c r="BG182" s="12"/>
      <c r="BH182" s="10"/>
      <c r="BI182" s="10"/>
      <c r="BJ182" s="33"/>
      <c r="BK182" s="33"/>
      <c r="BL182" s="48"/>
      <c r="BM182" s="12"/>
      <c r="BN182" s="10"/>
      <c r="BO182" s="10"/>
      <c r="BP182" s="33"/>
      <c r="BQ182" s="33"/>
      <c r="BR182" s="48"/>
      <c r="BS182" s="12"/>
      <c r="BT182" s="10"/>
      <c r="BU182" s="10"/>
      <c r="BV182" s="33"/>
      <c r="BW182" s="33"/>
      <c r="BX182" s="48"/>
      <c r="BY182" s="12"/>
      <c r="BZ182" s="10"/>
      <c r="CA182" s="10"/>
      <c r="CB182" s="33"/>
      <c r="CC182" s="33"/>
      <c r="CD182" s="48"/>
      <c r="CE182" s="12"/>
    </row>
    <row r="183" spans="1:83" ht="80.25" customHeight="1">
      <c r="A183" s="20"/>
      <c r="B183" s="28"/>
      <c r="C183" s="27"/>
      <c r="D183" s="36"/>
      <c r="H183" s="29"/>
      <c r="I183" s="11"/>
      <c r="J183" s="56"/>
      <c r="K183" s="33"/>
      <c r="L183" s="10"/>
      <c r="M183" s="10"/>
      <c r="N183" s="33"/>
      <c r="O183" s="33"/>
      <c r="P183" s="56"/>
      <c r="Q183" s="33"/>
      <c r="R183" s="56"/>
      <c r="S183" s="56"/>
      <c r="T183" s="33"/>
      <c r="U183" s="33"/>
      <c r="V183" s="56"/>
      <c r="W183" s="33"/>
      <c r="X183" s="56"/>
      <c r="Y183" s="56"/>
      <c r="Z183" s="33"/>
      <c r="AA183" s="33"/>
      <c r="AB183" s="146"/>
      <c r="AC183" s="117"/>
      <c r="AD183" s="10"/>
      <c r="AE183" s="10"/>
      <c r="AF183" s="117"/>
      <c r="AG183" s="118"/>
      <c r="AH183" s="80"/>
      <c r="AI183" s="127"/>
      <c r="AJ183" s="111"/>
      <c r="AK183" s="111"/>
      <c r="AL183" s="112"/>
      <c r="AM183" s="112"/>
      <c r="AN183" s="80"/>
      <c r="AO183" s="12"/>
      <c r="AP183" s="10"/>
      <c r="AQ183" s="10"/>
      <c r="AR183" s="12"/>
      <c r="AS183" s="12"/>
      <c r="AT183" s="13"/>
      <c r="AU183" s="12"/>
      <c r="AV183" s="10"/>
      <c r="AW183" s="10"/>
      <c r="AX183" s="12"/>
      <c r="AY183" s="12"/>
      <c r="AZ183" s="32"/>
      <c r="BA183" s="12"/>
      <c r="BB183" s="10"/>
      <c r="BC183" s="10"/>
      <c r="BD183" s="12"/>
      <c r="BE183" s="12"/>
      <c r="BF183" s="48"/>
      <c r="BG183" s="12"/>
      <c r="BH183" s="10"/>
      <c r="BI183" s="10"/>
      <c r="BJ183" s="33"/>
      <c r="BK183" s="33"/>
      <c r="BL183" s="48"/>
      <c r="BM183" s="12"/>
      <c r="BN183" s="10"/>
      <c r="BO183" s="10"/>
      <c r="BP183" s="33"/>
      <c r="BQ183" s="33"/>
      <c r="BR183" s="48"/>
      <c r="BS183" s="12"/>
      <c r="BT183" s="10"/>
      <c r="BU183" s="10"/>
      <c r="BV183" s="33"/>
      <c r="BW183" s="33"/>
      <c r="BX183" s="48"/>
      <c r="BY183" s="12"/>
      <c r="BZ183" s="10"/>
      <c r="CA183" s="10"/>
      <c r="CB183" s="33"/>
      <c r="CC183" s="33"/>
      <c r="CD183" s="48"/>
      <c r="CE183" s="12"/>
    </row>
    <row r="184" spans="1:83" ht="80.25" customHeight="1">
      <c r="A184" s="20"/>
      <c r="B184" s="28"/>
      <c r="C184" s="30"/>
      <c r="D184" s="37"/>
      <c r="H184" s="29"/>
      <c r="I184" s="11"/>
      <c r="J184" s="56"/>
      <c r="K184" s="33"/>
      <c r="L184" s="10"/>
      <c r="M184" s="10"/>
      <c r="N184" s="33"/>
      <c r="O184" s="33"/>
      <c r="P184" s="56"/>
      <c r="Q184" s="33"/>
      <c r="R184" s="56"/>
      <c r="S184" s="56"/>
      <c r="T184" s="33"/>
      <c r="U184" s="33"/>
      <c r="V184" s="56"/>
      <c r="W184" s="33"/>
      <c r="X184" s="56"/>
      <c r="Y184" s="56"/>
      <c r="Z184" s="33"/>
      <c r="AA184" s="33"/>
      <c r="AB184" s="146"/>
      <c r="AC184" s="117"/>
      <c r="AD184" s="10"/>
      <c r="AE184" s="10"/>
      <c r="AF184" s="117"/>
      <c r="AG184" s="118"/>
      <c r="AH184" s="80"/>
      <c r="AI184" s="127"/>
      <c r="AJ184" s="111"/>
      <c r="AK184" s="111"/>
      <c r="AL184" s="112"/>
      <c r="AM184" s="112"/>
      <c r="AN184" s="80"/>
      <c r="AO184" s="12"/>
      <c r="AP184" s="10"/>
      <c r="AQ184" s="10"/>
      <c r="AR184" s="12"/>
      <c r="AS184" s="12"/>
      <c r="AT184" s="13"/>
      <c r="AU184" s="12"/>
      <c r="AV184" s="10"/>
      <c r="AW184" s="10"/>
      <c r="AX184" s="12"/>
      <c r="AY184" s="12"/>
      <c r="AZ184" s="32"/>
      <c r="BA184" s="12"/>
      <c r="BB184" s="10"/>
      <c r="BC184" s="10"/>
      <c r="BD184" s="12"/>
      <c r="BE184" s="12"/>
      <c r="BF184" s="48"/>
      <c r="BG184" s="12"/>
      <c r="BH184" s="10"/>
      <c r="BI184" s="10"/>
      <c r="BJ184" s="33"/>
      <c r="BK184" s="33"/>
      <c r="BL184" s="48"/>
      <c r="BM184" s="12"/>
      <c r="BN184" s="10"/>
      <c r="BO184" s="10"/>
      <c r="BP184" s="33"/>
      <c r="BQ184" s="33"/>
      <c r="BR184" s="48"/>
      <c r="BS184" s="12"/>
      <c r="BT184" s="10"/>
      <c r="BU184" s="10"/>
      <c r="BV184" s="33"/>
      <c r="BW184" s="33"/>
      <c r="BX184" s="48"/>
      <c r="BY184" s="12"/>
      <c r="BZ184" s="10"/>
      <c r="CA184" s="10"/>
      <c r="CB184" s="33"/>
      <c r="CC184" s="33"/>
      <c r="CD184" s="48"/>
      <c r="CE184" s="12"/>
    </row>
    <row r="185" spans="1:83" ht="80.25" customHeight="1">
      <c r="A185" s="20"/>
      <c r="B185" s="28"/>
      <c r="C185" s="30"/>
      <c r="D185" s="37"/>
      <c r="H185" s="29"/>
      <c r="I185" s="11"/>
      <c r="J185" s="56"/>
      <c r="K185" s="33"/>
      <c r="L185" s="10"/>
      <c r="M185" s="10"/>
      <c r="N185" s="33"/>
      <c r="O185" s="33"/>
      <c r="P185" s="56"/>
      <c r="Q185" s="33"/>
      <c r="R185" s="56"/>
      <c r="S185" s="56"/>
      <c r="T185" s="33"/>
      <c r="U185" s="33"/>
      <c r="V185" s="56"/>
      <c r="W185" s="33"/>
      <c r="X185" s="56"/>
      <c r="Y185" s="56"/>
      <c r="Z185" s="33"/>
      <c r="AA185" s="33"/>
      <c r="AB185" s="146"/>
      <c r="AC185" s="117"/>
      <c r="AD185" s="10"/>
      <c r="AE185" s="10"/>
      <c r="AF185" s="117"/>
      <c r="AG185" s="118"/>
      <c r="AH185" s="80"/>
      <c r="AI185" s="127"/>
      <c r="AJ185" s="111"/>
      <c r="AK185" s="111"/>
      <c r="AL185" s="112"/>
      <c r="AM185" s="112"/>
      <c r="AN185" s="80"/>
      <c r="AO185" s="12"/>
      <c r="AP185" s="10"/>
      <c r="AQ185" s="10"/>
      <c r="AR185" s="12"/>
      <c r="AS185" s="12"/>
      <c r="AT185" s="13"/>
      <c r="AU185" s="12"/>
      <c r="AV185" s="10"/>
      <c r="AW185" s="10"/>
      <c r="AX185" s="12"/>
      <c r="AY185" s="12"/>
      <c r="AZ185" s="32"/>
      <c r="BA185" s="12"/>
      <c r="BB185" s="10"/>
      <c r="BC185" s="10"/>
      <c r="BD185" s="12"/>
      <c r="BE185" s="12"/>
      <c r="BF185" s="48"/>
      <c r="BG185" s="12"/>
      <c r="BH185" s="10"/>
      <c r="BI185" s="10"/>
      <c r="BJ185" s="33"/>
      <c r="BK185" s="33"/>
      <c r="BL185" s="48"/>
      <c r="BM185" s="12"/>
      <c r="BN185" s="10"/>
      <c r="BO185" s="10"/>
      <c r="BP185" s="33"/>
      <c r="BQ185" s="33"/>
      <c r="BR185" s="48"/>
      <c r="BS185" s="12"/>
      <c r="BT185" s="10"/>
      <c r="BU185" s="10"/>
      <c r="BV185" s="33"/>
      <c r="BW185" s="33"/>
      <c r="BX185" s="48"/>
      <c r="BY185" s="12"/>
      <c r="BZ185" s="10"/>
      <c r="CA185" s="10"/>
      <c r="CB185" s="33"/>
      <c r="CC185" s="33"/>
      <c r="CD185" s="48"/>
      <c r="CE185" s="12"/>
    </row>
    <row r="186" spans="1:83" ht="80.25" customHeight="1">
      <c r="A186" s="20"/>
      <c r="B186" s="28"/>
      <c r="C186" s="30"/>
      <c r="D186" s="37"/>
      <c r="H186" s="29"/>
      <c r="I186" s="11"/>
      <c r="J186" s="56"/>
      <c r="K186" s="33"/>
      <c r="L186" s="10"/>
      <c r="M186" s="10"/>
      <c r="N186" s="33"/>
      <c r="O186" s="33"/>
      <c r="P186" s="56"/>
      <c r="Q186" s="33"/>
      <c r="R186" s="56"/>
      <c r="S186" s="56"/>
      <c r="T186" s="33"/>
      <c r="U186" s="33"/>
      <c r="V186" s="56"/>
      <c r="W186" s="33"/>
      <c r="X186" s="56"/>
      <c r="Y186" s="56"/>
      <c r="Z186" s="33"/>
      <c r="AA186" s="33"/>
      <c r="AB186" s="146"/>
      <c r="AC186" s="117"/>
      <c r="AD186" s="10"/>
      <c r="AE186" s="10"/>
      <c r="AF186" s="117"/>
      <c r="AG186" s="118"/>
      <c r="AH186" s="80"/>
      <c r="AI186" s="127"/>
      <c r="AJ186" s="111"/>
      <c r="AK186" s="111"/>
      <c r="AL186" s="112"/>
      <c r="AM186" s="112"/>
      <c r="AN186" s="80"/>
      <c r="AO186" s="12"/>
      <c r="AP186" s="10"/>
      <c r="AQ186" s="10"/>
      <c r="AR186" s="12"/>
      <c r="AS186" s="12"/>
      <c r="AT186" s="13"/>
      <c r="AU186" s="12"/>
      <c r="AV186" s="10"/>
      <c r="AW186" s="10"/>
      <c r="AX186" s="12"/>
      <c r="AY186" s="12"/>
      <c r="AZ186" s="32"/>
      <c r="BA186" s="12"/>
      <c r="BB186" s="10"/>
      <c r="BC186" s="10"/>
      <c r="BD186" s="12"/>
      <c r="BE186" s="12"/>
      <c r="BF186" s="48"/>
      <c r="BG186" s="12"/>
      <c r="BH186" s="10"/>
      <c r="BI186" s="10"/>
      <c r="BJ186" s="33"/>
      <c r="BK186" s="33"/>
      <c r="BL186" s="48"/>
      <c r="BM186" s="12"/>
      <c r="BN186" s="10"/>
      <c r="BO186" s="10"/>
      <c r="BP186" s="33"/>
      <c r="BQ186" s="33"/>
      <c r="BR186" s="48"/>
      <c r="BS186" s="12"/>
      <c r="BT186" s="10"/>
      <c r="BU186" s="10"/>
      <c r="BV186" s="33"/>
      <c r="BW186" s="33"/>
      <c r="BX186" s="48"/>
      <c r="BY186" s="12"/>
      <c r="BZ186" s="10"/>
      <c r="CA186" s="10"/>
      <c r="CB186" s="33"/>
      <c r="CC186" s="33"/>
      <c r="CD186" s="48"/>
      <c r="CE186" s="12"/>
    </row>
    <row r="187" spans="1:83" ht="80.25" customHeight="1">
      <c r="A187" s="20"/>
      <c r="B187" s="28"/>
      <c r="C187" s="30"/>
      <c r="D187" s="37"/>
      <c r="H187" s="29"/>
      <c r="I187" s="11"/>
      <c r="J187" s="56"/>
      <c r="K187" s="33"/>
      <c r="L187" s="10"/>
      <c r="M187" s="10"/>
      <c r="N187" s="33"/>
      <c r="O187" s="33"/>
      <c r="P187" s="56"/>
      <c r="Q187" s="33"/>
      <c r="R187" s="56"/>
      <c r="S187" s="56"/>
      <c r="T187" s="33"/>
      <c r="U187" s="33"/>
      <c r="V187" s="56"/>
      <c r="W187" s="33"/>
      <c r="X187" s="56"/>
      <c r="Y187" s="56"/>
      <c r="Z187" s="33"/>
      <c r="AA187" s="33"/>
      <c r="AB187" s="146"/>
      <c r="AC187" s="117"/>
      <c r="AD187" s="10"/>
      <c r="AE187" s="10"/>
      <c r="AF187" s="117"/>
      <c r="AG187" s="118"/>
      <c r="AH187" s="80"/>
      <c r="AI187" s="127"/>
      <c r="AJ187" s="111"/>
      <c r="AK187" s="111"/>
      <c r="AL187" s="112"/>
      <c r="AM187" s="112"/>
      <c r="AN187" s="80"/>
      <c r="AO187" s="12"/>
      <c r="AP187" s="10"/>
      <c r="AQ187" s="10"/>
      <c r="AR187" s="12"/>
      <c r="AS187" s="12"/>
      <c r="AT187" s="13"/>
      <c r="AU187" s="12"/>
      <c r="AV187" s="10"/>
      <c r="AW187" s="10"/>
      <c r="AX187" s="12"/>
      <c r="AY187" s="12"/>
      <c r="AZ187" s="32"/>
      <c r="BA187" s="12"/>
      <c r="BB187" s="10"/>
      <c r="BC187" s="10"/>
      <c r="BD187" s="12"/>
      <c r="BE187" s="12"/>
      <c r="BF187" s="48"/>
      <c r="BG187" s="12"/>
      <c r="BH187" s="10"/>
      <c r="BI187" s="10"/>
      <c r="BJ187" s="33"/>
      <c r="BK187" s="33"/>
      <c r="BL187" s="48"/>
      <c r="BM187" s="12"/>
      <c r="BN187" s="10"/>
      <c r="BO187" s="10"/>
      <c r="BP187" s="33"/>
      <c r="BQ187" s="33"/>
      <c r="BR187" s="48"/>
      <c r="BS187" s="12"/>
      <c r="BT187" s="10"/>
      <c r="BU187" s="10"/>
      <c r="BV187" s="33"/>
      <c r="BW187" s="33"/>
      <c r="BX187" s="48"/>
      <c r="BY187" s="12"/>
      <c r="BZ187" s="10"/>
      <c r="CA187" s="10"/>
      <c r="CB187" s="33"/>
      <c r="CC187" s="33"/>
      <c r="CD187" s="48"/>
      <c r="CE187" s="12"/>
    </row>
    <row r="188" spans="1:83" ht="80.25" customHeight="1">
      <c r="A188" s="20"/>
      <c r="B188" s="28"/>
      <c r="C188" s="30"/>
      <c r="D188" s="37"/>
      <c r="H188" s="29"/>
      <c r="I188" s="11"/>
      <c r="J188" s="56"/>
      <c r="K188" s="33"/>
      <c r="L188" s="10"/>
      <c r="M188" s="10"/>
      <c r="N188" s="33"/>
      <c r="O188" s="33"/>
      <c r="P188" s="56"/>
      <c r="Q188" s="33"/>
      <c r="R188" s="56"/>
      <c r="S188" s="56"/>
      <c r="T188" s="33"/>
      <c r="U188" s="33"/>
      <c r="V188" s="56"/>
      <c r="W188" s="33"/>
      <c r="X188" s="56"/>
      <c r="Y188" s="56"/>
      <c r="Z188" s="33"/>
      <c r="AA188" s="33"/>
      <c r="AB188" s="146"/>
      <c r="AC188" s="117"/>
      <c r="AD188" s="10"/>
      <c r="AE188" s="10"/>
      <c r="AF188" s="117"/>
      <c r="AG188" s="118"/>
      <c r="AH188" s="80"/>
      <c r="AI188" s="127"/>
      <c r="AJ188" s="111"/>
      <c r="AK188" s="111"/>
      <c r="AL188" s="112"/>
      <c r="AM188" s="112"/>
      <c r="AN188" s="80"/>
      <c r="AO188" s="12"/>
      <c r="AP188" s="10"/>
      <c r="AQ188" s="10"/>
      <c r="AR188" s="12"/>
      <c r="AS188" s="12"/>
      <c r="AT188" s="13"/>
      <c r="AU188" s="12"/>
      <c r="AV188" s="10"/>
      <c r="AW188" s="10"/>
      <c r="AX188" s="12"/>
      <c r="AY188" s="12"/>
      <c r="AZ188" s="32"/>
      <c r="BA188" s="12"/>
      <c r="BB188" s="10"/>
      <c r="BC188" s="10"/>
      <c r="BD188" s="12"/>
      <c r="BE188" s="12"/>
      <c r="BF188" s="48"/>
      <c r="BG188" s="12"/>
      <c r="BH188" s="10"/>
      <c r="BI188" s="10"/>
      <c r="BJ188" s="33"/>
      <c r="BK188" s="33"/>
      <c r="BL188" s="48"/>
      <c r="BM188" s="12"/>
      <c r="BN188" s="10"/>
      <c r="BO188" s="10"/>
      <c r="BP188" s="33"/>
      <c r="BQ188" s="33"/>
      <c r="BR188" s="48"/>
      <c r="BS188" s="12"/>
      <c r="BT188" s="10"/>
      <c r="BU188" s="10"/>
      <c r="BV188" s="33"/>
      <c r="BW188" s="33"/>
      <c r="BX188" s="48"/>
      <c r="BY188" s="12"/>
      <c r="BZ188" s="10"/>
      <c r="CA188" s="10"/>
      <c r="CB188" s="33"/>
      <c r="CC188" s="33"/>
      <c r="CD188" s="48"/>
      <c r="CE188" s="12"/>
    </row>
    <row r="189" spans="1:83" ht="80.25" customHeight="1">
      <c r="A189" s="20"/>
      <c r="B189" s="28"/>
      <c r="C189" s="27"/>
      <c r="D189" s="36"/>
      <c r="H189" s="29"/>
      <c r="I189" s="11"/>
      <c r="J189" s="56"/>
      <c r="K189" s="33"/>
      <c r="L189" s="10"/>
      <c r="M189" s="10"/>
      <c r="N189" s="33"/>
      <c r="O189" s="33"/>
      <c r="P189" s="56"/>
      <c r="Q189" s="33"/>
      <c r="R189" s="56"/>
      <c r="S189" s="56"/>
      <c r="T189" s="33"/>
      <c r="U189" s="33"/>
      <c r="V189" s="56"/>
      <c r="W189" s="33"/>
      <c r="X189" s="56"/>
      <c r="Y189" s="56"/>
      <c r="Z189" s="33"/>
      <c r="AA189" s="33"/>
      <c r="AB189" s="146"/>
      <c r="AC189" s="117"/>
      <c r="AD189" s="10"/>
      <c r="AE189" s="10"/>
      <c r="AF189" s="117"/>
      <c r="AG189" s="118"/>
      <c r="AH189" s="80"/>
      <c r="AI189" s="127"/>
      <c r="AJ189" s="111"/>
      <c r="AK189" s="111"/>
      <c r="AL189" s="112"/>
      <c r="AM189" s="112"/>
      <c r="AN189" s="80"/>
      <c r="AO189" s="12"/>
      <c r="AP189" s="10"/>
      <c r="AQ189" s="10"/>
      <c r="AR189" s="12"/>
      <c r="AS189" s="12"/>
      <c r="AT189" s="13"/>
      <c r="AU189" s="12"/>
      <c r="AV189" s="10"/>
      <c r="AW189" s="10"/>
      <c r="AX189" s="12"/>
      <c r="AY189" s="12"/>
      <c r="AZ189" s="32"/>
      <c r="BA189" s="12"/>
      <c r="BB189" s="10"/>
      <c r="BC189" s="10"/>
      <c r="BD189" s="12"/>
      <c r="BE189" s="12"/>
      <c r="BF189" s="48"/>
      <c r="BG189" s="12"/>
      <c r="BH189" s="10"/>
      <c r="BI189" s="10"/>
      <c r="BJ189" s="33"/>
      <c r="BK189" s="33"/>
      <c r="BL189" s="48"/>
      <c r="BM189" s="12"/>
      <c r="BN189" s="10"/>
      <c r="BO189" s="10"/>
      <c r="BP189" s="33"/>
      <c r="BQ189" s="33"/>
      <c r="BR189" s="48"/>
      <c r="BS189" s="12"/>
      <c r="BT189" s="10"/>
      <c r="BU189" s="10"/>
      <c r="BV189" s="33"/>
      <c r="BW189" s="33"/>
      <c r="BX189" s="48"/>
      <c r="BY189" s="12"/>
      <c r="BZ189" s="10"/>
      <c r="CA189" s="10"/>
      <c r="CB189" s="33"/>
      <c r="CC189" s="33"/>
      <c r="CD189" s="48"/>
      <c r="CE189" s="12"/>
    </row>
    <row r="190" spans="1:83" ht="80.25" customHeight="1">
      <c r="A190" s="20"/>
      <c r="B190" s="28"/>
      <c r="C190" s="27"/>
      <c r="D190" s="36"/>
      <c r="H190" s="29"/>
      <c r="I190" s="11"/>
      <c r="J190" s="56"/>
      <c r="K190" s="33"/>
      <c r="L190" s="10"/>
      <c r="M190" s="10"/>
      <c r="N190" s="33"/>
      <c r="O190" s="33"/>
      <c r="P190" s="56"/>
      <c r="Q190" s="33"/>
      <c r="R190" s="56"/>
      <c r="S190" s="56"/>
      <c r="T190" s="33"/>
      <c r="U190" s="33"/>
      <c r="V190" s="56"/>
      <c r="W190" s="33"/>
      <c r="X190" s="56"/>
      <c r="Y190" s="56"/>
      <c r="Z190" s="33"/>
      <c r="AA190" s="33"/>
      <c r="AB190" s="146"/>
      <c r="AC190" s="117"/>
      <c r="AD190" s="10"/>
      <c r="AE190" s="10"/>
      <c r="AF190" s="117"/>
      <c r="AG190" s="118"/>
      <c r="AH190" s="80"/>
      <c r="AI190" s="127"/>
      <c r="AJ190" s="111"/>
      <c r="AK190" s="111"/>
      <c r="AL190" s="112"/>
      <c r="AM190" s="112"/>
      <c r="AN190" s="80"/>
      <c r="AO190" s="12"/>
      <c r="AP190" s="10"/>
      <c r="AQ190" s="10"/>
      <c r="AR190" s="12"/>
      <c r="AS190" s="12"/>
      <c r="AT190" s="13"/>
      <c r="AU190" s="12"/>
      <c r="AV190" s="10"/>
      <c r="AW190" s="10"/>
      <c r="AX190" s="12"/>
      <c r="AY190" s="12"/>
      <c r="AZ190" s="32"/>
      <c r="BA190" s="12"/>
      <c r="BB190" s="10"/>
      <c r="BC190" s="10"/>
      <c r="BD190" s="12"/>
      <c r="BE190" s="12"/>
      <c r="BF190" s="48"/>
      <c r="BG190" s="12"/>
      <c r="BH190" s="10"/>
      <c r="BI190" s="10"/>
      <c r="BJ190" s="33"/>
      <c r="BK190" s="33"/>
      <c r="BL190" s="48"/>
      <c r="BM190" s="12"/>
      <c r="BN190" s="10"/>
      <c r="BO190" s="10"/>
      <c r="BP190" s="33"/>
      <c r="BQ190" s="33"/>
      <c r="BR190" s="48"/>
      <c r="BS190" s="12"/>
      <c r="BT190" s="10"/>
      <c r="BU190" s="10"/>
      <c r="BV190" s="33"/>
      <c r="BW190" s="33"/>
      <c r="BX190" s="48"/>
      <c r="BY190" s="12"/>
      <c r="BZ190" s="10"/>
      <c r="CA190" s="10"/>
      <c r="CB190" s="33"/>
      <c r="CC190" s="33"/>
      <c r="CD190" s="48"/>
      <c r="CE190" s="12"/>
    </row>
    <row r="191" spans="1:83" ht="80.25" customHeight="1">
      <c r="A191" s="20"/>
      <c r="B191" s="28"/>
      <c r="C191" s="27"/>
      <c r="D191" s="36"/>
      <c r="H191" s="29"/>
      <c r="I191" s="11"/>
      <c r="J191" s="56"/>
      <c r="K191" s="33"/>
      <c r="L191" s="10"/>
      <c r="M191" s="10"/>
      <c r="N191" s="33"/>
      <c r="O191" s="33"/>
      <c r="P191" s="56"/>
      <c r="Q191" s="33"/>
      <c r="R191" s="56"/>
      <c r="S191" s="56"/>
      <c r="T191" s="33"/>
      <c r="U191" s="33"/>
      <c r="V191" s="56"/>
      <c r="W191" s="33"/>
      <c r="X191" s="56"/>
      <c r="Y191" s="56"/>
      <c r="Z191" s="33"/>
      <c r="AA191" s="33"/>
      <c r="AB191" s="146"/>
      <c r="AC191" s="117"/>
      <c r="AD191" s="10"/>
      <c r="AE191" s="10"/>
      <c r="AF191" s="117"/>
      <c r="AG191" s="118"/>
      <c r="AH191" s="80"/>
      <c r="AI191" s="127"/>
      <c r="AJ191" s="111"/>
      <c r="AK191" s="111"/>
      <c r="AL191" s="112"/>
      <c r="AM191" s="112"/>
      <c r="AN191" s="80"/>
      <c r="AO191" s="12"/>
      <c r="AP191" s="10"/>
      <c r="AQ191" s="10"/>
      <c r="AR191" s="12"/>
      <c r="AS191" s="12"/>
      <c r="AT191" s="13"/>
      <c r="AU191" s="12"/>
      <c r="AV191" s="10"/>
      <c r="AW191" s="10"/>
      <c r="AX191" s="12"/>
      <c r="AY191" s="12"/>
      <c r="AZ191" s="32"/>
      <c r="BA191" s="12"/>
      <c r="BB191" s="10"/>
      <c r="BC191" s="10"/>
      <c r="BD191" s="12"/>
      <c r="BE191" s="12"/>
      <c r="BF191" s="48"/>
      <c r="BG191" s="12"/>
      <c r="BH191" s="10"/>
      <c r="BI191" s="10"/>
      <c r="BJ191" s="33"/>
      <c r="BK191" s="33"/>
      <c r="BL191" s="48"/>
      <c r="BM191" s="12"/>
      <c r="BN191" s="10"/>
      <c r="BO191" s="10"/>
      <c r="BP191" s="33"/>
      <c r="BQ191" s="33"/>
      <c r="BR191" s="48"/>
      <c r="BS191" s="12"/>
      <c r="BT191" s="10"/>
      <c r="BU191" s="10"/>
      <c r="BV191" s="33"/>
      <c r="BW191" s="33"/>
      <c r="BX191" s="48"/>
      <c r="BY191" s="12"/>
      <c r="BZ191" s="10"/>
      <c r="CA191" s="10"/>
      <c r="CB191" s="33"/>
      <c r="CC191" s="33"/>
      <c r="CD191" s="48"/>
      <c r="CE191" s="12"/>
    </row>
    <row r="192" spans="1:83" ht="80.25" customHeight="1">
      <c r="A192" s="20"/>
      <c r="B192" s="28"/>
      <c r="C192" s="27"/>
      <c r="D192" s="36"/>
      <c r="H192" s="29"/>
      <c r="I192" s="11"/>
      <c r="J192" s="56"/>
      <c r="K192" s="33"/>
      <c r="L192" s="10"/>
      <c r="M192" s="10"/>
      <c r="N192" s="33"/>
      <c r="O192" s="33"/>
      <c r="P192" s="56"/>
      <c r="Q192" s="33"/>
      <c r="R192" s="56"/>
      <c r="S192" s="56"/>
      <c r="T192" s="33"/>
      <c r="U192" s="33"/>
      <c r="V192" s="56"/>
      <c r="W192" s="33"/>
      <c r="X192" s="56"/>
      <c r="Y192" s="56"/>
      <c r="Z192" s="33"/>
      <c r="AA192" s="33"/>
      <c r="AB192" s="146"/>
      <c r="AC192" s="117"/>
      <c r="AD192" s="10"/>
      <c r="AE192" s="10"/>
      <c r="AF192" s="117"/>
      <c r="AG192" s="118"/>
      <c r="AH192" s="80"/>
      <c r="AI192" s="127"/>
      <c r="AJ192" s="111"/>
      <c r="AK192" s="111"/>
      <c r="AL192" s="112"/>
      <c r="AM192" s="112"/>
      <c r="AN192" s="80"/>
      <c r="AO192" s="12"/>
      <c r="AP192" s="10"/>
      <c r="AQ192" s="10"/>
      <c r="AR192" s="12"/>
      <c r="AS192" s="12"/>
      <c r="AT192" s="13"/>
      <c r="AU192" s="12"/>
      <c r="AV192" s="10"/>
      <c r="AW192" s="10"/>
      <c r="AX192" s="12"/>
      <c r="AY192" s="12"/>
      <c r="AZ192" s="32"/>
      <c r="BA192" s="12"/>
      <c r="BB192" s="10"/>
      <c r="BC192" s="10"/>
      <c r="BD192" s="12"/>
      <c r="BE192" s="12"/>
      <c r="BF192" s="48"/>
      <c r="BG192" s="12"/>
      <c r="BH192" s="10"/>
      <c r="BI192" s="10"/>
      <c r="BJ192" s="33"/>
      <c r="BK192" s="33"/>
      <c r="BL192" s="48"/>
      <c r="BM192" s="12"/>
      <c r="BN192" s="10"/>
      <c r="BO192" s="10"/>
      <c r="BP192" s="33"/>
      <c r="BQ192" s="33"/>
      <c r="BR192" s="48"/>
      <c r="BS192" s="12"/>
      <c r="BT192" s="10"/>
      <c r="BU192" s="10"/>
      <c r="BV192" s="33"/>
      <c r="BW192" s="33"/>
      <c r="BX192" s="48"/>
      <c r="BY192" s="12"/>
      <c r="BZ192" s="10"/>
      <c r="CA192" s="10"/>
      <c r="CB192" s="33"/>
      <c r="CC192" s="33"/>
      <c r="CD192" s="48"/>
      <c r="CE192" s="12"/>
    </row>
    <row r="193" spans="1:83" ht="80.25" customHeight="1">
      <c r="A193" s="20"/>
      <c r="B193" s="28"/>
      <c r="C193" s="30"/>
      <c r="D193" s="37"/>
      <c r="H193" s="29"/>
      <c r="I193" s="11"/>
      <c r="J193" s="56"/>
      <c r="K193" s="33"/>
      <c r="L193" s="10"/>
      <c r="M193" s="10"/>
      <c r="N193" s="33"/>
      <c r="O193" s="33"/>
      <c r="P193" s="56"/>
      <c r="Q193" s="33"/>
      <c r="R193" s="56"/>
      <c r="S193" s="56"/>
      <c r="T193" s="33"/>
      <c r="U193" s="33"/>
      <c r="V193" s="56"/>
      <c r="W193" s="33"/>
      <c r="X193" s="56"/>
      <c r="Y193" s="56"/>
      <c r="Z193" s="33"/>
      <c r="AA193" s="33"/>
      <c r="AB193" s="146"/>
      <c r="AC193" s="117"/>
      <c r="AD193" s="10"/>
      <c r="AE193" s="10"/>
      <c r="AF193" s="117"/>
      <c r="AG193" s="118"/>
      <c r="AH193" s="80"/>
      <c r="AI193" s="127"/>
      <c r="AJ193" s="111"/>
      <c r="AK193" s="111"/>
      <c r="AL193" s="112"/>
      <c r="AM193" s="112"/>
      <c r="AN193" s="80"/>
      <c r="AO193" s="12"/>
      <c r="AP193" s="10"/>
      <c r="AQ193" s="10"/>
      <c r="AR193" s="12"/>
      <c r="AS193" s="12"/>
      <c r="AT193" s="13"/>
      <c r="AU193" s="12"/>
      <c r="AV193" s="10"/>
      <c r="AW193" s="10"/>
      <c r="AX193" s="12"/>
      <c r="AY193" s="12"/>
      <c r="AZ193" s="32"/>
      <c r="BA193" s="12"/>
      <c r="BB193" s="10"/>
      <c r="BC193" s="10"/>
      <c r="BD193" s="12"/>
      <c r="BE193" s="12"/>
      <c r="BF193" s="48"/>
      <c r="BG193" s="12"/>
      <c r="BH193" s="10"/>
      <c r="BI193" s="10"/>
      <c r="BJ193" s="33"/>
      <c r="BK193" s="33"/>
      <c r="BL193" s="48"/>
      <c r="BM193" s="12"/>
      <c r="BN193" s="10"/>
      <c r="BO193" s="10"/>
      <c r="BP193" s="33"/>
      <c r="BQ193" s="33"/>
      <c r="BR193" s="48"/>
      <c r="BS193" s="12"/>
      <c r="BT193" s="10"/>
      <c r="BU193" s="10"/>
      <c r="BV193" s="33"/>
      <c r="BW193" s="33"/>
      <c r="BX193" s="48"/>
      <c r="BY193" s="12"/>
      <c r="BZ193" s="10"/>
      <c r="CA193" s="10"/>
      <c r="CB193" s="33"/>
      <c r="CC193" s="33"/>
      <c r="CD193" s="48"/>
      <c r="CE193" s="12"/>
    </row>
    <row r="194" spans="1:83" ht="80.25" customHeight="1">
      <c r="A194" s="20"/>
      <c r="B194" s="28"/>
      <c r="C194" s="27"/>
      <c r="D194" s="36"/>
      <c r="H194" s="29"/>
      <c r="I194" s="11"/>
      <c r="J194" s="56"/>
      <c r="K194" s="33"/>
      <c r="L194" s="10"/>
      <c r="M194" s="10"/>
      <c r="N194" s="33"/>
      <c r="O194" s="33"/>
      <c r="P194" s="56"/>
      <c r="Q194" s="33"/>
      <c r="R194" s="56"/>
      <c r="S194" s="56"/>
      <c r="T194" s="33"/>
      <c r="U194" s="33"/>
      <c r="V194" s="56"/>
      <c r="W194" s="33"/>
      <c r="X194" s="56"/>
      <c r="Y194" s="56"/>
      <c r="Z194" s="33"/>
      <c r="AA194" s="33"/>
      <c r="AB194" s="146"/>
      <c r="AC194" s="117"/>
      <c r="AD194" s="10"/>
      <c r="AE194" s="10"/>
      <c r="AF194" s="117"/>
      <c r="AG194" s="118"/>
      <c r="AH194" s="80"/>
      <c r="AI194" s="127"/>
      <c r="AJ194" s="111"/>
      <c r="AK194" s="111"/>
      <c r="AL194" s="112"/>
      <c r="AM194" s="112"/>
      <c r="AN194" s="80"/>
      <c r="AO194" s="12"/>
      <c r="AP194" s="10"/>
      <c r="AQ194" s="10"/>
      <c r="AR194" s="12"/>
      <c r="AS194" s="12"/>
      <c r="AT194" s="13"/>
      <c r="AU194" s="12"/>
      <c r="AV194" s="10"/>
      <c r="AW194" s="10"/>
      <c r="AX194" s="12"/>
      <c r="AY194" s="12"/>
      <c r="AZ194" s="32"/>
      <c r="BA194" s="12"/>
      <c r="BB194" s="10"/>
      <c r="BC194" s="10"/>
      <c r="BD194" s="12"/>
      <c r="BE194" s="12"/>
      <c r="BF194" s="48"/>
      <c r="BG194" s="12"/>
      <c r="BH194" s="10"/>
      <c r="BI194" s="10"/>
      <c r="BJ194" s="33"/>
      <c r="BK194" s="33"/>
      <c r="BL194" s="48"/>
      <c r="BM194" s="12"/>
      <c r="BN194" s="10"/>
      <c r="BO194" s="10"/>
      <c r="BP194" s="33"/>
      <c r="BQ194" s="33"/>
      <c r="BR194" s="48"/>
      <c r="BS194" s="12"/>
      <c r="BT194" s="10"/>
      <c r="BU194" s="10"/>
      <c r="BV194" s="33"/>
      <c r="BW194" s="33"/>
      <c r="BX194" s="48"/>
      <c r="BY194" s="12"/>
      <c r="BZ194" s="10"/>
      <c r="CA194" s="10"/>
      <c r="CB194" s="33"/>
      <c r="CC194" s="33"/>
      <c r="CD194" s="48"/>
      <c r="CE194" s="12"/>
    </row>
    <row r="195" spans="1:83" ht="80.25" customHeight="1">
      <c r="A195" s="20"/>
      <c r="B195" s="28"/>
      <c r="C195" s="30"/>
      <c r="D195" s="37"/>
      <c r="H195" s="29"/>
      <c r="I195" s="11"/>
      <c r="J195" s="56"/>
      <c r="K195" s="33"/>
      <c r="L195" s="10"/>
      <c r="M195" s="10"/>
      <c r="N195" s="33"/>
      <c r="O195" s="33"/>
      <c r="P195" s="56"/>
      <c r="Q195" s="33"/>
      <c r="R195" s="56"/>
      <c r="S195" s="56"/>
      <c r="T195" s="33"/>
      <c r="U195" s="33"/>
      <c r="V195" s="56"/>
      <c r="W195" s="33"/>
      <c r="X195" s="56"/>
      <c r="Y195" s="56"/>
      <c r="Z195" s="33"/>
      <c r="AA195" s="33"/>
      <c r="AB195" s="146"/>
      <c r="AC195" s="117"/>
      <c r="AD195" s="10"/>
      <c r="AE195" s="10"/>
      <c r="AF195" s="117"/>
      <c r="AG195" s="118"/>
      <c r="AH195" s="80"/>
      <c r="AI195" s="127"/>
      <c r="AJ195" s="111"/>
      <c r="AK195" s="111"/>
      <c r="AL195" s="112"/>
      <c r="AM195" s="112"/>
      <c r="AN195" s="80"/>
      <c r="AO195" s="12"/>
      <c r="AP195" s="10"/>
      <c r="AQ195" s="10"/>
      <c r="AR195" s="12"/>
      <c r="AS195" s="12"/>
      <c r="AT195" s="13"/>
      <c r="AU195" s="12"/>
      <c r="AV195" s="10"/>
      <c r="AW195" s="10"/>
      <c r="AX195" s="12"/>
      <c r="AY195" s="12"/>
      <c r="AZ195" s="32"/>
      <c r="BA195" s="12"/>
      <c r="BB195" s="10"/>
      <c r="BC195" s="10"/>
      <c r="BD195" s="12"/>
      <c r="BE195" s="12"/>
      <c r="BF195" s="48"/>
      <c r="BG195" s="12"/>
      <c r="BH195" s="10"/>
      <c r="BI195" s="10"/>
      <c r="BJ195" s="33"/>
      <c r="BK195" s="33"/>
      <c r="BL195" s="48"/>
      <c r="BM195" s="12"/>
      <c r="BN195" s="10"/>
      <c r="BO195" s="10"/>
      <c r="BP195" s="33"/>
      <c r="BQ195" s="33"/>
      <c r="BR195" s="48"/>
      <c r="BS195" s="12"/>
      <c r="BT195" s="10"/>
      <c r="BU195" s="10"/>
      <c r="BV195" s="33"/>
      <c r="BW195" s="33"/>
      <c r="BX195" s="48"/>
      <c r="BY195" s="12"/>
      <c r="BZ195" s="10"/>
      <c r="CA195" s="10"/>
      <c r="CB195" s="33"/>
      <c r="CC195" s="33"/>
      <c r="CD195" s="48"/>
      <c r="CE195" s="12"/>
    </row>
    <row r="196" spans="1:83" ht="80.25" customHeight="1">
      <c r="A196" s="20"/>
      <c r="B196" s="28"/>
      <c r="C196" s="30"/>
      <c r="D196" s="37"/>
      <c r="H196" s="29"/>
      <c r="I196" s="11"/>
      <c r="J196" s="56"/>
      <c r="K196" s="33"/>
      <c r="L196" s="10"/>
      <c r="M196" s="10"/>
      <c r="N196" s="33"/>
      <c r="O196" s="33"/>
      <c r="P196" s="56"/>
      <c r="Q196" s="33"/>
      <c r="R196" s="56"/>
      <c r="S196" s="56"/>
      <c r="T196" s="33"/>
      <c r="U196" s="33"/>
      <c r="V196" s="56"/>
      <c r="W196" s="33"/>
      <c r="X196" s="56"/>
      <c r="Y196" s="56"/>
      <c r="Z196" s="33"/>
      <c r="AA196" s="33"/>
      <c r="AB196" s="146"/>
      <c r="AC196" s="117"/>
      <c r="AD196" s="10"/>
      <c r="AE196" s="10"/>
      <c r="AF196" s="117"/>
      <c r="AG196" s="118"/>
      <c r="AH196" s="80"/>
      <c r="AI196" s="127"/>
      <c r="AJ196" s="111"/>
      <c r="AK196" s="111"/>
      <c r="AL196" s="112"/>
      <c r="AM196" s="112"/>
      <c r="AN196" s="80"/>
      <c r="AO196" s="12"/>
      <c r="AP196" s="10"/>
      <c r="AQ196" s="10"/>
      <c r="AR196" s="12"/>
      <c r="AS196" s="12"/>
      <c r="AT196" s="13"/>
      <c r="AU196" s="12"/>
      <c r="AV196" s="10"/>
      <c r="AW196" s="10"/>
      <c r="AX196" s="12"/>
      <c r="AY196" s="12"/>
      <c r="AZ196" s="32"/>
      <c r="BA196" s="12"/>
      <c r="BB196" s="10"/>
      <c r="BC196" s="10"/>
      <c r="BD196" s="12"/>
      <c r="BE196" s="12"/>
      <c r="BF196" s="48"/>
      <c r="BG196" s="12"/>
      <c r="BH196" s="10"/>
      <c r="BI196" s="10"/>
      <c r="BJ196" s="33"/>
      <c r="BK196" s="33"/>
      <c r="BL196" s="48"/>
      <c r="BM196" s="12"/>
      <c r="BN196" s="10"/>
      <c r="BO196" s="10"/>
      <c r="BP196" s="33"/>
      <c r="BQ196" s="33"/>
      <c r="BR196" s="48"/>
      <c r="BS196" s="12"/>
      <c r="BT196" s="10"/>
      <c r="BU196" s="10"/>
      <c r="BV196" s="33"/>
      <c r="BW196" s="33"/>
      <c r="BX196" s="48"/>
      <c r="BY196" s="12"/>
      <c r="BZ196" s="10"/>
      <c r="CA196" s="10"/>
      <c r="CB196" s="33"/>
      <c r="CC196" s="33"/>
      <c r="CD196" s="48"/>
      <c r="CE196" s="12"/>
    </row>
    <row r="197" spans="1:83" ht="80.25" customHeight="1">
      <c r="A197" s="20"/>
      <c r="B197" s="28"/>
      <c r="C197" s="30"/>
      <c r="D197" s="37"/>
      <c r="H197" s="29"/>
      <c r="I197" s="11"/>
      <c r="J197" s="56"/>
      <c r="K197" s="33"/>
      <c r="L197" s="10"/>
      <c r="M197" s="10"/>
      <c r="N197" s="33"/>
      <c r="O197" s="33"/>
      <c r="P197" s="56"/>
      <c r="Q197" s="33"/>
      <c r="R197" s="56"/>
      <c r="S197" s="56"/>
      <c r="T197" s="33"/>
      <c r="U197" s="33"/>
      <c r="V197" s="56"/>
      <c r="W197" s="33"/>
      <c r="X197" s="56"/>
      <c r="Y197" s="56"/>
      <c r="Z197" s="33"/>
      <c r="AA197" s="33"/>
      <c r="AB197" s="146"/>
      <c r="AC197" s="117"/>
      <c r="AD197" s="10"/>
      <c r="AE197" s="10"/>
      <c r="AF197" s="117"/>
      <c r="AG197" s="118"/>
      <c r="AH197" s="80"/>
      <c r="AI197" s="127"/>
      <c r="AJ197" s="111"/>
      <c r="AK197" s="111"/>
      <c r="AL197" s="112"/>
      <c r="AM197" s="112"/>
      <c r="AN197" s="80"/>
      <c r="AO197" s="12"/>
      <c r="AP197" s="10"/>
      <c r="AQ197" s="10"/>
      <c r="AR197" s="12"/>
      <c r="AS197" s="12"/>
      <c r="AT197" s="13"/>
      <c r="AU197" s="12"/>
      <c r="AV197" s="10"/>
      <c r="AW197" s="10"/>
      <c r="AX197" s="12"/>
      <c r="AY197" s="12"/>
      <c r="AZ197" s="32"/>
      <c r="BA197" s="12"/>
      <c r="BB197" s="10"/>
      <c r="BC197" s="10"/>
      <c r="BD197" s="12"/>
      <c r="BE197" s="12"/>
      <c r="BF197" s="48"/>
      <c r="BG197" s="12"/>
      <c r="BH197" s="10"/>
      <c r="BI197" s="10"/>
      <c r="BJ197" s="33"/>
      <c r="BK197" s="33"/>
      <c r="BL197" s="48"/>
      <c r="BM197" s="12"/>
      <c r="BN197" s="10"/>
      <c r="BO197" s="10"/>
      <c r="BP197" s="33"/>
      <c r="BQ197" s="33"/>
      <c r="BR197" s="48"/>
      <c r="BS197" s="12"/>
      <c r="BT197" s="10"/>
      <c r="BU197" s="10"/>
      <c r="BV197" s="33"/>
      <c r="BW197" s="33"/>
      <c r="BX197" s="48"/>
      <c r="BY197" s="12"/>
      <c r="BZ197" s="10"/>
      <c r="CA197" s="10"/>
      <c r="CB197" s="33"/>
      <c r="CC197" s="33"/>
      <c r="CD197" s="48"/>
      <c r="CE197" s="12"/>
    </row>
    <row r="198" spans="1:83" ht="80.25" customHeight="1">
      <c r="A198" s="20"/>
      <c r="B198" s="28"/>
      <c r="C198" s="27"/>
      <c r="D198" s="36"/>
      <c r="H198" s="29"/>
      <c r="I198" s="11"/>
      <c r="J198" s="56"/>
      <c r="K198" s="33"/>
      <c r="L198" s="10"/>
      <c r="M198" s="10"/>
      <c r="N198" s="33"/>
      <c r="O198" s="33"/>
      <c r="P198" s="56"/>
      <c r="Q198" s="33"/>
      <c r="R198" s="56"/>
      <c r="S198" s="56"/>
      <c r="T198" s="33"/>
      <c r="U198" s="33"/>
      <c r="V198" s="56"/>
      <c r="W198" s="33"/>
      <c r="X198" s="56"/>
      <c r="Y198" s="56"/>
      <c r="Z198" s="33"/>
      <c r="AA198" s="33"/>
      <c r="AB198" s="146"/>
      <c r="AC198" s="117"/>
      <c r="AD198" s="10"/>
      <c r="AE198" s="10"/>
      <c r="AF198" s="117"/>
      <c r="AG198" s="118"/>
      <c r="AH198" s="80"/>
      <c r="AI198" s="127"/>
      <c r="AJ198" s="111"/>
      <c r="AK198" s="111"/>
      <c r="AL198" s="112"/>
      <c r="AM198" s="112"/>
      <c r="AN198" s="80"/>
      <c r="AO198" s="12"/>
      <c r="AP198" s="10"/>
      <c r="AQ198" s="10"/>
      <c r="AR198" s="12"/>
      <c r="AS198" s="12"/>
      <c r="AT198" s="13"/>
      <c r="AU198" s="12"/>
      <c r="AV198" s="10"/>
      <c r="AW198" s="10"/>
      <c r="AX198" s="12"/>
      <c r="AY198" s="12"/>
      <c r="AZ198" s="32"/>
      <c r="BA198" s="12"/>
      <c r="BB198" s="10"/>
      <c r="BC198" s="10"/>
      <c r="BD198" s="12"/>
      <c r="BE198" s="12"/>
      <c r="BF198" s="48"/>
      <c r="BG198" s="12"/>
      <c r="BH198" s="10"/>
      <c r="BI198" s="10"/>
      <c r="BJ198" s="33"/>
      <c r="BK198" s="33"/>
      <c r="BL198" s="48"/>
      <c r="BM198" s="12"/>
      <c r="BN198" s="10"/>
      <c r="BO198" s="10"/>
      <c r="BP198" s="33"/>
      <c r="BQ198" s="33"/>
      <c r="BR198" s="48"/>
      <c r="BS198" s="12"/>
      <c r="BT198" s="10"/>
      <c r="BU198" s="10"/>
      <c r="BV198" s="33"/>
      <c r="BW198" s="33"/>
      <c r="BX198" s="48"/>
      <c r="BY198" s="12"/>
      <c r="BZ198" s="10"/>
      <c r="CA198" s="10"/>
      <c r="CB198" s="33"/>
      <c r="CC198" s="33"/>
      <c r="CD198" s="48"/>
      <c r="CE198" s="12"/>
    </row>
    <row r="199" spans="1:83" ht="80.25" customHeight="1">
      <c r="A199" s="20"/>
      <c r="B199" s="28"/>
      <c r="C199" s="30"/>
      <c r="D199" s="37"/>
      <c r="H199" s="29"/>
      <c r="I199" s="11"/>
      <c r="J199" s="56"/>
      <c r="K199" s="33"/>
      <c r="L199" s="10"/>
      <c r="M199" s="10"/>
      <c r="N199" s="33"/>
      <c r="O199" s="33"/>
      <c r="P199" s="56"/>
      <c r="Q199" s="33"/>
      <c r="R199" s="56"/>
      <c r="S199" s="56"/>
      <c r="T199" s="33"/>
      <c r="U199" s="33"/>
      <c r="V199" s="56"/>
      <c r="W199" s="33"/>
      <c r="X199" s="56"/>
      <c r="Y199" s="56"/>
      <c r="Z199" s="33"/>
      <c r="AA199" s="33"/>
      <c r="AB199" s="146"/>
      <c r="AC199" s="117"/>
      <c r="AD199" s="10"/>
      <c r="AE199" s="10"/>
      <c r="AF199" s="117"/>
      <c r="AG199" s="118"/>
      <c r="AH199" s="80"/>
      <c r="AI199" s="127"/>
      <c r="AJ199" s="111"/>
      <c r="AK199" s="111"/>
      <c r="AL199" s="112"/>
      <c r="AM199" s="112"/>
      <c r="AN199" s="80"/>
      <c r="AO199" s="12"/>
      <c r="AP199" s="10"/>
      <c r="AQ199" s="10"/>
      <c r="AR199" s="12"/>
      <c r="AS199" s="12"/>
      <c r="AT199" s="13"/>
      <c r="AU199" s="12"/>
      <c r="AV199" s="10"/>
      <c r="AW199" s="10"/>
      <c r="AX199" s="12"/>
      <c r="AY199" s="12"/>
      <c r="AZ199" s="32"/>
      <c r="BA199" s="12"/>
      <c r="BB199" s="10"/>
      <c r="BC199" s="10"/>
      <c r="BD199" s="12"/>
      <c r="BE199" s="12"/>
      <c r="BF199" s="48"/>
      <c r="BG199" s="12"/>
      <c r="BH199" s="10"/>
      <c r="BI199" s="10"/>
      <c r="BJ199" s="33"/>
      <c r="BK199" s="33"/>
      <c r="BL199" s="48"/>
      <c r="BM199" s="12"/>
      <c r="BN199" s="10"/>
      <c r="BO199" s="10"/>
      <c r="BP199" s="33"/>
      <c r="BQ199" s="33"/>
      <c r="BR199" s="48"/>
      <c r="BS199" s="12"/>
      <c r="BT199" s="10"/>
      <c r="BU199" s="10"/>
      <c r="BV199" s="33"/>
      <c r="BW199" s="33"/>
      <c r="BX199" s="48"/>
      <c r="BY199" s="12"/>
      <c r="BZ199" s="10"/>
      <c r="CA199" s="10"/>
      <c r="CB199" s="33"/>
      <c r="CC199" s="33"/>
      <c r="CD199" s="48"/>
      <c r="CE199" s="12"/>
    </row>
    <row r="200" spans="1:83" ht="80.25" customHeight="1">
      <c r="A200" s="20"/>
      <c r="B200" s="28"/>
      <c r="C200" s="27"/>
      <c r="D200" s="36"/>
      <c r="H200" s="29"/>
      <c r="I200" s="11"/>
      <c r="J200" s="56"/>
      <c r="K200" s="33"/>
      <c r="L200" s="10"/>
      <c r="M200" s="10"/>
      <c r="N200" s="33"/>
      <c r="O200" s="33"/>
      <c r="P200" s="56"/>
      <c r="Q200" s="33"/>
      <c r="R200" s="56"/>
      <c r="S200" s="56"/>
      <c r="T200" s="33"/>
      <c r="U200" s="33"/>
      <c r="V200" s="56"/>
      <c r="W200" s="33"/>
      <c r="X200" s="56"/>
      <c r="Y200" s="56"/>
      <c r="Z200" s="33"/>
      <c r="AA200" s="33"/>
      <c r="AB200" s="146"/>
      <c r="AC200" s="117"/>
      <c r="AD200" s="10"/>
      <c r="AE200" s="10"/>
      <c r="AF200" s="117"/>
      <c r="AG200" s="118"/>
      <c r="AH200" s="80"/>
      <c r="AI200" s="127"/>
      <c r="AJ200" s="111"/>
      <c r="AK200" s="111"/>
      <c r="AL200" s="112"/>
      <c r="AM200" s="112"/>
      <c r="AN200" s="80"/>
      <c r="AO200" s="12"/>
      <c r="AP200" s="10"/>
      <c r="AQ200" s="10"/>
      <c r="AR200" s="12"/>
      <c r="AS200" s="12"/>
      <c r="AT200" s="13"/>
      <c r="AU200" s="12"/>
      <c r="AV200" s="10"/>
      <c r="AW200" s="10"/>
      <c r="AX200" s="12"/>
      <c r="AY200" s="12"/>
      <c r="AZ200" s="32"/>
      <c r="BA200" s="12"/>
      <c r="BB200" s="10"/>
      <c r="BC200" s="10"/>
      <c r="BD200" s="12"/>
      <c r="BE200" s="12"/>
      <c r="BF200" s="48"/>
      <c r="BG200" s="12"/>
      <c r="BH200" s="10"/>
      <c r="BI200" s="10"/>
      <c r="BJ200" s="33"/>
      <c r="BK200" s="33"/>
      <c r="BL200" s="48"/>
      <c r="BM200" s="12"/>
      <c r="BN200" s="10"/>
      <c r="BO200" s="10"/>
      <c r="BP200" s="33"/>
      <c r="BQ200" s="33"/>
      <c r="BR200" s="48"/>
      <c r="BS200" s="12"/>
      <c r="BT200" s="10"/>
      <c r="BU200" s="10"/>
      <c r="BV200" s="33"/>
      <c r="BW200" s="33"/>
      <c r="BX200" s="48"/>
      <c r="BY200" s="12"/>
      <c r="BZ200" s="10"/>
      <c r="CA200" s="10"/>
      <c r="CB200" s="33"/>
      <c r="CC200" s="33"/>
      <c r="CD200" s="48"/>
      <c r="CE200" s="12"/>
    </row>
    <row r="201" spans="1:83" ht="80.25" customHeight="1">
      <c r="A201" s="20"/>
      <c r="B201" s="28"/>
      <c r="C201" s="27"/>
      <c r="D201" s="36"/>
      <c r="H201" s="29"/>
      <c r="I201" s="11"/>
      <c r="J201" s="56"/>
      <c r="K201" s="33"/>
      <c r="L201" s="10"/>
      <c r="M201" s="10"/>
      <c r="N201" s="33"/>
      <c r="O201" s="33"/>
      <c r="P201" s="56"/>
      <c r="Q201" s="33"/>
      <c r="R201" s="56"/>
      <c r="S201" s="56"/>
      <c r="T201" s="33"/>
      <c r="U201" s="33"/>
      <c r="V201" s="56"/>
      <c r="W201" s="33"/>
      <c r="X201" s="56"/>
      <c r="Y201" s="56"/>
      <c r="Z201" s="33"/>
      <c r="AA201" s="33"/>
      <c r="AB201" s="146"/>
      <c r="AC201" s="117"/>
      <c r="AD201" s="10"/>
      <c r="AE201" s="10"/>
      <c r="AF201" s="117"/>
      <c r="AG201" s="118"/>
      <c r="AH201" s="80"/>
      <c r="AI201" s="127"/>
      <c r="AJ201" s="111"/>
      <c r="AK201" s="111"/>
      <c r="AL201" s="112"/>
      <c r="AM201" s="112"/>
      <c r="AN201" s="80"/>
      <c r="AO201" s="12"/>
      <c r="AP201" s="10"/>
      <c r="AQ201" s="10"/>
      <c r="AR201" s="12"/>
      <c r="AS201" s="12"/>
      <c r="AT201" s="13"/>
      <c r="AU201" s="12"/>
      <c r="AV201" s="10"/>
      <c r="AW201" s="10"/>
      <c r="AX201" s="12"/>
      <c r="AY201" s="12"/>
      <c r="AZ201" s="32"/>
      <c r="BA201" s="12"/>
      <c r="BB201" s="10"/>
      <c r="BC201" s="10"/>
      <c r="BD201" s="12"/>
      <c r="BE201" s="12"/>
      <c r="BF201" s="48"/>
      <c r="BG201" s="12"/>
      <c r="BH201" s="10"/>
      <c r="BI201" s="10"/>
      <c r="BJ201" s="33"/>
      <c r="BK201" s="33"/>
      <c r="BL201" s="48"/>
      <c r="BM201" s="12"/>
      <c r="BN201" s="10"/>
      <c r="BO201" s="10"/>
      <c r="BP201" s="33"/>
      <c r="BQ201" s="33"/>
      <c r="BR201" s="48"/>
      <c r="BS201" s="12"/>
      <c r="BT201" s="10"/>
      <c r="BU201" s="10"/>
      <c r="BV201" s="33"/>
      <c r="BW201" s="33"/>
      <c r="BX201" s="48"/>
      <c r="BY201" s="12"/>
      <c r="BZ201" s="10"/>
      <c r="CA201" s="10"/>
      <c r="CB201" s="33"/>
      <c r="CC201" s="33"/>
      <c r="CD201" s="48"/>
      <c r="CE201" s="12"/>
    </row>
    <row r="202" spans="1:83" ht="80.25" customHeight="1">
      <c r="A202" s="20"/>
      <c r="B202" s="28"/>
      <c r="C202" s="30"/>
      <c r="D202" s="37"/>
      <c r="H202" s="29"/>
      <c r="I202" s="11"/>
      <c r="J202" s="56"/>
      <c r="K202" s="33"/>
      <c r="L202" s="10"/>
      <c r="M202" s="10"/>
      <c r="N202" s="33"/>
      <c r="O202" s="33"/>
      <c r="P202" s="56"/>
      <c r="Q202" s="33"/>
      <c r="R202" s="56"/>
      <c r="S202" s="56"/>
      <c r="T202" s="33"/>
      <c r="U202" s="33"/>
      <c r="V202" s="56"/>
      <c r="W202" s="33"/>
      <c r="X202" s="56"/>
      <c r="Y202" s="56"/>
      <c r="Z202" s="33"/>
      <c r="AA202" s="33"/>
      <c r="AB202" s="146"/>
      <c r="AC202" s="117"/>
      <c r="AD202" s="10"/>
      <c r="AE202" s="10"/>
      <c r="AF202" s="117"/>
      <c r="AG202" s="118"/>
      <c r="AH202" s="80"/>
      <c r="AI202" s="127"/>
      <c r="AJ202" s="111"/>
      <c r="AK202" s="111"/>
      <c r="AL202" s="112"/>
      <c r="AM202" s="112"/>
      <c r="AN202" s="80"/>
      <c r="AO202" s="12"/>
      <c r="AP202" s="10"/>
      <c r="AQ202" s="10"/>
      <c r="AR202" s="12"/>
      <c r="AS202" s="12"/>
      <c r="AT202" s="13"/>
      <c r="AU202" s="12"/>
      <c r="AV202" s="10"/>
      <c r="AW202" s="10"/>
      <c r="AX202" s="12"/>
      <c r="AY202" s="12"/>
      <c r="AZ202" s="32"/>
      <c r="BA202" s="12"/>
      <c r="BB202" s="10"/>
      <c r="BC202" s="10"/>
      <c r="BD202" s="12"/>
      <c r="BE202" s="12"/>
      <c r="BF202" s="48"/>
      <c r="BG202" s="12"/>
      <c r="BH202" s="10"/>
      <c r="BI202" s="10"/>
      <c r="BJ202" s="33"/>
      <c r="BK202" s="33"/>
      <c r="BL202" s="48"/>
      <c r="BM202" s="12"/>
      <c r="BN202" s="10"/>
      <c r="BO202" s="10"/>
      <c r="BP202" s="33"/>
      <c r="BQ202" s="33"/>
      <c r="BR202" s="48"/>
      <c r="BS202" s="12"/>
      <c r="BT202" s="10"/>
      <c r="BU202" s="10"/>
      <c r="BV202" s="33"/>
      <c r="BW202" s="33"/>
      <c r="BX202" s="48"/>
      <c r="BY202" s="12"/>
      <c r="BZ202" s="10"/>
      <c r="CA202" s="10"/>
      <c r="CB202" s="33"/>
      <c r="CC202" s="33"/>
      <c r="CD202" s="48"/>
      <c r="CE202" s="12"/>
    </row>
    <row r="203" spans="1:83" ht="80.25" customHeight="1">
      <c r="A203" s="20"/>
      <c r="B203" s="28"/>
      <c r="C203" s="27"/>
      <c r="D203" s="36"/>
      <c r="H203" s="29"/>
      <c r="I203" s="11"/>
      <c r="J203" s="56"/>
      <c r="K203" s="33"/>
      <c r="L203" s="10"/>
      <c r="M203" s="10"/>
      <c r="N203" s="33"/>
      <c r="O203" s="33"/>
      <c r="P203" s="56"/>
      <c r="Q203" s="33"/>
      <c r="R203" s="56"/>
      <c r="S203" s="56"/>
      <c r="T203" s="33"/>
      <c r="U203" s="33"/>
      <c r="V203" s="56"/>
      <c r="W203" s="33"/>
      <c r="X203" s="56"/>
      <c r="Y203" s="56"/>
      <c r="Z203" s="33"/>
      <c r="AA203" s="33"/>
      <c r="AB203" s="146"/>
      <c r="AC203" s="117"/>
      <c r="AD203" s="10"/>
      <c r="AE203" s="10"/>
      <c r="AF203" s="117"/>
      <c r="AG203" s="118"/>
      <c r="AH203" s="80"/>
      <c r="AI203" s="127"/>
      <c r="AJ203" s="111"/>
      <c r="AK203" s="111"/>
      <c r="AL203" s="112"/>
      <c r="AM203" s="112"/>
      <c r="AN203" s="80"/>
      <c r="AO203" s="12"/>
      <c r="AP203" s="10"/>
      <c r="AQ203" s="10"/>
      <c r="AR203" s="12"/>
      <c r="AS203" s="12"/>
      <c r="AT203" s="13"/>
      <c r="AU203" s="12"/>
      <c r="AV203" s="10"/>
      <c r="AW203" s="10"/>
      <c r="AX203" s="12"/>
      <c r="AY203" s="12"/>
      <c r="AZ203" s="32"/>
      <c r="BA203" s="12"/>
      <c r="BB203" s="10"/>
      <c r="BC203" s="10"/>
      <c r="BD203" s="12"/>
      <c r="BE203" s="12"/>
      <c r="BF203" s="48"/>
      <c r="BG203" s="12"/>
      <c r="BH203" s="10"/>
      <c r="BI203" s="10"/>
      <c r="BJ203" s="33"/>
      <c r="BK203" s="33"/>
      <c r="BL203" s="48"/>
      <c r="BM203" s="12"/>
      <c r="BN203" s="10"/>
      <c r="BO203" s="10"/>
      <c r="BP203" s="33"/>
      <c r="BQ203" s="33"/>
      <c r="BR203" s="48"/>
      <c r="BS203" s="12"/>
      <c r="BT203" s="10"/>
      <c r="BU203" s="10"/>
      <c r="BV203" s="33"/>
      <c r="BW203" s="33"/>
      <c r="BX203" s="48"/>
      <c r="BY203" s="12"/>
      <c r="BZ203" s="10"/>
      <c r="CA203" s="10"/>
      <c r="CB203" s="33"/>
      <c r="CC203" s="33"/>
      <c r="CD203" s="48"/>
      <c r="CE203" s="12"/>
    </row>
    <row r="204" spans="1:83" ht="80.25" customHeight="1">
      <c r="A204" s="20"/>
      <c r="B204" s="28"/>
      <c r="C204" s="27"/>
      <c r="D204" s="36"/>
      <c r="H204" s="29"/>
      <c r="I204" s="11"/>
      <c r="J204" s="56"/>
      <c r="K204" s="33"/>
      <c r="L204" s="10"/>
      <c r="M204" s="10"/>
      <c r="N204" s="33"/>
      <c r="O204" s="33"/>
      <c r="P204" s="56"/>
      <c r="Q204" s="33"/>
      <c r="R204" s="56"/>
      <c r="S204" s="56"/>
      <c r="T204" s="33"/>
      <c r="U204" s="33"/>
      <c r="V204" s="56"/>
      <c r="W204" s="33"/>
      <c r="X204" s="56"/>
      <c r="Y204" s="56"/>
      <c r="Z204" s="33"/>
      <c r="AA204" s="33"/>
      <c r="AB204" s="146"/>
      <c r="AC204" s="117"/>
      <c r="AD204" s="10"/>
      <c r="AE204" s="10"/>
      <c r="AF204" s="117"/>
      <c r="AG204" s="118"/>
      <c r="AH204" s="80"/>
      <c r="AI204" s="127"/>
      <c r="AJ204" s="111"/>
      <c r="AK204" s="111"/>
      <c r="AL204" s="112"/>
      <c r="AM204" s="112"/>
      <c r="AN204" s="80"/>
      <c r="AO204" s="12"/>
      <c r="AP204" s="10"/>
      <c r="AQ204" s="10"/>
      <c r="AR204" s="12"/>
      <c r="AS204" s="12"/>
      <c r="AT204" s="13"/>
      <c r="AU204" s="12"/>
      <c r="AV204" s="10"/>
      <c r="AW204" s="10"/>
      <c r="AX204" s="12"/>
      <c r="AY204" s="12"/>
      <c r="AZ204" s="32"/>
      <c r="BA204" s="12"/>
      <c r="BB204" s="10"/>
      <c r="BC204" s="10"/>
      <c r="BD204" s="12"/>
      <c r="BE204" s="12"/>
      <c r="BF204" s="48"/>
      <c r="BG204" s="12"/>
      <c r="BH204" s="10"/>
      <c r="BI204" s="10"/>
      <c r="BJ204" s="33"/>
      <c r="BK204" s="33"/>
      <c r="BL204" s="48"/>
      <c r="BM204" s="12"/>
      <c r="BN204" s="10"/>
      <c r="BO204" s="10"/>
      <c r="BP204" s="33"/>
      <c r="BQ204" s="33"/>
      <c r="BR204" s="48"/>
      <c r="BS204" s="12"/>
      <c r="BT204" s="10"/>
      <c r="BU204" s="10"/>
      <c r="BV204" s="33"/>
      <c r="BW204" s="33"/>
      <c r="BX204" s="48"/>
      <c r="BY204" s="12"/>
      <c r="BZ204" s="10"/>
      <c r="CA204" s="10"/>
      <c r="CB204" s="33"/>
      <c r="CC204" s="33"/>
      <c r="CD204" s="48"/>
      <c r="CE204" s="12"/>
    </row>
    <row r="205" spans="1:83" ht="80.25" customHeight="1">
      <c r="A205" s="20"/>
      <c r="B205" s="28"/>
      <c r="C205" s="27"/>
      <c r="D205" s="36"/>
      <c r="H205" s="29"/>
      <c r="I205" s="11"/>
      <c r="J205" s="56"/>
      <c r="K205" s="33"/>
      <c r="L205" s="10"/>
      <c r="M205" s="10"/>
      <c r="N205" s="33"/>
      <c r="O205" s="33"/>
      <c r="P205" s="56"/>
      <c r="Q205" s="33"/>
      <c r="R205" s="56"/>
      <c r="S205" s="56"/>
      <c r="T205" s="33"/>
      <c r="U205" s="33"/>
      <c r="V205" s="56"/>
      <c r="W205" s="33"/>
      <c r="X205" s="56"/>
      <c r="Y205" s="56"/>
      <c r="Z205" s="33"/>
      <c r="AA205" s="33"/>
      <c r="AB205" s="146"/>
      <c r="AC205" s="117"/>
      <c r="AD205" s="10"/>
      <c r="AE205" s="10"/>
      <c r="AF205" s="117"/>
      <c r="AG205" s="118"/>
      <c r="AH205" s="80"/>
      <c r="AI205" s="127"/>
      <c r="AJ205" s="111"/>
      <c r="AK205" s="111"/>
      <c r="AL205" s="112"/>
      <c r="AM205" s="112"/>
      <c r="AN205" s="80"/>
      <c r="AO205" s="12"/>
      <c r="AP205" s="10"/>
      <c r="AQ205" s="10"/>
      <c r="AR205" s="12"/>
      <c r="AS205" s="12"/>
      <c r="AT205" s="13"/>
      <c r="AU205" s="12"/>
      <c r="AV205" s="10"/>
      <c r="AW205" s="10"/>
      <c r="AX205" s="12"/>
      <c r="AY205" s="12"/>
      <c r="AZ205" s="32"/>
      <c r="BA205" s="12"/>
      <c r="BB205" s="10"/>
      <c r="BC205" s="10"/>
      <c r="BD205" s="12"/>
      <c r="BE205" s="12"/>
      <c r="BF205" s="48"/>
      <c r="BG205" s="12"/>
      <c r="BH205" s="10"/>
      <c r="BI205" s="10"/>
      <c r="BJ205" s="33"/>
      <c r="BK205" s="33"/>
      <c r="BL205" s="48"/>
      <c r="BM205" s="12"/>
      <c r="BN205" s="10"/>
      <c r="BO205" s="10"/>
      <c r="BP205" s="33"/>
      <c r="BQ205" s="33"/>
      <c r="BR205" s="48"/>
      <c r="BS205" s="12"/>
      <c r="BT205" s="10"/>
      <c r="BU205" s="10"/>
      <c r="BV205" s="33"/>
      <c r="BW205" s="33"/>
      <c r="BX205" s="48"/>
      <c r="BY205" s="12"/>
      <c r="BZ205" s="10"/>
      <c r="CA205" s="10"/>
      <c r="CB205" s="33"/>
      <c r="CC205" s="33"/>
      <c r="CD205" s="48"/>
      <c r="CE205" s="12"/>
    </row>
    <row r="206" spans="1:83" ht="80.25" customHeight="1">
      <c r="A206" s="20"/>
      <c r="B206" s="28"/>
      <c r="C206" s="30"/>
      <c r="D206" s="37"/>
      <c r="H206" s="29"/>
      <c r="I206" s="11"/>
      <c r="J206" s="56"/>
      <c r="K206" s="33"/>
      <c r="L206" s="10"/>
      <c r="M206" s="10"/>
      <c r="N206" s="33"/>
      <c r="O206" s="33"/>
      <c r="P206" s="56"/>
      <c r="Q206" s="33"/>
      <c r="R206" s="56"/>
      <c r="S206" s="56"/>
      <c r="T206" s="33"/>
      <c r="U206" s="33"/>
      <c r="V206" s="56"/>
      <c r="W206" s="33"/>
      <c r="X206" s="56"/>
      <c r="Y206" s="56"/>
      <c r="Z206" s="33"/>
      <c r="AA206" s="33"/>
      <c r="AB206" s="146"/>
      <c r="AC206" s="117"/>
      <c r="AD206" s="10"/>
      <c r="AE206" s="10"/>
      <c r="AF206" s="117"/>
      <c r="AG206" s="118"/>
      <c r="AH206" s="80"/>
      <c r="AI206" s="127"/>
      <c r="AJ206" s="111"/>
      <c r="AK206" s="111"/>
      <c r="AL206" s="112"/>
      <c r="AM206" s="112"/>
      <c r="AN206" s="80"/>
      <c r="AO206" s="12"/>
      <c r="AP206" s="10"/>
      <c r="AQ206" s="10"/>
      <c r="AR206" s="12"/>
      <c r="AS206" s="12"/>
      <c r="AT206" s="13"/>
      <c r="AU206" s="12"/>
      <c r="AV206" s="10"/>
      <c r="AW206" s="10"/>
      <c r="AX206" s="12"/>
      <c r="AY206" s="12"/>
      <c r="AZ206" s="32"/>
      <c r="BA206" s="12"/>
      <c r="BB206" s="10"/>
      <c r="BC206" s="10"/>
      <c r="BD206" s="12"/>
      <c r="BE206" s="12"/>
      <c r="BF206" s="48"/>
      <c r="BG206" s="12"/>
      <c r="BH206" s="10"/>
      <c r="BI206" s="10"/>
      <c r="BJ206" s="33"/>
      <c r="BK206" s="33"/>
      <c r="BL206" s="48"/>
      <c r="BM206" s="12"/>
      <c r="BN206" s="10"/>
      <c r="BO206" s="10"/>
      <c r="BP206" s="33"/>
      <c r="BQ206" s="33"/>
      <c r="BR206" s="48"/>
      <c r="BS206" s="12"/>
      <c r="BT206" s="10"/>
      <c r="BU206" s="10"/>
      <c r="BV206" s="33"/>
      <c r="BW206" s="33"/>
      <c r="BX206" s="48"/>
      <c r="BY206" s="12"/>
      <c r="BZ206" s="10"/>
      <c r="CA206" s="10"/>
      <c r="CB206" s="33"/>
      <c r="CC206" s="33"/>
      <c r="CD206" s="48"/>
      <c r="CE206" s="12"/>
    </row>
    <row r="207" spans="1:83" ht="80.25" customHeight="1">
      <c r="A207" s="20"/>
      <c r="B207" s="28"/>
      <c r="C207" s="27"/>
      <c r="D207" s="36"/>
      <c r="H207" s="29"/>
      <c r="I207" s="11"/>
      <c r="J207" s="56"/>
      <c r="K207" s="33"/>
      <c r="L207" s="10"/>
      <c r="M207" s="10"/>
      <c r="N207" s="33"/>
      <c r="O207" s="33"/>
      <c r="P207" s="56"/>
      <c r="Q207" s="33"/>
      <c r="R207" s="56"/>
      <c r="S207" s="56"/>
      <c r="T207" s="33"/>
      <c r="U207" s="33"/>
      <c r="V207" s="56"/>
      <c r="W207" s="33"/>
      <c r="X207" s="56"/>
      <c r="Y207" s="56"/>
      <c r="Z207" s="33"/>
      <c r="AA207" s="33"/>
      <c r="AB207" s="146"/>
      <c r="AC207" s="117"/>
      <c r="AD207" s="10"/>
      <c r="AE207" s="10"/>
      <c r="AF207" s="117"/>
      <c r="AG207" s="118"/>
      <c r="AH207" s="80"/>
      <c r="AI207" s="127"/>
      <c r="AJ207" s="111"/>
      <c r="AK207" s="111"/>
      <c r="AL207" s="112"/>
      <c r="AM207" s="112"/>
      <c r="AN207" s="80"/>
      <c r="AO207" s="12"/>
      <c r="AP207" s="10"/>
      <c r="AQ207" s="10"/>
      <c r="AR207" s="12"/>
      <c r="AS207" s="12"/>
      <c r="AT207" s="13"/>
      <c r="AU207" s="12"/>
      <c r="AV207" s="10"/>
      <c r="AW207" s="10"/>
      <c r="AX207" s="12"/>
      <c r="AY207" s="12"/>
      <c r="AZ207" s="32"/>
      <c r="BA207" s="12"/>
      <c r="BB207" s="10"/>
      <c r="BC207" s="10"/>
      <c r="BD207" s="12"/>
      <c r="BE207" s="12"/>
      <c r="BF207" s="48"/>
      <c r="BG207" s="12"/>
      <c r="BH207" s="10"/>
      <c r="BI207" s="10"/>
      <c r="BJ207" s="33"/>
      <c r="BK207" s="33"/>
      <c r="BL207" s="48"/>
      <c r="BM207" s="12"/>
      <c r="BN207" s="10"/>
      <c r="BO207" s="10"/>
      <c r="BP207" s="33"/>
      <c r="BQ207" s="33"/>
      <c r="BR207" s="48"/>
      <c r="BS207" s="12"/>
      <c r="BT207" s="10"/>
      <c r="BU207" s="10"/>
      <c r="BV207" s="33"/>
      <c r="BW207" s="33"/>
      <c r="BX207" s="48"/>
      <c r="BY207" s="12"/>
      <c r="BZ207" s="10"/>
      <c r="CA207" s="10"/>
      <c r="CB207" s="33"/>
      <c r="CC207" s="33"/>
      <c r="CD207" s="48"/>
      <c r="CE207" s="12"/>
    </row>
    <row r="208" spans="1:83" ht="80.25" customHeight="1">
      <c r="A208" s="20"/>
      <c r="B208" s="28"/>
      <c r="C208" s="27"/>
      <c r="D208" s="36"/>
      <c r="H208" s="29"/>
      <c r="I208" s="11"/>
      <c r="J208" s="56"/>
      <c r="K208" s="33"/>
      <c r="L208" s="10"/>
      <c r="M208" s="10"/>
      <c r="N208" s="33"/>
      <c r="O208" s="33"/>
      <c r="P208" s="56"/>
      <c r="Q208" s="33"/>
      <c r="R208" s="56"/>
      <c r="S208" s="56"/>
      <c r="T208" s="33"/>
      <c r="U208" s="33"/>
      <c r="V208" s="56"/>
      <c r="W208" s="33"/>
      <c r="X208" s="56"/>
      <c r="Y208" s="56"/>
      <c r="Z208" s="33"/>
      <c r="AA208" s="33"/>
      <c r="AB208" s="146"/>
      <c r="AC208" s="117"/>
      <c r="AD208" s="10"/>
      <c r="AE208" s="10"/>
      <c r="AF208" s="117"/>
      <c r="AG208" s="118"/>
      <c r="AH208" s="80"/>
      <c r="AI208" s="127"/>
      <c r="AJ208" s="111"/>
      <c r="AK208" s="111"/>
      <c r="AL208" s="112"/>
      <c r="AM208" s="112"/>
      <c r="AN208" s="80"/>
      <c r="AO208" s="12"/>
      <c r="AP208" s="10"/>
      <c r="AQ208" s="10"/>
      <c r="AR208" s="12"/>
      <c r="AS208" s="12"/>
      <c r="AT208" s="13"/>
      <c r="AU208" s="12"/>
      <c r="AV208" s="10"/>
      <c r="AW208" s="10"/>
      <c r="AX208" s="12"/>
      <c r="AY208" s="12"/>
      <c r="AZ208" s="32"/>
      <c r="BA208" s="12"/>
      <c r="BB208" s="10"/>
      <c r="BC208" s="10"/>
      <c r="BD208" s="12"/>
      <c r="BE208" s="12"/>
      <c r="BF208" s="48"/>
      <c r="BG208" s="12"/>
      <c r="BH208" s="10"/>
      <c r="BI208" s="10"/>
      <c r="BJ208" s="33"/>
      <c r="BK208" s="33"/>
      <c r="BL208" s="48"/>
      <c r="BM208" s="12"/>
      <c r="BN208" s="10"/>
      <c r="BO208" s="10"/>
      <c r="BP208" s="33"/>
      <c r="BQ208" s="33"/>
      <c r="BR208" s="48"/>
      <c r="BS208" s="12"/>
      <c r="BT208" s="10"/>
      <c r="BU208" s="10"/>
      <c r="BV208" s="33"/>
      <c r="BW208" s="33"/>
      <c r="BX208" s="48"/>
      <c r="BY208" s="12"/>
      <c r="BZ208" s="10"/>
      <c r="CA208" s="10"/>
      <c r="CB208" s="33"/>
      <c r="CC208" s="33"/>
      <c r="CD208" s="48"/>
      <c r="CE208" s="12"/>
    </row>
    <row r="209" spans="1:84" ht="80.25" customHeight="1">
      <c r="A209" s="20"/>
      <c r="B209" s="28"/>
      <c r="C209" s="27"/>
      <c r="D209" s="36"/>
      <c r="H209" s="29"/>
      <c r="I209" s="11"/>
      <c r="J209" s="56"/>
      <c r="K209" s="33"/>
      <c r="L209" s="10"/>
      <c r="M209" s="10"/>
      <c r="N209" s="33"/>
      <c r="O209" s="33"/>
      <c r="P209" s="56"/>
      <c r="Q209" s="33"/>
      <c r="R209" s="56"/>
      <c r="S209" s="56"/>
      <c r="T209" s="33"/>
      <c r="U209" s="33"/>
      <c r="V209" s="56"/>
      <c r="W209" s="33"/>
      <c r="X209" s="56"/>
      <c r="Y209" s="56"/>
      <c r="Z209" s="33"/>
      <c r="AA209" s="33"/>
      <c r="AB209" s="146"/>
      <c r="AC209" s="117"/>
      <c r="AD209" s="10"/>
      <c r="AE209" s="10"/>
      <c r="AF209" s="117"/>
      <c r="AG209" s="118"/>
      <c r="AH209" s="80"/>
      <c r="AI209" s="127"/>
      <c r="AJ209" s="111"/>
      <c r="AK209" s="111"/>
      <c r="AL209" s="112"/>
      <c r="AM209" s="112"/>
      <c r="AN209" s="80"/>
      <c r="AO209" s="12"/>
      <c r="AP209" s="10"/>
      <c r="AQ209" s="10"/>
      <c r="AR209" s="12"/>
      <c r="AS209" s="12"/>
      <c r="AT209" s="13"/>
      <c r="AU209" s="12"/>
      <c r="AV209" s="10"/>
      <c r="AW209" s="10"/>
      <c r="AX209" s="12"/>
      <c r="AY209" s="12"/>
      <c r="AZ209" s="32"/>
      <c r="BA209" s="12"/>
      <c r="BB209" s="10"/>
      <c r="BC209" s="10"/>
      <c r="BD209" s="12"/>
      <c r="BE209" s="12"/>
      <c r="BF209" s="48"/>
      <c r="BG209" s="12"/>
      <c r="BH209" s="10"/>
      <c r="BI209" s="10"/>
      <c r="BJ209" s="33"/>
      <c r="BK209" s="33"/>
      <c r="BL209" s="48"/>
      <c r="BM209" s="12"/>
      <c r="BN209" s="10"/>
      <c r="BO209" s="10"/>
      <c r="BP209" s="33"/>
      <c r="BQ209" s="33"/>
      <c r="BR209" s="48"/>
      <c r="BS209" s="12"/>
      <c r="BT209" s="10"/>
      <c r="BU209" s="10"/>
      <c r="BV209" s="33"/>
      <c r="BW209" s="33"/>
      <c r="BX209" s="48"/>
      <c r="BY209" s="12"/>
      <c r="BZ209" s="10"/>
      <c r="CA209" s="10"/>
      <c r="CB209" s="33"/>
      <c r="CC209" s="33"/>
      <c r="CD209" s="48"/>
      <c r="CE209" s="12"/>
    </row>
    <row r="210" spans="1:84" ht="80.25" customHeight="1">
      <c r="A210" s="20"/>
      <c r="B210" s="28"/>
      <c r="C210" s="30"/>
      <c r="D210" s="37"/>
      <c r="H210" s="29"/>
      <c r="I210" s="11"/>
      <c r="J210" s="56"/>
      <c r="K210" s="33"/>
      <c r="L210" s="10"/>
      <c r="M210" s="10"/>
      <c r="N210" s="33"/>
      <c r="O210" s="33"/>
      <c r="P210" s="56"/>
      <c r="Q210" s="33"/>
      <c r="R210" s="56"/>
      <c r="S210" s="56"/>
      <c r="T210" s="33"/>
      <c r="U210" s="33"/>
      <c r="V210" s="56"/>
      <c r="W210" s="33"/>
      <c r="X210" s="56"/>
      <c r="Y210" s="56"/>
      <c r="Z210" s="33"/>
      <c r="AA210" s="33"/>
      <c r="AB210" s="146"/>
      <c r="AC210" s="117"/>
      <c r="AD210" s="10"/>
      <c r="AE210" s="10"/>
      <c r="AF210" s="117"/>
      <c r="AG210" s="118"/>
      <c r="AH210" s="80"/>
      <c r="AI210" s="127"/>
      <c r="AJ210" s="111"/>
      <c r="AK210" s="111"/>
      <c r="AL210" s="112"/>
      <c r="AM210" s="112"/>
      <c r="AN210" s="80"/>
      <c r="AO210" s="12"/>
      <c r="AP210" s="10"/>
      <c r="AQ210" s="10"/>
      <c r="AR210" s="12"/>
      <c r="AS210" s="12"/>
      <c r="AT210" s="13"/>
      <c r="AU210" s="12"/>
      <c r="AV210" s="10"/>
      <c r="AW210" s="10"/>
      <c r="AX210" s="12"/>
      <c r="AY210" s="12"/>
      <c r="AZ210" s="32"/>
      <c r="BA210" s="12"/>
      <c r="BB210" s="10"/>
      <c r="BC210" s="10"/>
      <c r="BD210" s="12"/>
      <c r="BE210" s="12"/>
      <c r="BF210" s="48"/>
      <c r="BG210" s="12"/>
      <c r="BH210" s="10"/>
      <c r="BI210" s="10"/>
      <c r="BJ210" s="33"/>
      <c r="BK210" s="33"/>
      <c r="BL210" s="48"/>
      <c r="BM210" s="12"/>
      <c r="BN210" s="10"/>
      <c r="BO210" s="10"/>
      <c r="BP210" s="33"/>
      <c r="BQ210" s="33"/>
      <c r="BR210" s="48"/>
      <c r="BS210" s="12"/>
      <c r="BT210" s="10"/>
      <c r="BU210" s="10"/>
      <c r="BV210" s="33"/>
      <c r="BW210" s="33"/>
      <c r="BX210" s="48"/>
      <c r="BY210" s="12"/>
      <c r="BZ210" s="10"/>
      <c r="CA210" s="10"/>
      <c r="CB210" s="33"/>
      <c r="CC210" s="33"/>
      <c r="CD210" s="48"/>
      <c r="CE210" s="12"/>
    </row>
    <row r="211" spans="1:84" ht="80.25" customHeight="1">
      <c r="A211" s="20"/>
      <c r="B211" s="28"/>
      <c r="C211" s="30"/>
      <c r="D211" s="37"/>
      <c r="H211" s="29"/>
      <c r="I211" s="11"/>
      <c r="J211" s="56"/>
      <c r="K211" s="33"/>
      <c r="L211" s="10"/>
      <c r="M211" s="10"/>
      <c r="N211" s="33"/>
      <c r="O211" s="33"/>
      <c r="P211" s="56"/>
      <c r="Q211" s="33"/>
      <c r="R211" s="56"/>
      <c r="S211" s="56"/>
      <c r="T211" s="33"/>
      <c r="U211" s="33"/>
      <c r="V211" s="56"/>
      <c r="W211" s="33"/>
      <c r="X211" s="56"/>
      <c r="Y211" s="56"/>
      <c r="Z211" s="33"/>
      <c r="AA211" s="33"/>
      <c r="AB211" s="146"/>
      <c r="AC211" s="117"/>
      <c r="AD211" s="10"/>
      <c r="AE211" s="10"/>
      <c r="AF211" s="117"/>
      <c r="AG211" s="118"/>
      <c r="AH211" s="80"/>
      <c r="AI211" s="127"/>
      <c r="AJ211" s="111"/>
      <c r="AK211" s="111"/>
      <c r="AL211" s="112"/>
      <c r="AM211" s="112"/>
      <c r="AN211" s="80"/>
      <c r="AO211" s="12"/>
      <c r="AP211" s="10"/>
      <c r="AQ211" s="10"/>
      <c r="AR211" s="12"/>
      <c r="AS211" s="12"/>
      <c r="AT211" s="13"/>
      <c r="AU211" s="12"/>
      <c r="AV211" s="10"/>
      <c r="AW211" s="10"/>
      <c r="AX211" s="12"/>
      <c r="AY211" s="12"/>
      <c r="AZ211" s="32"/>
      <c r="BA211" s="12"/>
      <c r="BB211" s="10"/>
      <c r="BC211" s="10"/>
      <c r="BD211" s="12"/>
      <c r="BE211" s="12"/>
      <c r="BF211" s="48"/>
      <c r="BG211" s="12"/>
      <c r="BH211" s="10"/>
      <c r="BI211" s="10"/>
      <c r="BJ211" s="33"/>
      <c r="BK211" s="33"/>
      <c r="BL211" s="48"/>
      <c r="BM211" s="12"/>
      <c r="BN211" s="10"/>
      <c r="BO211" s="10"/>
      <c r="BP211" s="33"/>
      <c r="BQ211" s="33"/>
      <c r="BR211" s="48"/>
      <c r="BS211" s="12"/>
      <c r="BT211" s="10"/>
      <c r="BU211" s="10"/>
      <c r="BV211" s="33"/>
      <c r="BW211" s="33"/>
      <c r="BX211" s="48"/>
      <c r="BY211" s="12"/>
      <c r="BZ211" s="10"/>
      <c r="CA211" s="10"/>
      <c r="CB211" s="33"/>
      <c r="CC211" s="33"/>
      <c r="CD211" s="48"/>
      <c r="CE211" s="12"/>
    </row>
    <row r="212" spans="1:84" ht="80.25" customHeight="1">
      <c r="A212" s="20"/>
      <c r="B212" s="28"/>
      <c r="C212" s="27"/>
      <c r="D212" s="36"/>
      <c r="H212" s="29"/>
      <c r="I212" s="11"/>
      <c r="J212" s="56"/>
      <c r="K212" s="33"/>
      <c r="L212" s="10"/>
      <c r="M212" s="10"/>
      <c r="N212" s="33"/>
      <c r="O212" s="33"/>
      <c r="P212" s="56"/>
      <c r="Q212" s="33"/>
      <c r="R212" s="56"/>
      <c r="S212" s="56"/>
      <c r="T212" s="33"/>
      <c r="U212" s="33"/>
      <c r="V212" s="56"/>
      <c r="W212" s="33"/>
      <c r="X212" s="56"/>
      <c r="Y212" s="56"/>
      <c r="Z212" s="33"/>
      <c r="AA212" s="33"/>
      <c r="AB212" s="146"/>
      <c r="AC212" s="117"/>
      <c r="AD212" s="10"/>
      <c r="AE212" s="10"/>
      <c r="AF212" s="117"/>
      <c r="AG212" s="118"/>
      <c r="AH212" s="80"/>
      <c r="AI212" s="127"/>
      <c r="AJ212" s="111"/>
      <c r="AK212" s="111"/>
      <c r="AL212" s="112"/>
      <c r="AM212" s="112"/>
      <c r="AN212" s="80"/>
      <c r="AO212" s="12"/>
      <c r="AP212" s="10"/>
      <c r="AQ212" s="10"/>
      <c r="AR212" s="12"/>
      <c r="AS212" s="12"/>
      <c r="AT212" s="13"/>
      <c r="AU212" s="12"/>
      <c r="AV212" s="10"/>
      <c r="AW212" s="10"/>
      <c r="AX212" s="12"/>
      <c r="AY212" s="12"/>
      <c r="AZ212" s="32"/>
      <c r="BA212" s="12"/>
      <c r="BB212" s="10"/>
      <c r="BC212" s="10"/>
      <c r="BD212" s="12"/>
      <c r="BE212" s="12"/>
      <c r="BF212" s="48"/>
      <c r="BG212" s="12"/>
      <c r="BH212" s="10"/>
      <c r="BI212" s="10"/>
      <c r="BJ212" s="33"/>
      <c r="BK212" s="33"/>
      <c r="BL212" s="48"/>
      <c r="BM212" s="12"/>
      <c r="BN212" s="10"/>
      <c r="BO212" s="10"/>
      <c r="BP212" s="33"/>
      <c r="BQ212" s="33"/>
      <c r="BR212" s="48"/>
      <c r="BS212" s="12"/>
      <c r="BT212" s="10"/>
      <c r="BU212" s="10"/>
      <c r="BV212" s="33"/>
      <c r="BW212" s="33"/>
      <c r="BX212" s="48"/>
      <c r="BY212" s="12"/>
      <c r="BZ212" s="10"/>
      <c r="CA212" s="10"/>
      <c r="CB212" s="33"/>
      <c r="CC212" s="33"/>
      <c r="CD212" s="48"/>
      <c r="CE212" s="12"/>
    </row>
    <row r="213" spans="1:84" ht="80.25" customHeight="1" thickBot="1">
      <c r="A213" s="40"/>
      <c r="B213" s="28"/>
      <c r="C213" s="44"/>
      <c r="D213" s="37"/>
      <c r="H213" s="45"/>
      <c r="I213" s="46"/>
      <c r="J213" s="56"/>
      <c r="K213" s="33"/>
      <c r="L213" s="10"/>
      <c r="M213" s="10"/>
      <c r="N213" s="33"/>
      <c r="O213" s="41"/>
      <c r="P213" s="58"/>
      <c r="Q213" s="41"/>
      <c r="R213" s="56"/>
      <c r="S213" s="56"/>
      <c r="T213" s="33"/>
      <c r="U213" s="41"/>
      <c r="V213" s="56"/>
      <c r="W213" s="41"/>
      <c r="X213" s="56"/>
      <c r="Y213" s="56"/>
      <c r="Z213" s="33"/>
      <c r="AA213" s="41"/>
      <c r="AB213" s="147"/>
      <c r="AC213" s="117"/>
      <c r="AD213" s="10"/>
      <c r="AE213" s="10"/>
      <c r="AF213" s="117"/>
      <c r="AG213" s="118"/>
      <c r="AH213" s="80"/>
      <c r="AI213" s="127"/>
      <c r="AJ213" s="111"/>
      <c r="AK213" s="111"/>
      <c r="AL213" s="112"/>
      <c r="AM213" s="112"/>
      <c r="AN213" s="80"/>
      <c r="AO213" s="12"/>
      <c r="AP213" s="10"/>
      <c r="AQ213" s="10"/>
      <c r="AR213" s="12"/>
      <c r="AS213" s="12"/>
      <c r="AT213" s="13"/>
      <c r="AU213" s="12"/>
      <c r="AV213" s="10"/>
      <c r="AW213" s="10"/>
      <c r="AX213" s="12"/>
      <c r="AY213" s="12"/>
      <c r="AZ213" s="32"/>
      <c r="BA213" s="12"/>
      <c r="BB213" s="10"/>
      <c r="BC213" s="10"/>
      <c r="BD213" s="12"/>
      <c r="BE213" s="12"/>
      <c r="BF213" s="49"/>
      <c r="BG213" s="12"/>
      <c r="BH213" s="10"/>
      <c r="BI213" s="10"/>
      <c r="BJ213" s="41"/>
      <c r="BK213" s="41"/>
      <c r="BL213" s="49"/>
      <c r="BM213" s="12"/>
      <c r="BN213" s="10"/>
      <c r="BO213" s="10"/>
      <c r="BP213" s="41"/>
      <c r="BQ213" s="41"/>
      <c r="BR213" s="49"/>
      <c r="BS213" s="12"/>
      <c r="BT213" s="10"/>
      <c r="BU213" s="10"/>
      <c r="BV213" s="41"/>
      <c r="BW213" s="41"/>
      <c r="BX213" s="49"/>
      <c r="BY213" s="12"/>
      <c r="BZ213" s="10"/>
      <c r="CA213" s="10"/>
      <c r="CB213" s="41"/>
      <c r="CC213" s="41"/>
      <c r="CD213" s="49"/>
      <c r="CE213" s="12"/>
    </row>
    <row r="214" spans="1:84" ht="63.75" customHeight="1" thickBot="1">
      <c r="A214" s="35"/>
      <c r="B214" s="35"/>
      <c r="C214" s="35"/>
      <c r="D214" s="35"/>
      <c r="H214" s="35"/>
      <c r="I214" s="38"/>
      <c r="J214" s="57"/>
      <c r="K214" s="84">
        <f>SUM(K5:K213)</f>
        <v>0</v>
      </c>
      <c r="L214" s="83">
        <f>SUM(L5:L213)</f>
        <v>0</v>
      </c>
      <c r="M214" s="83">
        <f>SUM(M5:M213)</f>
        <v>0</v>
      </c>
      <c r="N214" s="91">
        <f>SUM(N5:N213)</f>
        <v>0</v>
      </c>
      <c r="O214" s="91">
        <f>SUM(O5:O213)</f>
        <v>0</v>
      </c>
      <c r="P214" s="74"/>
      <c r="Q214" s="86">
        <f t="shared" ref="Q214:AH214" si="0">SUM(Q5:Q213)</f>
        <v>0</v>
      </c>
      <c r="R214" s="89">
        <f t="shared" si="0"/>
        <v>0</v>
      </c>
      <c r="S214" s="90">
        <f t="shared" si="0"/>
        <v>0</v>
      </c>
      <c r="T214" s="92">
        <f t="shared" si="0"/>
        <v>0</v>
      </c>
      <c r="U214" s="86">
        <f t="shared" si="0"/>
        <v>0</v>
      </c>
      <c r="V214" s="96">
        <f t="shared" si="0"/>
        <v>0</v>
      </c>
      <c r="W214" s="87">
        <f t="shared" si="0"/>
        <v>0</v>
      </c>
      <c r="X214" s="95">
        <f t="shared" si="0"/>
        <v>0</v>
      </c>
      <c r="Y214" s="94">
        <f t="shared" si="0"/>
        <v>0</v>
      </c>
      <c r="Z214" s="88">
        <f t="shared" si="0"/>
        <v>0</v>
      </c>
      <c r="AA214" s="92">
        <f t="shared" si="0"/>
        <v>0</v>
      </c>
      <c r="AB214" s="85">
        <f t="shared" si="0"/>
        <v>0</v>
      </c>
      <c r="AC214" s="120">
        <f t="shared" si="0"/>
        <v>0</v>
      </c>
      <c r="AD214" s="93">
        <f t="shared" si="0"/>
        <v>0</v>
      </c>
      <c r="AE214" s="94">
        <f t="shared" si="0"/>
        <v>0</v>
      </c>
      <c r="AF214" s="119">
        <f t="shared" si="0"/>
        <v>0</v>
      </c>
      <c r="AG214" s="120">
        <f t="shared" si="0"/>
        <v>0</v>
      </c>
      <c r="AH214" s="85">
        <f t="shared" si="0"/>
        <v>0</v>
      </c>
      <c r="AI214" s="120">
        <f>SUM(AI4:AI213)</f>
        <v>0</v>
      </c>
      <c r="AJ214" s="85">
        <f>SUM(AJ5:AJ213)</f>
        <v>0</v>
      </c>
      <c r="AK214" s="85">
        <f>SUM(AK5:AK213)</f>
        <v>0</v>
      </c>
      <c r="AL214" s="129">
        <f>SUM(AL5:AL213)</f>
        <v>0</v>
      </c>
      <c r="AM214" s="120">
        <f>SUM(AM5:AM213)</f>
        <v>0</v>
      </c>
      <c r="AN214" s="104">
        <f>SUM(AN5:AN213)</f>
        <v>0</v>
      </c>
      <c r="AO214" s="103">
        <f>SUM(AO4:AO213)</f>
        <v>0</v>
      </c>
      <c r="AP214" s="85">
        <f>SUM(AP5:AP213)</f>
        <v>0</v>
      </c>
      <c r="AQ214" s="85">
        <f>SUM(AQ5:AQ213)</f>
        <v>0</v>
      </c>
      <c r="AR214" s="103">
        <f>SUM(AR5:AR213)</f>
        <v>0</v>
      </c>
      <c r="AS214" s="106">
        <f>SUM(AS5:AS213)</f>
        <v>0</v>
      </c>
      <c r="AT214" s="85">
        <f>SUM(AT5:AT213)</f>
        <v>0</v>
      </c>
      <c r="AU214" s="103">
        <f>SUM(AU4:AU213)</f>
        <v>0</v>
      </c>
      <c r="AV214" s="85">
        <f>SUM(AV5:AV213)</f>
        <v>0</v>
      </c>
      <c r="AW214" s="85">
        <f>SUM(AW5:AW213)</f>
        <v>0</v>
      </c>
      <c r="AX214" s="107">
        <f>SUM(AX5:AX213)</f>
        <v>0</v>
      </c>
      <c r="AY214" s="103">
        <f>SUM(AY5:AY213)</f>
        <v>0</v>
      </c>
      <c r="AZ214" s="102"/>
      <c r="BA214" s="103">
        <f>SUM(BA5:BA213)</f>
        <v>0</v>
      </c>
      <c r="BB214" s="85">
        <f>SUM(BB5:BB213)</f>
        <v>0</v>
      </c>
      <c r="BC214" s="85">
        <f>SUM(BC5:BC213)</f>
        <v>0</v>
      </c>
      <c r="BD214" s="107">
        <f>SUM(BD5:BD213)</f>
        <v>0</v>
      </c>
      <c r="BE214" s="103">
        <f>SUM(BE5:BE213)</f>
        <v>0</v>
      </c>
      <c r="BF214" s="102"/>
      <c r="BG214" s="103">
        <f>SUM(BG4:BG213)</f>
        <v>0</v>
      </c>
      <c r="BH214" s="85">
        <f>SUM(BH5:BH213)</f>
        <v>0</v>
      </c>
      <c r="BI214" s="85">
        <f>SUM(BI5:BI213)</f>
        <v>0</v>
      </c>
      <c r="BJ214" s="107">
        <f>SUM(BJ5:BJ213)</f>
        <v>0</v>
      </c>
      <c r="BK214" s="103">
        <f>SUM(BK5:BK213)</f>
        <v>0</v>
      </c>
      <c r="BL214" s="102"/>
      <c r="BM214" s="103">
        <f>SUM(BM4:BM213)</f>
        <v>0</v>
      </c>
      <c r="BN214" s="85">
        <f>SUM(BN5:BN213)</f>
        <v>0</v>
      </c>
      <c r="BO214" s="85">
        <f>SUM(BO5:BO213)</f>
        <v>0</v>
      </c>
      <c r="BP214" s="107">
        <f>SUM(BP5:BP213)</f>
        <v>0</v>
      </c>
      <c r="BQ214" s="103">
        <f>SUM(BQ5:BQ213)</f>
        <v>0</v>
      </c>
      <c r="BR214" s="102"/>
      <c r="BS214" s="103">
        <f>SUM(BS4:BS213)</f>
        <v>0</v>
      </c>
      <c r="BT214" s="85">
        <f>SUM(BT5:BT213)</f>
        <v>0</v>
      </c>
      <c r="BU214" s="85">
        <f>SUM(BU5:BU213)</f>
        <v>0</v>
      </c>
      <c r="BV214" s="107">
        <f>SUM(BV5:BV213)</f>
        <v>0</v>
      </c>
      <c r="BW214" s="103">
        <f>SUM(BW5:BW213)</f>
        <v>0</v>
      </c>
      <c r="BX214" s="102"/>
      <c r="BY214" s="103">
        <f>SUM(BY4:BY213)</f>
        <v>0</v>
      </c>
      <c r="BZ214" s="85">
        <f>SUM(BZ5:BZ213)</f>
        <v>0</v>
      </c>
      <c r="CA214" s="85">
        <f>SUM(CA5:CA213)</f>
        <v>0</v>
      </c>
      <c r="CB214" s="103">
        <f>SUM(CB5:CB213)</f>
        <v>0</v>
      </c>
      <c r="CC214" s="132">
        <f>SUM(CC5:CC213)</f>
        <v>0</v>
      </c>
      <c r="CD214" s="35"/>
      <c r="CE214" s="54"/>
    </row>
    <row r="215" spans="1:84" ht="57" customHeight="1">
      <c r="A215" s="28"/>
      <c r="B215" s="28"/>
      <c r="C215" s="36"/>
      <c r="D215" s="36"/>
      <c r="H215" s="81"/>
      <c r="I215" s="82">
        <f>SUM(I5:I213)</f>
        <v>37</v>
      </c>
      <c r="P215" s="57"/>
      <c r="AB215" s="37"/>
      <c r="AC215" s="121"/>
      <c r="AD215" s="39"/>
      <c r="AE215" s="39"/>
      <c r="AF215" s="121"/>
      <c r="AG215" s="122"/>
      <c r="AH215" s="60"/>
      <c r="AI215" s="130"/>
      <c r="AJ215" s="99"/>
      <c r="AK215" s="60"/>
      <c r="AL215" s="130"/>
      <c r="AM215" s="130"/>
      <c r="AN215" s="100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101"/>
      <c r="CE215" s="62">
        <f>SUM(CE5:CE213)</f>
        <v>0</v>
      </c>
    </row>
    <row r="216" spans="1:84" ht="80.25" customHeight="1">
      <c r="A216" s="35"/>
      <c r="B216" s="35"/>
      <c r="C216" s="35"/>
      <c r="D216" s="35"/>
      <c r="E216" s="1"/>
      <c r="F216" s="1"/>
      <c r="G216" s="1"/>
      <c r="H216" s="35"/>
      <c r="I216" s="38"/>
      <c r="J216" s="57"/>
      <c r="K216" s="38"/>
      <c r="L216" s="15"/>
      <c r="M216" s="15"/>
      <c r="N216" s="38"/>
      <c r="O216" s="38"/>
      <c r="P216" s="57"/>
      <c r="Q216" s="38"/>
      <c r="R216" s="15"/>
      <c r="S216" s="57"/>
      <c r="T216" s="38"/>
      <c r="U216" s="38"/>
      <c r="V216" s="57"/>
      <c r="W216" s="38"/>
      <c r="X216" s="15"/>
      <c r="Y216" s="15"/>
      <c r="Z216" s="38"/>
      <c r="AA216" s="38"/>
      <c r="AB216" s="108"/>
      <c r="AC216" s="123"/>
      <c r="AD216" s="15"/>
      <c r="AE216" s="15"/>
      <c r="AF216" s="123"/>
      <c r="AG216" s="121"/>
      <c r="AH216" s="108"/>
      <c r="AI216" s="131"/>
      <c r="AJ216" s="109"/>
      <c r="AK216" s="109"/>
      <c r="AL216" s="131"/>
      <c r="AM216" s="131"/>
      <c r="AN216" s="108"/>
      <c r="AO216" s="38"/>
      <c r="AP216" s="15"/>
      <c r="AQ216" s="15"/>
      <c r="AR216" s="38"/>
      <c r="AS216" s="38"/>
      <c r="AT216" s="110">
        <f t="shared" ref="AT216" si="1">AN216-AP216+AQ216</f>
        <v>0</v>
      </c>
      <c r="AU216" s="38"/>
      <c r="AV216" s="15"/>
      <c r="AW216" s="15"/>
      <c r="AX216" s="38"/>
      <c r="AY216" s="38"/>
      <c r="AZ216" s="110"/>
      <c r="BA216" s="38"/>
      <c r="BB216" s="15"/>
      <c r="BC216" s="15"/>
      <c r="BD216" s="38"/>
      <c r="BE216" s="38"/>
      <c r="BF216" s="110"/>
      <c r="BG216" s="38"/>
      <c r="BH216" s="15"/>
      <c r="BI216" s="15"/>
      <c r="BJ216" s="38"/>
      <c r="BK216" s="38"/>
      <c r="BL216" s="110"/>
      <c r="BM216" s="38"/>
      <c r="BN216" s="15"/>
      <c r="BO216" s="15"/>
      <c r="BP216" s="38"/>
      <c r="BQ216" s="38"/>
      <c r="BR216" s="110"/>
      <c r="BS216" s="38"/>
      <c r="BT216" s="15"/>
      <c r="BU216" s="15"/>
      <c r="BV216" s="38"/>
      <c r="BW216" s="38"/>
      <c r="BX216" s="110"/>
      <c r="BY216" s="38"/>
      <c r="BZ216" s="15"/>
      <c r="CA216" s="15"/>
      <c r="CB216" s="38"/>
      <c r="CC216" s="38"/>
      <c r="CD216" s="35"/>
      <c r="CE216" s="38"/>
      <c r="CF216" s="1"/>
    </row>
    <row r="217" spans="1:84" ht="80.25" customHeight="1">
      <c r="A217" s="35"/>
      <c r="B217" s="28"/>
      <c r="C217" s="37"/>
      <c r="D217" s="37"/>
      <c r="H217" s="37"/>
      <c r="I217" s="38"/>
      <c r="J217" s="57"/>
      <c r="K217" s="39"/>
      <c r="L217" s="15"/>
      <c r="M217" s="15"/>
      <c r="N217" s="39"/>
      <c r="O217" s="39"/>
      <c r="P217" s="57"/>
      <c r="Q217" s="39"/>
      <c r="R217" s="57"/>
      <c r="S217" s="57"/>
      <c r="T217" s="39"/>
      <c r="U217" s="39"/>
      <c r="V217" s="57"/>
      <c r="W217" s="39"/>
      <c r="X217" s="57"/>
      <c r="Y217" s="57"/>
      <c r="Z217" s="39"/>
      <c r="AA217" s="39"/>
      <c r="AB217" s="37"/>
      <c r="AC217" s="121"/>
      <c r="AD217" s="15"/>
      <c r="AE217" s="15"/>
      <c r="AF217" s="121"/>
      <c r="AG217" s="121"/>
      <c r="AH217" s="51"/>
      <c r="AI217" s="121"/>
      <c r="AJ217" s="15"/>
      <c r="AK217" s="15"/>
      <c r="AL217" s="121"/>
      <c r="AM217" s="121"/>
      <c r="AN217" s="78"/>
      <c r="AO217" s="39"/>
      <c r="AP217" s="15"/>
      <c r="AQ217" s="15"/>
      <c r="AR217" s="39"/>
      <c r="AS217" s="39"/>
      <c r="AT217" s="51"/>
      <c r="AU217" s="38"/>
      <c r="AV217" s="15"/>
      <c r="AW217" s="15"/>
      <c r="AX217" s="39"/>
      <c r="AY217" s="39"/>
      <c r="AZ217" s="51"/>
      <c r="BA217" s="38"/>
      <c r="BB217" s="15"/>
      <c r="BC217" s="15"/>
      <c r="BD217" s="39"/>
      <c r="BE217" s="39"/>
      <c r="BF217" s="51"/>
      <c r="BG217" s="38"/>
      <c r="BH217" s="15"/>
      <c r="BI217" s="15"/>
      <c r="BJ217" s="39"/>
      <c r="BK217" s="39"/>
      <c r="BL217" s="51"/>
      <c r="BM217" s="38"/>
      <c r="BN217" s="15"/>
      <c r="BO217" s="15"/>
      <c r="BP217" s="39"/>
      <c r="BQ217" s="39"/>
      <c r="BR217" s="51"/>
      <c r="BS217" s="38"/>
      <c r="BT217" s="15"/>
      <c r="BU217" s="15"/>
      <c r="BV217" s="39"/>
      <c r="BW217" s="39"/>
      <c r="BX217" s="51"/>
      <c r="BY217" s="38"/>
      <c r="BZ217" s="15"/>
      <c r="CA217" s="15"/>
      <c r="CB217" s="39"/>
      <c r="CC217" s="39"/>
      <c r="CD217" s="51"/>
      <c r="CE217" s="38"/>
    </row>
    <row r="218" spans="1:84" ht="80.25" customHeight="1">
      <c r="A218" s="35"/>
      <c r="B218" s="28"/>
      <c r="C218" s="37"/>
      <c r="D218" s="37"/>
      <c r="H218" s="37"/>
      <c r="I218" s="38"/>
      <c r="J218" s="57"/>
      <c r="K218" s="39"/>
      <c r="L218" s="15"/>
      <c r="M218" s="15"/>
      <c r="N218" s="39"/>
      <c r="O218" s="39"/>
      <c r="P218" s="57"/>
      <c r="Q218" s="39"/>
      <c r="R218" s="57"/>
      <c r="S218" s="57"/>
      <c r="T218" s="39"/>
      <c r="U218" s="39"/>
      <c r="V218" s="57"/>
      <c r="W218" s="39"/>
      <c r="X218" s="57"/>
      <c r="Y218" s="57"/>
      <c r="Z218" s="39"/>
      <c r="AA218" s="39"/>
      <c r="AB218" s="37"/>
      <c r="AC218" s="121"/>
      <c r="AD218" s="15"/>
      <c r="AE218" s="15"/>
      <c r="AF218" s="121"/>
      <c r="AG218" s="121"/>
      <c r="AH218" s="51"/>
      <c r="AI218" s="121"/>
      <c r="AJ218" s="15"/>
      <c r="AK218" s="15"/>
      <c r="AL218" s="121"/>
      <c r="AM218" s="121"/>
      <c r="AN218" s="78"/>
      <c r="AO218" s="39"/>
      <c r="AP218" s="15"/>
      <c r="AQ218" s="15"/>
      <c r="AR218" s="39"/>
      <c r="AS218" s="39"/>
      <c r="AT218" s="51"/>
      <c r="AU218" s="38"/>
      <c r="AV218" s="15"/>
      <c r="AW218" s="15"/>
      <c r="AX218" s="39"/>
      <c r="AY218" s="39"/>
      <c r="AZ218" s="51"/>
      <c r="BA218" s="38"/>
      <c r="BB218" s="15"/>
      <c r="BC218" s="15"/>
      <c r="BD218" s="39"/>
      <c r="BE218" s="39"/>
      <c r="BF218" s="51"/>
      <c r="BG218" s="38"/>
      <c r="BH218" s="15"/>
      <c r="BI218" s="15"/>
      <c r="BJ218" s="39"/>
      <c r="BK218" s="39"/>
      <c r="BL218" s="51"/>
      <c r="BM218" s="38"/>
      <c r="BN218" s="15"/>
      <c r="BO218" s="15"/>
      <c r="BP218" s="39"/>
      <c r="BQ218" s="39"/>
      <c r="BR218" s="51"/>
      <c r="BS218" s="38"/>
      <c r="BT218" s="15"/>
      <c r="BU218" s="15"/>
      <c r="BV218" s="39"/>
      <c r="BW218" s="39"/>
      <c r="BX218" s="51"/>
      <c r="BY218" s="38"/>
      <c r="BZ218" s="15"/>
      <c r="CA218" s="15"/>
      <c r="CB218" s="39"/>
      <c r="CC218" s="39"/>
      <c r="CD218" s="51"/>
      <c r="CE218" s="38"/>
    </row>
    <row r="219" spans="1:84" ht="80.25" customHeight="1">
      <c r="A219" s="35"/>
      <c r="B219" s="28"/>
      <c r="C219" s="37"/>
      <c r="D219" s="37"/>
      <c r="H219" s="37"/>
      <c r="I219" s="38"/>
      <c r="J219" s="57"/>
      <c r="K219" s="39"/>
      <c r="L219" s="15"/>
      <c r="M219" s="15"/>
      <c r="N219" s="39"/>
      <c r="O219" s="39"/>
      <c r="P219" s="57"/>
      <c r="Q219" s="39"/>
      <c r="R219" s="57"/>
      <c r="S219" s="57"/>
      <c r="T219" s="39"/>
      <c r="U219" s="39"/>
      <c r="V219" s="57"/>
      <c r="W219" s="39"/>
      <c r="X219" s="57"/>
      <c r="Y219" s="57"/>
      <c r="Z219" s="39"/>
      <c r="AA219" s="39"/>
      <c r="AB219" s="37"/>
      <c r="AC219" s="121"/>
      <c r="AD219" s="15"/>
      <c r="AE219" s="15"/>
      <c r="AF219" s="121"/>
      <c r="AG219" s="121"/>
      <c r="AH219" s="51"/>
      <c r="AI219" s="121"/>
      <c r="AJ219" s="15"/>
      <c r="AK219" s="15"/>
      <c r="AL219" s="121"/>
      <c r="AM219" s="121"/>
      <c r="AN219" s="78"/>
      <c r="AO219" s="39"/>
      <c r="AP219" s="15"/>
      <c r="AQ219" s="15"/>
      <c r="AR219" s="39"/>
      <c r="AS219" s="39"/>
      <c r="AT219" s="51"/>
      <c r="AU219" s="38"/>
      <c r="AV219" s="15"/>
      <c r="AW219" s="15"/>
      <c r="AX219" s="39"/>
      <c r="AY219" s="39"/>
      <c r="AZ219" s="51"/>
      <c r="BA219" s="38"/>
      <c r="BB219" s="15"/>
      <c r="BC219" s="15"/>
      <c r="BD219" s="39"/>
      <c r="BE219" s="39"/>
      <c r="BF219" s="51"/>
      <c r="BG219" s="38"/>
      <c r="BH219" s="15"/>
      <c r="BI219" s="15"/>
      <c r="BJ219" s="39"/>
      <c r="BK219" s="39"/>
      <c r="BL219" s="51"/>
      <c r="BM219" s="38"/>
      <c r="BN219" s="15"/>
      <c r="BO219" s="15"/>
      <c r="BP219" s="39"/>
      <c r="BQ219" s="39"/>
      <c r="BR219" s="51"/>
      <c r="BS219" s="38"/>
      <c r="BT219" s="15"/>
      <c r="BU219" s="15"/>
      <c r="BV219" s="39"/>
      <c r="BW219" s="39"/>
      <c r="BX219" s="51"/>
      <c r="BY219" s="38"/>
      <c r="BZ219" s="15"/>
      <c r="CA219" s="15"/>
      <c r="CB219" s="39"/>
      <c r="CC219" s="39"/>
      <c r="CD219" s="51"/>
      <c r="CE219" s="38"/>
    </row>
    <row r="220" spans="1:84" ht="80.25" customHeight="1">
      <c r="A220" s="35"/>
      <c r="B220" s="28"/>
      <c r="C220" s="37"/>
      <c r="D220" s="37"/>
      <c r="H220" s="37"/>
      <c r="I220" s="38"/>
      <c r="J220" s="57"/>
      <c r="K220" s="39"/>
      <c r="L220" s="15"/>
      <c r="M220" s="15"/>
      <c r="N220" s="39"/>
      <c r="O220" s="39"/>
      <c r="P220" s="57"/>
      <c r="Q220" s="39"/>
      <c r="R220" s="57"/>
      <c r="S220" s="57"/>
      <c r="T220" s="39"/>
      <c r="U220" s="39"/>
      <c r="V220" s="57"/>
      <c r="W220" s="39"/>
      <c r="X220" s="57"/>
      <c r="Y220" s="57"/>
      <c r="Z220" s="39"/>
      <c r="AA220" s="39"/>
      <c r="AB220" s="37"/>
      <c r="AC220" s="121"/>
      <c r="AD220" s="15"/>
      <c r="AE220" s="15"/>
      <c r="AF220" s="121"/>
      <c r="AG220" s="121"/>
      <c r="AH220" s="51"/>
      <c r="AI220" s="121"/>
      <c r="AJ220" s="15"/>
      <c r="AK220" s="15"/>
      <c r="AL220" s="121"/>
      <c r="AM220" s="121"/>
      <c r="AN220" s="78"/>
      <c r="AO220" s="39"/>
      <c r="AP220" s="15"/>
      <c r="AQ220" s="15"/>
      <c r="AR220" s="39"/>
      <c r="AS220" s="39"/>
      <c r="AT220" s="51"/>
      <c r="AU220" s="38"/>
      <c r="AV220" s="15"/>
      <c r="AW220" s="15"/>
      <c r="AX220" s="39"/>
      <c r="AY220" s="39"/>
      <c r="AZ220" s="51"/>
      <c r="BA220" s="38"/>
      <c r="BB220" s="15"/>
      <c r="BC220" s="15"/>
      <c r="BD220" s="39"/>
      <c r="BE220" s="39"/>
      <c r="BF220" s="51"/>
      <c r="BG220" s="38"/>
      <c r="BH220" s="15"/>
      <c r="BI220" s="15"/>
      <c r="BJ220" s="39"/>
      <c r="BK220" s="39"/>
      <c r="BL220" s="51"/>
      <c r="BM220" s="38"/>
      <c r="BN220" s="15"/>
      <c r="BO220" s="15"/>
      <c r="BP220" s="39"/>
      <c r="BQ220" s="39"/>
      <c r="BR220" s="51"/>
      <c r="BS220" s="38"/>
      <c r="BT220" s="15"/>
      <c r="BU220" s="15"/>
      <c r="BV220" s="39"/>
      <c r="BW220" s="39"/>
      <c r="BX220" s="51"/>
      <c r="BY220" s="38"/>
      <c r="BZ220" s="15"/>
      <c r="CA220" s="15"/>
      <c r="CB220" s="39"/>
      <c r="CC220" s="39"/>
      <c r="CD220" s="51"/>
      <c r="CE220" s="38"/>
    </row>
    <row r="221" spans="1:84" ht="49.5" customHeight="1">
      <c r="A221" s="47"/>
      <c r="B221" s="35"/>
      <c r="C221" s="35"/>
      <c r="D221" s="35"/>
      <c r="H221" s="35"/>
      <c r="J221" s="35"/>
      <c r="K221" s="38">
        <f>SUM(K5:K220)</f>
        <v>0</v>
      </c>
      <c r="N221" s="63">
        <f>SUM(N5:N220)</f>
        <v>0</v>
      </c>
      <c r="P221" s="57"/>
      <c r="AO221" s="54"/>
      <c r="AP221" s="15"/>
      <c r="AQ221" s="15"/>
      <c r="AR221" s="38"/>
      <c r="AS221" s="38"/>
      <c r="AT221" s="35"/>
      <c r="AU221" s="38"/>
      <c r="AV221" s="15"/>
      <c r="AW221" s="15"/>
      <c r="AX221" s="38"/>
      <c r="AY221" s="38"/>
      <c r="AZ221" s="35"/>
      <c r="BA221" s="38"/>
      <c r="BB221" s="15"/>
      <c r="BC221" s="15"/>
      <c r="BD221" s="38"/>
      <c r="BE221" s="38"/>
      <c r="BF221" s="35"/>
      <c r="BG221" s="38"/>
      <c r="BH221" s="15"/>
      <c r="BI221" s="15"/>
      <c r="BJ221" s="38"/>
      <c r="BK221" s="38"/>
      <c r="BL221" s="35"/>
      <c r="BM221" s="38"/>
      <c r="BN221" s="15"/>
      <c r="BO221" s="15"/>
      <c r="BP221" s="38"/>
      <c r="BQ221" s="38"/>
      <c r="BR221" s="35"/>
      <c r="BS221" s="38"/>
      <c r="BT221" s="15"/>
      <c r="BU221" s="15"/>
      <c r="BV221" s="38"/>
      <c r="BW221" s="38"/>
      <c r="BX221" s="35"/>
      <c r="BY221" s="38"/>
      <c r="BZ221" s="15"/>
      <c r="CA221" s="15"/>
      <c r="CB221" s="38"/>
      <c r="CC221" s="38"/>
      <c r="CD221" s="35"/>
      <c r="CE221" s="38"/>
    </row>
    <row r="222" spans="1:84" ht="48" customHeight="1">
      <c r="A222" s="28"/>
      <c r="B222" s="28"/>
      <c r="C222" s="35"/>
      <c r="D222" s="35"/>
      <c r="H222" s="35"/>
      <c r="I222" s="38"/>
      <c r="AB222" s="35"/>
      <c r="AC222" s="121"/>
      <c r="AD222" s="39"/>
      <c r="AE222" s="39"/>
      <c r="AF222" s="121"/>
      <c r="AG222" s="122"/>
      <c r="AH222" s="61"/>
      <c r="AI222" s="122"/>
      <c r="AJ222" s="39"/>
      <c r="AK222" s="39"/>
      <c r="AL222" s="121"/>
      <c r="AM222" s="121"/>
      <c r="AN222" s="77"/>
      <c r="AO222" s="54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</row>
    <row r="223" spans="1:84" ht="48" customHeight="1">
      <c r="A223" s="28"/>
      <c r="B223" s="28"/>
      <c r="C223" s="35"/>
      <c r="D223" s="35"/>
      <c r="H223" s="35"/>
      <c r="I223" s="38"/>
      <c r="AB223" s="35"/>
      <c r="AC223" s="121"/>
      <c r="AD223" s="39"/>
      <c r="AE223" s="39"/>
      <c r="AF223" s="121"/>
      <c r="AG223" s="122"/>
      <c r="AH223" s="52"/>
      <c r="AI223" s="121"/>
      <c r="AJ223" s="39"/>
      <c r="AK223" s="39"/>
      <c r="AL223" s="121"/>
      <c r="AM223" s="121"/>
      <c r="AN223" s="78"/>
      <c r="AO223" s="54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</row>
    <row r="224" spans="1:84" ht="48" customHeight="1">
      <c r="A224" s="28"/>
      <c r="B224" s="28"/>
      <c r="C224" s="37"/>
      <c r="D224" s="37"/>
      <c r="H224" s="37"/>
      <c r="I224" s="38"/>
      <c r="AB224" s="37"/>
      <c r="AC224" s="121"/>
      <c r="AD224" s="39"/>
      <c r="AE224" s="39"/>
      <c r="AF224" s="121"/>
      <c r="AG224" s="122"/>
      <c r="AH224" s="52"/>
      <c r="AI224" s="121"/>
      <c r="AJ224" s="39"/>
      <c r="AK224" s="39"/>
      <c r="AL224" s="121"/>
      <c r="AM224" s="121"/>
      <c r="AN224" s="78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</row>
    <row r="225" spans="1:83" ht="48" customHeight="1">
      <c r="A225" s="28"/>
      <c r="B225" s="28"/>
      <c r="C225" s="35"/>
      <c r="D225" s="35"/>
      <c r="H225" s="35"/>
      <c r="I225" s="38"/>
      <c r="AB225" s="35"/>
      <c r="AC225" s="121"/>
      <c r="AD225" s="39"/>
      <c r="AE225" s="39"/>
      <c r="AF225" s="121"/>
      <c r="AG225" s="122"/>
      <c r="AH225" s="52"/>
      <c r="AI225" s="121"/>
      <c r="AJ225" s="39"/>
      <c r="AK225" s="39"/>
      <c r="AL225" s="121"/>
      <c r="AM225" s="121"/>
      <c r="AN225" s="78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</row>
    <row r="226" spans="1:83" ht="48" customHeight="1">
      <c r="A226" s="28"/>
      <c r="B226" s="28"/>
      <c r="C226" s="37"/>
      <c r="D226" s="37"/>
      <c r="H226" s="37"/>
      <c r="I226" s="38"/>
      <c r="AB226" s="37"/>
      <c r="AC226" s="121"/>
      <c r="AD226" s="39"/>
      <c r="AE226" s="39"/>
      <c r="AF226" s="121"/>
      <c r="AG226" s="122"/>
      <c r="AH226" s="52"/>
      <c r="AI226" s="121"/>
      <c r="AJ226" s="39"/>
      <c r="AK226" s="39"/>
      <c r="AL226" s="121"/>
      <c r="AM226" s="121"/>
      <c r="AN226" s="78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</row>
    <row r="227" spans="1:83" ht="48" customHeight="1">
      <c r="A227" s="28"/>
      <c r="B227" s="28"/>
      <c r="C227" s="36"/>
      <c r="D227" s="36"/>
      <c r="H227" s="37"/>
      <c r="I227" s="38"/>
      <c r="AB227" s="37"/>
      <c r="AC227" s="121"/>
      <c r="AD227" s="39"/>
      <c r="AE227" s="39"/>
      <c r="AF227" s="121"/>
      <c r="AG227" s="122"/>
      <c r="AH227" s="52"/>
      <c r="AI227" s="121"/>
      <c r="AJ227" s="39"/>
      <c r="AK227" s="39"/>
      <c r="AL227" s="121"/>
      <c r="AM227" s="121"/>
      <c r="AN227" s="78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</row>
    <row r="228" spans="1:83" ht="48" customHeight="1">
      <c r="A228" s="28"/>
      <c r="B228" s="28"/>
      <c r="C228" s="36"/>
      <c r="D228" s="36"/>
      <c r="H228" s="37"/>
      <c r="I228" s="38"/>
      <c r="AB228" s="37"/>
      <c r="AC228" s="121"/>
      <c r="AD228" s="39"/>
      <c r="AE228" s="39"/>
      <c r="AF228" s="121"/>
      <c r="AG228" s="122"/>
      <c r="AH228" s="52"/>
      <c r="AI228" s="121"/>
      <c r="AJ228" s="39"/>
      <c r="AK228" s="39"/>
      <c r="AL228" s="121"/>
      <c r="AM228" s="121"/>
      <c r="AN228" s="78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</row>
    <row r="229" spans="1:83" ht="48" customHeight="1">
      <c r="A229" s="28"/>
      <c r="B229" s="28"/>
      <c r="C229" s="37"/>
      <c r="D229" s="37"/>
      <c r="H229" s="37"/>
      <c r="I229" s="38"/>
      <c r="AB229" s="37"/>
      <c r="AC229" s="121"/>
      <c r="AD229" s="39"/>
      <c r="AE229" s="39"/>
      <c r="AF229" s="121"/>
      <c r="AG229" s="122"/>
      <c r="AH229" s="52"/>
      <c r="AI229" s="121"/>
      <c r="AJ229" s="39"/>
      <c r="AK229" s="39"/>
      <c r="AL229" s="121"/>
      <c r="AM229" s="121"/>
      <c r="AN229" s="78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</row>
    <row r="230" spans="1:83" ht="48" customHeight="1">
      <c r="A230" s="28"/>
      <c r="B230" s="28"/>
      <c r="C230" s="37"/>
      <c r="D230" s="37"/>
      <c r="H230" s="37"/>
      <c r="I230" s="38"/>
      <c r="AB230" s="37"/>
      <c r="AC230" s="121"/>
      <c r="AD230" s="39"/>
      <c r="AE230" s="39"/>
      <c r="AF230" s="121"/>
      <c r="AG230" s="122"/>
      <c r="AH230" s="52"/>
      <c r="AI230" s="121"/>
      <c r="AJ230" s="39"/>
      <c r="AK230" s="39"/>
      <c r="AL230" s="121"/>
      <c r="AM230" s="121"/>
      <c r="AN230" s="78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</row>
    <row r="231" spans="1:83" ht="48" customHeight="1">
      <c r="A231" s="28"/>
      <c r="B231" s="28"/>
      <c r="C231" s="37"/>
      <c r="D231" s="37"/>
      <c r="H231" s="37"/>
      <c r="I231" s="38"/>
      <c r="AB231" s="37"/>
      <c r="AC231" s="121"/>
      <c r="AD231" s="39"/>
      <c r="AE231" s="39"/>
      <c r="AF231" s="121"/>
      <c r="AG231" s="122"/>
      <c r="AH231" s="52"/>
      <c r="AI231" s="121"/>
      <c r="AJ231" s="39"/>
      <c r="AK231" s="39"/>
      <c r="AL231" s="121"/>
      <c r="AM231" s="121"/>
      <c r="AN231" s="78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</row>
    <row r="232" spans="1:83" ht="48" customHeight="1">
      <c r="A232" s="28"/>
      <c r="B232" s="28"/>
      <c r="C232" s="36"/>
      <c r="D232" s="36"/>
      <c r="H232" s="37"/>
      <c r="I232" s="38"/>
      <c r="AB232" s="37"/>
      <c r="AC232" s="121"/>
      <c r="AD232" s="39"/>
      <c r="AE232" s="39"/>
      <c r="AF232" s="121"/>
      <c r="AG232" s="122"/>
      <c r="AH232" s="52"/>
      <c r="AI232" s="121"/>
      <c r="AJ232" s="39"/>
      <c r="AK232" s="39"/>
      <c r="AL232" s="121"/>
      <c r="AM232" s="121"/>
      <c r="AN232" s="78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</row>
    <row r="233" spans="1:83" ht="48" customHeight="1">
      <c r="A233" s="28"/>
      <c r="B233" s="28"/>
      <c r="C233" s="35"/>
      <c r="D233" s="35"/>
      <c r="H233" s="35"/>
      <c r="I233" s="38"/>
      <c r="AB233" s="35"/>
      <c r="AC233" s="121"/>
      <c r="AD233" s="39"/>
      <c r="AE233" s="39"/>
      <c r="AF233" s="121"/>
      <c r="AG233" s="122"/>
      <c r="AH233" s="52"/>
      <c r="AI233" s="121"/>
      <c r="AJ233" s="39"/>
      <c r="AK233" s="39"/>
      <c r="AL233" s="121"/>
      <c r="AM233" s="121"/>
      <c r="AN233" s="78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</row>
    <row r="234" spans="1:83" ht="48" customHeight="1">
      <c r="A234" s="28"/>
      <c r="B234" s="28"/>
      <c r="C234" s="35"/>
      <c r="D234" s="35"/>
      <c r="H234" s="35"/>
      <c r="I234" s="38"/>
      <c r="AB234" s="35"/>
      <c r="AC234" s="121"/>
      <c r="AD234" s="39"/>
      <c r="AE234" s="39"/>
      <c r="AF234" s="121"/>
      <c r="AG234" s="122"/>
      <c r="AH234" s="52"/>
      <c r="AI234" s="121"/>
      <c r="AJ234" s="39"/>
      <c r="AK234" s="39"/>
      <c r="AL234" s="121"/>
      <c r="AM234" s="121"/>
      <c r="AN234" s="78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</row>
    <row r="235" spans="1:83" ht="48" customHeight="1">
      <c r="A235" s="28"/>
      <c r="B235" s="28"/>
      <c r="C235" s="35"/>
      <c r="D235" s="35"/>
      <c r="H235" s="35"/>
      <c r="I235" s="38"/>
      <c r="AB235" s="35"/>
      <c r="AC235" s="121"/>
      <c r="AD235" s="39"/>
      <c r="AE235" s="39"/>
      <c r="AF235" s="121"/>
      <c r="AG235" s="122"/>
      <c r="AH235" s="52"/>
      <c r="AI235" s="121"/>
      <c r="AJ235" s="39"/>
      <c r="AK235" s="39"/>
      <c r="AL235" s="121"/>
      <c r="AM235" s="121"/>
      <c r="AN235" s="78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</row>
    <row r="236" spans="1:83" ht="48" customHeight="1">
      <c r="A236" s="28"/>
      <c r="B236" s="28"/>
      <c r="C236" s="36"/>
      <c r="D236" s="36"/>
      <c r="H236" s="37"/>
      <c r="I236" s="38"/>
      <c r="AB236" s="37"/>
      <c r="AC236" s="121"/>
      <c r="AD236" s="39"/>
      <c r="AE236" s="39"/>
      <c r="AF236" s="121"/>
      <c r="AG236" s="122"/>
      <c r="AH236" s="52"/>
      <c r="AI236" s="121"/>
      <c r="AJ236" s="39"/>
      <c r="AK236" s="39"/>
      <c r="AL236" s="121"/>
      <c r="AM236" s="121"/>
      <c r="AN236" s="78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</row>
    <row r="237" spans="1:83" ht="48" customHeight="1">
      <c r="A237" s="28"/>
      <c r="B237" s="28"/>
      <c r="C237" s="36"/>
      <c r="D237" s="36"/>
      <c r="H237" s="37"/>
      <c r="I237" s="38"/>
      <c r="AB237" s="37"/>
      <c r="AC237" s="121"/>
      <c r="AD237" s="39"/>
      <c r="AE237" s="39"/>
      <c r="AF237" s="121"/>
      <c r="AG237" s="122"/>
      <c r="AH237" s="52"/>
      <c r="AI237" s="121"/>
      <c r="AJ237" s="39"/>
      <c r="AK237" s="39"/>
      <c r="AL237" s="121"/>
      <c r="AM237" s="121"/>
      <c r="AN237" s="78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</row>
    <row r="238" spans="1:83" ht="48" customHeight="1">
      <c r="A238" s="28"/>
      <c r="B238" s="28"/>
      <c r="C238" s="37"/>
      <c r="D238" s="37"/>
      <c r="H238" s="37"/>
      <c r="I238" s="38"/>
      <c r="AB238" s="37"/>
      <c r="AC238" s="121"/>
      <c r="AD238" s="39"/>
      <c r="AE238" s="39"/>
      <c r="AF238" s="121"/>
      <c r="AG238" s="122"/>
      <c r="AH238" s="52"/>
      <c r="AI238" s="121"/>
      <c r="AJ238" s="39"/>
      <c r="AK238" s="39"/>
      <c r="AL238" s="121"/>
      <c r="AM238" s="121"/>
      <c r="AN238" s="78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</row>
    <row r="239" spans="1:83" ht="48" customHeight="1">
      <c r="A239" s="28"/>
      <c r="B239" s="28"/>
      <c r="C239" s="35"/>
      <c r="D239" s="35"/>
      <c r="H239" s="37"/>
      <c r="I239" s="38"/>
      <c r="AB239" s="37"/>
      <c r="AC239" s="121"/>
      <c r="AD239" s="39"/>
      <c r="AE239" s="39"/>
      <c r="AF239" s="121"/>
      <c r="AG239" s="122"/>
      <c r="AH239" s="52"/>
      <c r="AI239" s="121"/>
      <c r="AJ239" s="39"/>
      <c r="AK239" s="39"/>
      <c r="AL239" s="121"/>
      <c r="AM239" s="121"/>
      <c r="AN239" s="78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</row>
    <row r="240" spans="1:83" ht="48" customHeight="1">
      <c r="A240" s="28"/>
      <c r="B240" s="28"/>
      <c r="C240" s="35"/>
      <c r="D240" s="35"/>
      <c r="H240" s="37"/>
      <c r="I240" s="38"/>
      <c r="AB240" s="37"/>
      <c r="AC240" s="121"/>
      <c r="AD240" s="39"/>
      <c r="AE240" s="39"/>
      <c r="AF240" s="121"/>
      <c r="AG240" s="122"/>
      <c r="AH240" s="52"/>
      <c r="AI240" s="121"/>
      <c r="AJ240" s="39"/>
      <c r="AK240" s="39"/>
      <c r="AL240" s="121"/>
      <c r="AM240" s="121"/>
      <c r="AN240" s="78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</row>
    <row r="241" spans="1:83" ht="55.5" customHeight="1">
      <c r="A241" s="28"/>
      <c r="B241" s="28"/>
      <c r="C241" s="36"/>
      <c r="D241" s="36"/>
      <c r="H241" s="37"/>
      <c r="I241" s="38"/>
      <c r="AB241" s="37"/>
      <c r="AC241" s="121"/>
      <c r="AD241" s="39"/>
      <c r="AE241" s="39"/>
      <c r="AF241" s="121"/>
      <c r="AG241" s="122"/>
      <c r="AH241" s="52"/>
      <c r="AI241" s="121"/>
      <c r="AJ241" s="39"/>
      <c r="AK241" s="39"/>
      <c r="AL241" s="121"/>
      <c r="AM241" s="121"/>
      <c r="AN241" s="78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</row>
    <row r="242" spans="1:83" ht="60" customHeight="1">
      <c r="A242" s="28"/>
      <c r="B242" s="28"/>
      <c r="C242" s="35"/>
      <c r="D242" s="35"/>
      <c r="H242" s="37"/>
      <c r="I242" s="38"/>
      <c r="AB242" s="37"/>
      <c r="AC242" s="121"/>
      <c r="AD242" s="39"/>
      <c r="AE242" s="39"/>
      <c r="AF242" s="121"/>
      <c r="AG242" s="122"/>
      <c r="AH242" s="52"/>
      <c r="AI242" s="121"/>
      <c r="AJ242" s="39"/>
      <c r="AK242" s="39"/>
      <c r="AL242" s="121"/>
      <c r="AM242" s="121"/>
      <c r="AN242" s="78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</row>
    <row r="243" spans="1:83" ht="57" customHeight="1">
      <c r="A243" s="28"/>
      <c r="B243" s="28"/>
      <c r="C243" s="36"/>
      <c r="D243" s="36"/>
      <c r="H243" s="37"/>
      <c r="I243" s="38"/>
      <c r="AB243" s="37"/>
      <c r="AC243" s="121"/>
      <c r="AD243" s="39"/>
      <c r="AE243" s="39"/>
      <c r="AF243" s="121"/>
      <c r="AG243" s="122"/>
      <c r="AH243" s="52"/>
      <c r="AI243" s="121"/>
      <c r="AJ243" s="39"/>
      <c r="AK243" s="39"/>
      <c r="AL243" s="121"/>
      <c r="AM243" s="121"/>
      <c r="AN243" s="78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</row>
    <row r="244" spans="1:83" ht="48" customHeight="1">
      <c r="A244" s="28"/>
      <c r="B244" s="28"/>
      <c r="C244" s="35"/>
      <c r="D244" s="35"/>
      <c r="H244" s="37"/>
      <c r="I244" s="38"/>
      <c r="AB244" s="37"/>
      <c r="AC244" s="121"/>
      <c r="AD244" s="39"/>
      <c r="AE244" s="39"/>
      <c r="AF244" s="121"/>
      <c r="AG244" s="122"/>
      <c r="AH244" s="52"/>
      <c r="AI244" s="121"/>
      <c r="AJ244" s="39"/>
      <c r="AK244" s="39"/>
      <c r="AL244" s="121"/>
      <c r="AM244" s="121"/>
      <c r="AN244" s="78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</row>
    <row r="245" spans="1:83" ht="48" customHeight="1">
      <c r="A245" s="28"/>
      <c r="B245" s="28"/>
      <c r="C245" s="35"/>
      <c r="D245" s="35"/>
      <c r="H245" s="37"/>
      <c r="I245" s="38"/>
      <c r="AB245" s="37"/>
      <c r="AC245" s="121"/>
      <c r="AD245" s="39"/>
      <c r="AE245" s="39"/>
      <c r="AF245" s="121"/>
      <c r="AG245" s="122"/>
      <c r="AH245" s="52"/>
      <c r="AI245" s="121"/>
      <c r="AJ245" s="39"/>
      <c r="AK245" s="39"/>
      <c r="AL245" s="121"/>
      <c r="AM245" s="121"/>
      <c r="AN245" s="78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</row>
    <row r="246" spans="1:83" ht="48" customHeight="1">
      <c r="A246" s="28"/>
      <c r="B246" s="28"/>
      <c r="C246" s="35"/>
      <c r="D246" s="35"/>
      <c r="H246" s="37"/>
      <c r="I246" s="38"/>
      <c r="AB246" s="37"/>
      <c r="AC246" s="121"/>
      <c r="AD246" s="39"/>
      <c r="AE246" s="39"/>
      <c r="AF246" s="121"/>
      <c r="AG246" s="122"/>
      <c r="AH246" s="52"/>
      <c r="AI246" s="121"/>
      <c r="AJ246" s="39"/>
      <c r="AK246" s="39"/>
      <c r="AL246" s="121"/>
      <c r="AM246" s="121"/>
      <c r="AN246" s="78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</row>
    <row r="247" spans="1:83" ht="48" customHeight="1">
      <c r="A247" s="28"/>
      <c r="B247" s="28"/>
      <c r="C247" s="35"/>
      <c r="D247" s="35"/>
      <c r="H247" s="37"/>
      <c r="I247" s="38"/>
      <c r="AB247" s="37"/>
      <c r="AC247" s="121"/>
      <c r="AD247" s="39"/>
      <c r="AE247" s="39"/>
      <c r="AF247" s="121"/>
      <c r="AG247" s="122"/>
      <c r="AH247" s="52"/>
      <c r="AI247" s="121"/>
      <c r="AJ247" s="39"/>
      <c r="AK247" s="39"/>
      <c r="AL247" s="121"/>
      <c r="AM247" s="121"/>
      <c r="AN247" s="78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</row>
    <row r="248" spans="1:83" ht="48" customHeight="1">
      <c r="A248" s="28"/>
      <c r="B248" s="28"/>
      <c r="C248" s="37"/>
      <c r="D248" s="37"/>
      <c r="H248" s="37"/>
      <c r="I248" s="38"/>
      <c r="AB248" s="37"/>
      <c r="AC248" s="121"/>
      <c r="AD248" s="39"/>
      <c r="AE248" s="39"/>
      <c r="AF248" s="121"/>
      <c r="AG248" s="122"/>
      <c r="AH248" s="52"/>
      <c r="AI248" s="121"/>
      <c r="AJ248" s="39"/>
      <c r="AK248" s="39"/>
      <c r="AL248" s="121"/>
      <c r="AM248" s="121"/>
      <c r="AN248" s="78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</row>
  </sheetData>
  <mergeCells count="30">
    <mergeCell ref="E23:E26"/>
    <mergeCell ref="F23:F26"/>
    <mergeCell ref="G23:G26"/>
    <mergeCell ref="AB3:AG3"/>
    <mergeCell ref="AH3:AM3"/>
    <mergeCell ref="BX3:CC3"/>
    <mergeCell ref="CD3:CD4"/>
    <mergeCell ref="E12:E13"/>
    <mergeCell ref="F12:F13"/>
    <mergeCell ref="G12:G13"/>
    <mergeCell ref="AZ3:BE3"/>
    <mergeCell ref="BF3:BK3"/>
    <mergeCell ref="BL3:BQ3"/>
    <mergeCell ref="BR3:BW3"/>
    <mergeCell ref="B1:I1"/>
    <mergeCell ref="AR1:AS1"/>
    <mergeCell ref="BJ1:BK1"/>
    <mergeCell ref="A3:A4"/>
    <mergeCell ref="B3:B4"/>
    <mergeCell ref="C3:C4"/>
    <mergeCell ref="E3:E4"/>
    <mergeCell ref="F3:F4"/>
    <mergeCell ref="G3:G4"/>
    <mergeCell ref="H3:H4"/>
    <mergeCell ref="AN3:AS3"/>
    <mergeCell ref="AT3:AY3"/>
    <mergeCell ref="I3:I4"/>
    <mergeCell ref="J3:O3"/>
    <mergeCell ref="P3:U3"/>
    <mergeCell ref="V3:A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47CF918F2C540B2FD6B1932754768" ma:contentTypeVersion="22" ma:contentTypeDescription="Create a new document." ma:contentTypeScope="" ma:versionID="6109cb98feaa9094800620d763e23211">
  <xsd:schema xmlns:xsd="http://www.w3.org/2001/XMLSchema" xmlns:xs="http://www.w3.org/2001/XMLSchema" xmlns:p="http://schemas.microsoft.com/office/2006/metadata/properties" xmlns:ns2="aa641f1a-dc85-4a7c-9f95-1e5859195ca7" xmlns:ns3="896fa755-5038-4296-908d-761936ad479f" targetNamespace="http://schemas.microsoft.com/office/2006/metadata/properties" ma:root="true" ma:fieldsID="2db36fe924bfc44e2f5f4e228e6a7107" ns2:_="" ns3:_="">
    <xsd:import namespace="aa641f1a-dc85-4a7c-9f95-1e5859195ca7"/>
    <xsd:import namespace="896fa755-5038-4296-908d-761936ad47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41f1a-dc85-4a7c-9f95-1e5859195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68aa35-819b-428a-be07-d7a28ecccd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fa755-5038-4296-908d-761936ad479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92a5576-adff-453b-ab60-b2887ab49628}" ma:internalName="TaxCatchAll" ma:showField="CatchAllData" ma:web="896fa755-5038-4296-908d-761936ad47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641f1a-dc85-4a7c-9f95-1e5859195ca7">
      <Terms xmlns="http://schemas.microsoft.com/office/infopath/2007/PartnerControls"/>
    </lcf76f155ced4ddcb4097134ff3c332f>
    <TaxCatchAll xmlns="896fa755-5038-4296-908d-761936ad479f" xsi:nil="true"/>
  </documentManagement>
</p:properties>
</file>

<file path=customXml/itemProps1.xml><?xml version="1.0" encoding="utf-8"?>
<ds:datastoreItem xmlns:ds="http://schemas.openxmlformats.org/officeDocument/2006/customXml" ds:itemID="{E223839F-AA74-4BE4-A9DE-8398D48F5204}"/>
</file>

<file path=customXml/itemProps2.xml><?xml version="1.0" encoding="utf-8"?>
<ds:datastoreItem xmlns:ds="http://schemas.openxmlformats.org/officeDocument/2006/customXml" ds:itemID="{D6FFE268-1245-4D1E-A393-E39C8555D165}"/>
</file>

<file path=customXml/itemProps3.xml><?xml version="1.0" encoding="utf-8"?>
<ds:datastoreItem xmlns:ds="http://schemas.openxmlformats.org/officeDocument/2006/customXml" ds:itemID="{37D7AAB4-A2C8-4765-A5A0-9569AE9A4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Mohamad Firdaus Jamil</dc:creator>
  <cp:keywords/>
  <dc:description/>
  <cp:lastModifiedBy>Ilham Raudah Syazwani Mohd Razman</cp:lastModifiedBy>
  <cp:revision/>
  <dcterms:created xsi:type="dcterms:W3CDTF">2026-02-10T06:21:29Z</dcterms:created>
  <dcterms:modified xsi:type="dcterms:W3CDTF">2026-09-10T02:30:31Z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0x010100F5B47CF918F2C540B2FD6B1932754768</vt:lpwstr>
  </property>
  <property fmtid="{D5CDD505-2E9C-101B-9397-08002B2CF9AE}" pid="3" name="MediaServiceImageTags">
    <vt:lpwstr/>
  </property>
</Properties>
</file>
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kademisainsmy.sharepoint.com/sites/ASMIT-Admin/Shared Documents/Admin/Fasiliti/STOK/"/>
    </mc:Choice>
  </mc:AlternateContent>
  <xr:revisionPtr revIDLastSave="7976" documentId="8_{CEC86221-B5C8-4573-83FF-E99196E143FE}" xr6:coauthVersionLast="47" xr6:coauthVersionMax="47" xr10:uidLastSave="{63FEE8E4-3B03-4453-AB10-E0004B52CABE}"/>
  <bookViews>
    <workbookView xWindow="-108" yWindow="-108" windowWidth="23256" windowHeight="12456" xr2:uid="{9907692E-A66F-455A-8810-4482A8768C3C}"/>
  </bookViews>
  <sheets>
    <sheet name="Stok Alat Tulis 2026 - by Ama" sheetId="9" r:id="rId1"/>
    <sheet name="KEW.PS-20-ALAT TULIS" sheetId="10" r:id="rId2"/>
    <sheet name="A" sheetId="4" state="hidden" r:id="rId3"/>
    <sheet name="B" sheetId="5" state="hidden" r:id="rId4"/>
    <sheet name="C" sheetId="6" state="hidden" r:id="rId5"/>
    <sheet name="D" sheetId="7" state="hidden" r:id="rId6"/>
    <sheet name="E" sheetId="8" state="hidden" r:id="rId7"/>
  </sheets>
  <definedNames>
    <definedName name="_xlnm.Print_Area" localSheetId="1">'KEW.PS-20-ALAT TULIS'!$A$1:$L$41</definedName>
    <definedName name="_xlnm.Print_Titles" localSheetId="1">'KEW.PS-20-ALAT TULIS'!$1:$9</definedName>
    <definedName name="_xlnm.Print_Titles" localSheetId="0">'Stok Alat Tulis 2026 - by Ama'!$2:$3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10" i="9" l="1"/>
  <c r="BL12" i="9"/>
  <c r="BL10" i="9"/>
  <c r="BL5" i="9"/>
  <c r="BG191" i="9"/>
  <c r="BJ180" i="9"/>
  <c r="BJ181" i="9"/>
  <c r="BG5" i="9"/>
  <c r="BG183" i="9"/>
  <c r="BG180" i="9"/>
  <c r="BA12" i="9"/>
  <c r="BA5" i="9"/>
  <c r="BA10" i="9"/>
  <c r="BF217" i="9"/>
  <c r="BG142" i="9"/>
  <c r="AZ77" i="9"/>
  <c r="AY77" i="9"/>
  <c r="AX77" i="9"/>
  <c r="AX78" i="9"/>
  <c r="AX79" i="9"/>
  <c r="AX80" i="9"/>
  <c r="AX81" i="9"/>
  <c r="AZ118" i="9"/>
  <c r="AY118" i="9"/>
  <c r="AX118" i="9"/>
  <c r="AZ114" i="9"/>
  <c r="BE73" i="9"/>
  <c r="BD73" i="9"/>
  <c r="BE41" i="9"/>
  <c r="BE42" i="9"/>
  <c r="BD41" i="9"/>
  <c r="BD42" i="9"/>
  <c r="AZ43" i="9"/>
  <c r="BA43" i="9" s="1"/>
  <c r="AZ41" i="9"/>
  <c r="BA41" i="9" s="1"/>
  <c r="BF50" i="9"/>
  <c r="BG50" i="9" s="1"/>
  <c r="BE50" i="9"/>
  <c r="BD50" i="9"/>
  <c r="AZ50" i="9"/>
  <c r="BA50" i="9" s="1"/>
  <c r="AZ183" i="9"/>
  <c r="BF183" i="9" s="1"/>
  <c r="AZ180" i="9"/>
  <c r="BE180" i="9"/>
  <c r="BE181" i="9"/>
  <c r="BE182" i="9"/>
  <c r="BE183" i="9"/>
  <c r="BD180" i="9"/>
  <c r="BD181" i="9"/>
  <c r="BD182" i="9"/>
  <c r="BE57" i="9"/>
  <c r="BE58" i="9"/>
  <c r="BE59" i="9"/>
  <c r="BE60" i="9"/>
  <c r="BD57" i="9"/>
  <c r="BD58" i="9"/>
  <c r="BD59" i="9"/>
  <c r="BD60" i="9"/>
  <c r="AZ189" i="9"/>
  <c r="BF41" i="9" l="1"/>
  <c r="BF43" i="9"/>
  <c r="BK195" i="9"/>
  <c r="BK196" i="9"/>
  <c r="BK197" i="9"/>
  <c r="BK198" i="9"/>
  <c r="BF197" i="9"/>
  <c r="BD197" i="9"/>
  <c r="BE197" i="9"/>
  <c r="BA197" i="9"/>
  <c r="BF195" i="9"/>
  <c r="BD195" i="9"/>
  <c r="BE195" i="9"/>
  <c r="BA195" i="9"/>
  <c r="BE140" i="9"/>
  <c r="BE141" i="9"/>
  <c r="BE142" i="9"/>
  <c r="BD140" i="9"/>
  <c r="BD141" i="9"/>
  <c r="BD142" i="9"/>
  <c r="BD143" i="9"/>
  <c r="BE191" i="9"/>
  <c r="BD191" i="9"/>
  <c r="BF180" i="9"/>
  <c r="BF189" i="9"/>
  <c r="BG189" i="9" s="1"/>
  <c r="BD189" i="9"/>
  <c r="BE189" i="9"/>
  <c r="BF77" i="9"/>
  <c r="BE75" i="9"/>
  <c r="BD75" i="9"/>
  <c r="BD77" i="9"/>
  <c r="BA77" i="9"/>
  <c r="BF118" i="9"/>
  <c r="BD118" i="9"/>
  <c r="BJ114" i="9"/>
  <c r="BK114" i="9"/>
  <c r="BD114" i="9"/>
  <c r="BA114" i="9"/>
  <c r="BF107" i="9"/>
  <c r="BG107" i="9" s="1"/>
  <c r="BE107" i="9"/>
  <c r="BE104" i="9"/>
  <c r="BE103" i="9"/>
  <c r="BD103" i="9"/>
  <c r="BD104" i="9"/>
  <c r="BD105" i="9"/>
  <c r="BD106" i="9"/>
  <c r="BD107" i="9"/>
  <c r="BF149" i="9"/>
  <c r="BG149" i="9" s="1"/>
  <c r="BD148" i="9"/>
  <c r="BD149" i="9"/>
  <c r="BD150" i="9"/>
  <c r="BD151" i="9"/>
  <c r="CB132" i="9" l="1"/>
  <c r="CC132" i="9"/>
  <c r="BV132" i="9"/>
  <c r="BW132" i="9"/>
  <c r="BQ132" i="9"/>
  <c r="BJ132" i="9"/>
  <c r="BK132" i="9"/>
  <c r="BD132" i="9"/>
  <c r="BE132" i="9"/>
  <c r="BJ217" i="9"/>
  <c r="BK217" i="9"/>
  <c r="AX217" i="9"/>
  <c r="AY217" i="9"/>
  <c r="AR217" i="9"/>
  <c r="AS217" i="9"/>
  <c r="AM217" i="9"/>
  <c r="AL217" i="9"/>
  <c r="AF217" i="9"/>
  <c r="AG217" i="9"/>
  <c r="AC217" i="9"/>
  <c r="AA217" i="9"/>
  <c r="T217" i="9"/>
  <c r="N217" i="9"/>
  <c r="P217" i="9"/>
  <c r="Q217" i="9" s="1"/>
  <c r="O217" i="9"/>
  <c r="K217" i="9"/>
  <c r="BD217" i="9"/>
  <c r="BE217" i="9"/>
  <c r="H22" i="10"/>
  <c r="H23" i="10"/>
  <c r="H24" i="10"/>
  <c r="H25" i="10"/>
  <c r="H26" i="10"/>
  <c r="H27" i="10"/>
  <c r="H28" i="10"/>
  <c r="H29" i="10"/>
  <c r="V217" i="9" l="1"/>
  <c r="H21" i="10"/>
  <c r="H17" i="10" l="1"/>
  <c r="H11" i="10"/>
  <c r="H12" i="10"/>
  <c r="H13" i="10"/>
  <c r="H14" i="10"/>
  <c r="H15" i="10"/>
  <c r="H16" i="10"/>
  <c r="H18" i="10"/>
  <c r="H19" i="10"/>
  <c r="H20" i="10"/>
  <c r="H10" i="10"/>
  <c r="CB210" i="9"/>
  <c r="CC210" i="9"/>
  <c r="CB211" i="9"/>
  <c r="CC211" i="9"/>
  <c r="CB212" i="9"/>
  <c r="CC212" i="9"/>
  <c r="CB213" i="9"/>
  <c r="CC213" i="9"/>
  <c r="CB214" i="9"/>
  <c r="CC214" i="9"/>
  <c r="CB215" i="9"/>
  <c r="CC215" i="9"/>
  <c r="CB216" i="9"/>
  <c r="CC216" i="9"/>
  <c r="BV210" i="9"/>
  <c r="BW210" i="9"/>
  <c r="BV211" i="9"/>
  <c r="BW211" i="9"/>
  <c r="BV212" i="9"/>
  <c r="BW212" i="9"/>
  <c r="BV213" i="9"/>
  <c r="BW213" i="9"/>
  <c r="BV214" i="9"/>
  <c r="BW214" i="9"/>
  <c r="BP210" i="9"/>
  <c r="BQ210" i="9"/>
  <c r="BP211" i="9"/>
  <c r="BQ211" i="9"/>
  <c r="BP212" i="9"/>
  <c r="BQ212" i="9"/>
  <c r="BP213" i="9"/>
  <c r="BQ213" i="9"/>
  <c r="BP214" i="9"/>
  <c r="BQ214" i="9"/>
  <c r="BP215" i="9"/>
  <c r="BQ215" i="9"/>
  <c r="BJ210" i="9"/>
  <c r="BK210" i="9"/>
  <c r="BJ211" i="9"/>
  <c r="BK211" i="9"/>
  <c r="BJ212" i="9"/>
  <c r="BK212" i="9"/>
  <c r="BJ213" i="9"/>
  <c r="BK213" i="9"/>
  <c r="BJ214" i="9"/>
  <c r="BK214" i="9"/>
  <c r="BJ215" i="9"/>
  <c r="BK215" i="9"/>
  <c r="BJ216" i="9"/>
  <c r="BK216" i="9"/>
  <c r="BD210" i="9"/>
  <c r="BE210" i="9"/>
  <c r="BD211" i="9"/>
  <c r="BE211" i="9"/>
  <c r="BD212" i="9"/>
  <c r="BE212" i="9"/>
  <c r="BD213" i="9"/>
  <c r="BE213" i="9"/>
  <c r="BD214" i="9"/>
  <c r="BE214" i="9"/>
  <c r="H30" i="10" l="1"/>
  <c r="AX5" i="9"/>
  <c r="AY5" i="9"/>
  <c r="AX6" i="9"/>
  <c r="AY6" i="9"/>
  <c r="AX7" i="9"/>
  <c r="AY7" i="9"/>
  <c r="AX8" i="9"/>
  <c r="AY8" i="9"/>
  <c r="AX9" i="9"/>
  <c r="AY9" i="9"/>
  <c r="AX10" i="9"/>
  <c r="AY10" i="9"/>
  <c r="AX11" i="9"/>
  <c r="AY11" i="9"/>
  <c r="AX12" i="9"/>
  <c r="AY12" i="9"/>
  <c r="AX13" i="9"/>
  <c r="AY13" i="9"/>
  <c r="AX14" i="9"/>
  <c r="AY14" i="9"/>
  <c r="AX15" i="9"/>
  <c r="AY15" i="9"/>
  <c r="AX16" i="9"/>
  <c r="AY16" i="9"/>
  <c r="AX17" i="9"/>
  <c r="AY17" i="9"/>
  <c r="AX18" i="9"/>
  <c r="AY18" i="9"/>
  <c r="AX19" i="9"/>
  <c r="AY19" i="9"/>
  <c r="AX20" i="9"/>
  <c r="AY20" i="9"/>
  <c r="AX21" i="9"/>
  <c r="AY21" i="9"/>
  <c r="AX22" i="9"/>
  <c r="AY22" i="9"/>
  <c r="AX23" i="9"/>
  <c r="AY23" i="9"/>
  <c r="AX24" i="9"/>
  <c r="AY24" i="9"/>
  <c r="AX25" i="9"/>
  <c r="AY25" i="9"/>
  <c r="AX26" i="9"/>
  <c r="AY26" i="9"/>
  <c r="AX27" i="9"/>
  <c r="AY27" i="9"/>
  <c r="AX28" i="9"/>
  <c r="AY28" i="9"/>
  <c r="AX29" i="9"/>
  <c r="AY29" i="9"/>
  <c r="AX30" i="9"/>
  <c r="AY30" i="9"/>
  <c r="AX31" i="9"/>
  <c r="AY31" i="9"/>
  <c r="AX32" i="9"/>
  <c r="AY32" i="9"/>
  <c r="AX33" i="9"/>
  <c r="AY33" i="9"/>
  <c r="AX34" i="9"/>
  <c r="AY34" i="9"/>
  <c r="AX35" i="9"/>
  <c r="AY35" i="9"/>
  <c r="AX36" i="9"/>
  <c r="AY36" i="9"/>
  <c r="AX37" i="9"/>
  <c r="AY37" i="9"/>
  <c r="AX38" i="9"/>
  <c r="AY38" i="9"/>
  <c r="AX39" i="9"/>
  <c r="AY39" i="9"/>
  <c r="AX40" i="9"/>
  <c r="AY40" i="9"/>
  <c r="AX41" i="9"/>
  <c r="AY41" i="9"/>
  <c r="AX42" i="9"/>
  <c r="AY42" i="9"/>
  <c r="AX43" i="9"/>
  <c r="AY43" i="9"/>
  <c r="AX44" i="9"/>
  <c r="AY44" i="9"/>
  <c r="AX45" i="9"/>
  <c r="AY45" i="9"/>
  <c r="AX46" i="9"/>
  <c r="AY46" i="9"/>
  <c r="AX47" i="9"/>
  <c r="AY47" i="9"/>
  <c r="AX48" i="9"/>
  <c r="AY48" i="9"/>
  <c r="AX49" i="9"/>
  <c r="AY49" i="9"/>
  <c r="AX50" i="9"/>
  <c r="AY50" i="9"/>
  <c r="AX51" i="9"/>
  <c r="AY51" i="9"/>
  <c r="AX52" i="9"/>
  <c r="AY52" i="9"/>
  <c r="AX53" i="9"/>
  <c r="AY53" i="9"/>
  <c r="AX54" i="9"/>
  <c r="AY54" i="9"/>
  <c r="AX55" i="9"/>
  <c r="AY55" i="9"/>
  <c r="AX56" i="9"/>
  <c r="AY56" i="9"/>
  <c r="AX57" i="9"/>
  <c r="AY57" i="9"/>
  <c r="AX58" i="9"/>
  <c r="AY58" i="9"/>
  <c r="AX59" i="9"/>
  <c r="AY59" i="9"/>
  <c r="AX60" i="9"/>
  <c r="AY60" i="9"/>
  <c r="AX61" i="9"/>
  <c r="AY61" i="9"/>
  <c r="AX62" i="9"/>
  <c r="AY62" i="9"/>
  <c r="AX63" i="9"/>
  <c r="AY63" i="9"/>
  <c r="AX64" i="9"/>
  <c r="AY64" i="9"/>
  <c r="AX65" i="9"/>
  <c r="AY65" i="9"/>
  <c r="AX66" i="9"/>
  <c r="AY66" i="9"/>
  <c r="AX67" i="9"/>
  <c r="AY67" i="9"/>
  <c r="AX68" i="9"/>
  <c r="AY68" i="9"/>
  <c r="AX69" i="9"/>
  <c r="AY69" i="9"/>
  <c r="AX70" i="9"/>
  <c r="AY70" i="9"/>
  <c r="AX71" i="9"/>
  <c r="AY71" i="9"/>
  <c r="AX72" i="9"/>
  <c r="AY72" i="9"/>
  <c r="AX73" i="9"/>
  <c r="AY73" i="9"/>
  <c r="AX74" i="9"/>
  <c r="AY74" i="9"/>
  <c r="AX75" i="9"/>
  <c r="AY75" i="9"/>
  <c r="AX76" i="9"/>
  <c r="AY76" i="9"/>
  <c r="AY78" i="9"/>
  <c r="AY79" i="9"/>
  <c r="AY80" i="9"/>
  <c r="AY81" i="9"/>
  <c r="AX82" i="9"/>
  <c r="AY82" i="9"/>
  <c r="AX83" i="9"/>
  <c r="AY83" i="9"/>
  <c r="AX84" i="9"/>
  <c r="AY84" i="9"/>
  <c r="AX85" i="9"/>
  <c r="AY85" i="9"/>
  <c r="AX86" i="9"/>
  <c r="AY86" i="9"/>
  <c r="AX87" i="9"/>
  <c r="AY87" i="9"/>
  <c r="AX88" i="9"/>
  <c r="AY88" i="9"/>
  <c r="AX89" i="9"/>
  <c r="AY89" i="9"/>
  <c r="AX90" i="9"/>
  <c r="AY90" i="9"/>
  <c r="AX91" i="9"/>
  <c r="AY91" i="9"/>
  <c r="AX92" i="9"/>
  <c r="AY92" i="9"/>
  <c r="AX93" i="9"/>
  <c r="AY93" i="9"/>
  <c r="AX94" i="9"/>
  <c r="AY94" i="9"/>
  <c r="AX95" i="9"/>
  <c r="AY95" i="9"/>
  <c r="AX96" i="9"/>
  <c r="AY96" i="9"/>
  <c r="AX97" i="9"/>
  <c r="AY97" i="9"/>
  <c r="AX98" i="9"/>
  <c r="AY98" i="9"/>
  <c r="AX99" i="9"/>
  <c r="AY99" i="9"/>
  <c r="AX100" i="9"/>
  <c r="AY100" i="9"/>
  <c r="AX101" i="9"/>
  <c r="AY101" i="9"/>
  <c r="AX102" i="9"/>
  <c r="AY102" i="9"/>
  <c r="AX103" i="9"/>
  <c r="AY103" i="9"/>
  <c r="AX104" i="9"/>
  <c r="AY104" i="9"/>
  <c r="AX105" i="9"/>
  <c r="AY105" i="9"/>
  <c r="AX106" i="9"/>
  <c r="AY106" i="9"/>
  <c r="AX108" i="9"/>
  <c r="AY108" i="9"/>
  <c r="AX109" i="9"/>
  <c r="AY109" i="9"/>
  <c r="AX110" i="9"/>
  <c r="AY110" i="9"/>
  <c r="AX111" i="9"/>
  <c r="AY111" i="9"/>
  <c r="AX112" i="9"/>
  <c r="AY112" i="9"/>
  <c r="AX113" i="9"/>
  <c r="AY113" i="9"/>
  <c r="AX114" i="9"/>
  <c r="AY114" i="9"/>
  <c r="AX115" i="9"/>
  <c r="AY115" i="9"/>
  <c r="AX116" i="9"/>
  <c r="AY116" i="9"/>
  <c r="AX117" i="9"/>
  <c r="AY117" i="9"/>
  <c r="AX119" i="9"/>
  <c r="AY119" i="9"/>
  <c r="AX120" i="9"/>
  <c r="AY120" i="9"/>
  <c r="AX121" i="9"/>
  <c r="AY121" i="9"/>
  <c r="AX122" i="9"/>
  <c r="AY122" i="9"/>
  <c r="AX123" i="9"/>
  <c r="AY123" i="9"/>
  <c r="AX124" i="9"/>
  <c r="AY124" i="9"/>
  <c r="AX125" i="9"/>
  <c r="AY125" i="9"/>
  <c r="AX126" i="9"/>
  <c r="AY126" i="9"/>
  <c r="AX127" i="9"/>
  <c r="AY127" i="9"/>
  <c r="AX128" i="9"/>
  <c r="AY128" i="9"/>
  <c r="AX129" i="9"/>
  <c r="AY129" i="9"/>
  <c r="AX130" i="9"/>
  <c r="AY130" i="9"/>
  <c r="AX131" i="9"/>
  <c r="AY131" i="9"/>
  <c r="AX132" i="9"/>
  <c r="AY132" i="9"/>
  <c r="AX133" i="9"/>
  <c r="AY133" i="9"/>
  <c r="AX134" i="9"/>
  <c r="AY134" i="9"/>
  <c r="AX135" i="9"/>
  <c r="AY135" i="9"/>
  <c r="AX136" i="9"/>
  <c r="AY136" i="9"/>
  <c r="AX137" i="9"/>
  <c r="AY137" i="9"/>
  <c r="AX138" i="9"/>
  <c r="AY138" i="9"/>
  <c r="AX139" i="9"/>
  <c r="AY139" i="9"/>
  <c r="AX140" i="9"/>
  <c r="AY140" i="9"/>
  <c r="AX141" i="9"/>
  <c r="AY141" i="9"/>
  <c r="AX142" i="9"/>
  <c r="AY142" i="9"/>
  <c r="AX143" i="9"/>
  <c r="AY143" i="9"/>
  <c r="AX144" i="9"/>
  <c r="AY144" i="9"/>
  <c r="AX145" i="9"/>
  <c r="AY145" i="9"/>
  <c r="AX146" i="9"/>
  <c r="AY146" i="9"/>
  <c r="AX147" i="9"/>
  <c r="AY147" i="9"/>
  <c r="AX148" i="9"/>
  <c r="AY148" i="9"/>
  <c r="AX150" i="9"/>
  <c r="AY150" i="9"/>
  <c r="AX151" i="9"/>
  <c r="AY151" i="9"/>
  <c r="AX152" i="9"/>
  <c r="AY152" i="9"/>
  <c r="AX153" i="9"/>
  <c r="AY153" i="9"/>
  <c r="AX154" i="9"/>
  <c r="AY154" i="9"/>
  <c r="AX155" i="9"/>
  <c r="AY155" i="9"/>
  <c r="AX156" i="9"/>
  <c r="AY156" i="9"/>
  <c r="AX157" i="9"/>
  <c r="AY157" i="9"/>
  <c r="AX158" i="9"/>
  <c r="AY158" i="9"/>
  <c r="AX159" i="9"/>
  <c r="AY159" i="9"/>
  <c r="AX160" i="9"/>
  <c r="AY160" i="9"/>
  <c r="AX161" i="9"/>
  <c r="AY161" i="9"/>
  <c r="AX162" i="9"/>
  <c r="AY162" i="9"/>
  <c r="AX163" i="9"/>
  <c r="AY163" i="9"/>
  <c r="AX164" i="9"/>
  <c r="AY164" i="9"/>
  <c r="AX165" i="9"/>
  <c r="AY165" i="9"/>
  <c r="AX166" i="9"/>
  <c r="AY166" i="9"/>
  <c r="AX167" i="9"/>
  <c r="AY167" i="9"/>
  <c r="AX168" i="9"/>
  <c r="AY168" i="9"/>
  <c r="AX169" i="9"/>
  <c r="AY169" i="9"/>
  <c r="AX170" i="9"/>
  <c r="AY170" i="9"/>
  <c r="AX171" i="9"/>
  <c r="AY171" i="9"/>
  <c r="AX172" i="9"/>
  <c r="AY172" i="9"/>
  <c r="AX173" i="9"/>
  <c r="AY173" i="9"/>
  <c r="AX174" i="9"/>
  <c r="AY174" i="9"/>
  <c r="AX175" i="9"/>
  <c r="AY175" i="9"/>
  <c r="AX176" i="9"/>
  <c r="AY176" i="9"/>
  <c r="AX177" i="9"/>
  <c r="AY177" i="9"/>
  <c r="AX178" i="9"/>
  <c r="AY178" i="9"/>
  <c r="AX179" i="9"/>
  <c r="AY179" i="9"/>
  <c r="AX180" i="9"/>
  <c r="AY180" i="9"/>
  <c r="AX181" i="9"/>
  <c r="AY181" i="9"/>
  <c r="AX182" i="9"/>
  <c r="AY182" i="9"/>
  <c r="AX183" i="9"/>
  <c r="AY183" i="9"/>
  <c r="AX184" i="9"/>
  <c r="AY184" i="9"/>
  <c r="AX185" i="9"/>
  <c r="AY185" i="9"/>
  <c r="AX186" i="9"/>
  <c r="AY186" i="9"/>
  <c r="AX187" i="9"/>
  <c r="AY187" i="9"/>
  <c r="AX188" i="9"/>
  <c r="AY188" i="9"/>
  <c r="AX190" i="9"/>
  <c r="AY190" i="9"/>
  <c r="AX191" i="9"/>
  <c r="AY191" i="9"/>
  <c r="AX192" i="9"/>
  <c r="AY192" i="9"/>
  <c r="AX193" i="9"/>
  <c r="AY193" i="9"/>
  <c r="AX194" i="9"/>
  <c r="AY194" i="9"/>
  <c r="AX196" i="9"/>
  <c r="AY196" i="9"/>
  <c r="AX198" i="9"/>
  <c r="AY198" i="9"/>
  <c r="AX199" i="9"/>
  <c r="AY199" i="9"/>
  <c r="AX200" i="9"/>
  <c r="AY200" i="9"/>
  <c r="AX201" i="9"/>
  <c r="AY201" i="9"/>
  <c r="AX202" i="9"/>
  <c r="AY202" i="9"/>
  <c r="AX203" i="9"/>
  <c r="AY203" i="9"/>
  <c r="AX204" i="9"/>
  <c r="AY204" i="9"/>
  <c r="AX205" i="9"/>
  <c r="AY205" i="9"/>
  <c r="AX206" i="9"/>
  <c r="AY206" i="9"/>
  <c r="AX207" i="9"/>
  <c r="AY207" i="9"/>
  <c r="AX208" i="9"/>
  <c r="AY208" i="9"/>
  <c r="AX209" i="9"/>
  <c r="AY209" i="9"/>
  <c r="AX210" i="9"/>
  <c r="AY210" i="9"/>
  <c r="AX211" i="9"/>
  <c r="AY211" i="9"/>
  <c r="AX212" i="9"/>
  <c r="AY212" i="9"/>
  <c r="AX213" i="9"/>
  <c r="AY213" i="9"/>
  <c r="AX214" i="9"/>
  <c r="AY214" i="9"/>
  <c r="AX215" i="9"/>
  <c r="AY215" i="9"/>
  <c r="AX216" i="9"/>
  <c r="AY216" i="9"/>
  <c r="AX218" i="9"/>
  <c r="AY218" i="9"/>
  <c r="AX219" i="9"/>
  <c r="AY219" i="9"/>
  <c r="AX220" i="9"/>
  <c r="AY220" i="9"/>
  <c r="AX221" i="9"/>
  <c r="AY221" i="9"/>
  <c r="AX222" i="9"/>
  <c r="AY222" i="9"/>
  <c r="AX223" i="9"/>
  <c r="AY223" i="9"/>
  <c r="AX224" i="9"/>
  <c r="AY224" i="9"/>
  <c r="AX225" i="9"/>
  <c r="AY225" i="9"/>
  <c r="AX226" i="9"/>
  <c r="AY226" i="9"/>
  <c r="AX227" i="9"/>
  <c r="AY227" i="9"/>
  <c r="AX228" i="9"/>
  <c r="AY228" i="9"/>
  <c r="AX229" i="9"/>
  <c r="AY229" i="9"/>
  <c r="AX230" i="9"/>
  <c r="AY230" i="9"/>
  <c r="AX231" i="9"/>
  <c r="AY231" i="9"/>
  <c r="AX232" i="9"/>
  <c r="AY232" i="9"/>
  <c r="AX233" i="9"/>
  <c r="AY233" i="9"/>
  <c r="AR5" i="9"/>
  <c r="AS5" i="9"/>
  <c r="AR6" i="9"/>
  <c r="AS6" i="9"/>
  <c r="AR7" i="9"/>
  <c r="AS7" i="9"/>
  <c r="AR8" i="9"/>
  <c r="AS8" i="9"/>
  <c r="AR9" i="9"/>
  <c r="AS9" i="9"/>
  <c r="AR10" i="9"/>
  <c r="AS10" i="9"/>
  <c r="AR11" i="9"/>
  <c r="AS11" i="9"/>
  <c r="AR12" i="9"/>
  <c r="AS12" i="9"/>
  <c r="AR13" i="9"/>
  <c r="AS13" i="9"/>
  <c r="AR14" i="9"/>
  <c r="AS14" i="9"/>
  <c r="AR15" i="9"/>
  <c r="AS15" i="9"/>
  <c r="AR16" i="9"/>
  <c r="AS16" i="9"/>
  <c r="AR17" i="9"/>
  <c r="AS17" i="9"/>
  <c r="AR18" i="9"/>
  <c r="AS18" i="9"/>
  <c r="AR19" i="9"/>
  <c r="AS19" i="9"/>
  <c r="AR20" i="9"/>
  <c r="AS20" i="9"/>
  <c r="AR21" i="9"/>
  <c r="AS21" i="9"/>
  <c r="AR22" i="9"/>
  <c r="AS22" i="9"/>
  <c r="AR23" i="9"/>
  <c r="AS23" i="9"/>
  <c r="AR24" i="9"/>
  <c r="AS24" i="9"/>
  <c r="AR25" i="9"/>
  <c r="AS25" i="9"/>
  <c r="AR26" i="9"/>
  <c r="AS26" i="9"/>
  <c r="AR27" i="9"/>
  <c r="AS27" i="9"/>
  <c r="AR28" i="9"/>
  <c r="AS28" i="9"/>
  <c r="AR29" i="9"/>
  <c r="AS29" i="9"/>
  <c r="AR30" i="9"/>
  <c r="AS30" i="9"/>
  <c r="AR31" i="9"/>
  <c r="AS31" i="9"/>
  <c r="AR32" i="9"/>
  <c r="AS32" i="9"/>
  <c r="AR33" i="9"/>
  <c r="AS33" i="9"/>
  <c r="AR34" i="9"/>
  <c r="AS34" i="9"/>
  <c r="AR35" i="9"/>
  <c r="AS35" i="9"/>
  <c r="AR36" i="9"/>
  <c r="AS36" i="9"/>
  <c r="AR37" i="9"/>
  <c r="AS37" i="9"/>
  <c r="AR38" i="9"/>
  <c r="AS38" i="9"/>
  <c r="AR39" i="9"/>
  <c r="AS39" i="9"/>
  <c r="AR40" i="9"/>
  <c r="AS40" i="9"/>
  <c r="AR41" i="9"/>
  <c r="AS41" i="9"/>
  <c r="AR42" i="9"/>
  <c r="AS42" i="9"/>
  <c r="AR43" i="9"/>
  <c r="AS43" i="9"/>
  <c r="AR44" i="9"/>
  <c r="AS44" i="9"/>
  <c r="AR45" i="9"/>
  <c r="AS45" i="9"/>
  <c r="AR46" i="9"/>
  <c r="AS46" i="9"/>
  <c r="AR47" i="9"/>
  <c r="AS47" i="9"/>
  <c r="AR48" i="9"/>
  <c r="AS48" i="9"/>
  <c r="AR49" i="9"/>
  <c r="AS49" i="9"/>
  <c r="AR50" i="9"/>
  <c r="AS50" i="9"/>
  <c r="AR51" i="9"/>
  <c r="AS51" i="9"/>
  <c r="AR52" i="9"/>
  <c r="AS52" i="9"/>
  <c r="AR53" i="9"/>
  <c r="AS53" i="9"/>
  <c r="AR54" i="9"/>
  <c r="AS54" i="9"/>
  <c r="AR55" i="9"/>
  <c r="AS55" i="9"/>
  <c r="AR56" i="9"/>
  <c r="AS56" i="9"/>
  <c r="AR57" i="9"/>
  <c r="AS57" i="9"/>
  <c r="AR58" i="9"/>
  <c r="AS58" i="9"/>
  <c r="AR59" i="9"/>
  <c r="AS59" i="9"/>
  <c r="AR60" i="9"/>
  <c r="AS60" i="9"/>
  <c r="AR61" i="9"/>
  <c r="AS61" i="9"/>
  <c r="AR62" i="9"/>
  <c r="AS62" i="9"/>
  <c r="AR63" i="9"/>
  <c r="AS63" i="9"/>
  <c r="AR64" i="9"/>
  <c r="AS64" i="9"/>
  <c r="AR65" i="9"/>
  <c r="AS65" i="9"/>
  <c r="AR66" i="9"/>
  <c r="AS66" i="9"/>
  <c r="AR67" i="9"/>
  <c r="AS67" i="9"/>
  <c r="AR68" i="9"/>
  <c r="AS68" i="9"/>
  <c r="AR69" i="9"/>
  <c r="AS69" i="9"/>
  <c r="AR70" i="9"/>
  <c r="AS70" i="9"/>
  <c r="AR71" i="9"/>
  <c r="AS71" i="9"/>
  <c r="AR72" i="9"/>
  <c r="AS72" i="9"/>
  <c r="AR73" i="9"/>
  <c r="AS73" i="9"/>
  <c r="AR74" i="9"/>
  <c r="AS74" i="9"/>
  <c r="AR75" i="9"/>
  <c r="AS75" i="9"/>
  <c r="AR76" i="9"/>
  <c r="AS76" i="9"/>
  <c r="AR78" i="9"/>
  <c r="AS78" i="9"/>
  <c r="AR79" i="9"/>
  <c r="AS79" i="9"/>
  <c r="AR80" i="9"/>
  <c r="AS80" i="9"/>
  <c r="AR81" i="9"/>
  <c r="AS81" i="9"/>
  <c r="AR82" i="9"/>
  <c r="AS82" i="9"/>
  <c r="AR83" i="9"/>
  <c r="AS83" i="9"/>
  <c r="AR84" i="9"/>
  <c r="AS84" i="9"/>
  <c r="AR85" i="9"/>
  <c r="AS85" i="9"/>
  <c r="AR86" i="9"/>
  <c r="AS86" i="9"/>
  <c r="AR87" i="9"/>
  <c r="AS87" i="9"/>
  <c r="AR88" i="9"/>
  <c r="AS88" i="9"/>
  <c r="AR89" i="9"/>
  <c r="AS89" i="9"/>
  <c r="AR90" i="9"/>
  <c r="AS90" i="9"/>
  <c r="AR91" i="9"/>
  <c r="AS91" i="9"/>
  <c r="AR92" i="9"/>
  <c r="AS92" i="9"/>
  <c r="AR93" i="9"/>
  <c r="AS93" i="9"/>
  <c r="AR94" i="9"/>
  <c r="AS94" i="9"/>
  <c r="AR95" i="9"/>
  <c r="AS95" i="9"/>
  <c r="AR96" i="9"/>
  <c r="AS96" i="9"/>
  <c r="AR97" i="9"/>
  <c r="AS97" i="9"/>
  <c r="AR98" i="9"/>
  <c r="AS98" i="9"/>
  <c r="AR99" i="9"/>
  <c r="AS99" i="9"/>
  <c r="AR100" i="9"/>
  <c r="AS100" i="9"/>
  <c r="AR101" i="9"/>
  <c r="AS101" i="9"/>
  <c r="AR102" i="9"/>
  <c r="AS102" i="9"/>
  <c r="AR103" i="9"/>
  <c r="AS103" i="9"/>
  <c r="AR104" i="9"/>
  <c r="AS104" i="9"/>
  <c r="AR105" i="9"/>
  <c r="AS105" i="9"/>
  <c r="AR106" i="9"/>
  <c r="AS106" i="9"/>
  <c r="AR108" i="9"/>
  <c r="AS108" i="9"/>
  <c r="AR109" i="9"/>
  <c r="AS109" i="9"/>
  <c r="AR110" i="9"/>
  <c r="AS110" i="9"/>
  <c r="AR111" i="9"/>
  <c r="AS111" i="9"/>
  <c r="AR112" i="9"/>
  <c r="AS112" i="9"/>
  <c r="AR113" i="9"/>
  <c r="AS113" i="9"/>
  <c r="AR114" i="9"/>
  <c r="AS114" i="9"/>
  <c r="AR115" i="9"/>
  <c r="AS115" i="9"/>
  <c r="AR116" i="9"/>
  <c r="AS116" i="9"/>
  <c r="AR117" i="9"/>
  <c r="AS117" i="9"/>
  <c r="AR119" i="9"/>
  <c r="AS119" i="9"/>
  <c r="AR120" i="9"/>
  <c r="AS120" i="9"/>
  <c r="AR121" i="9"/>
  <c r="AS121" i="9"/>
  <c r="AR122" i="9"/>
  <c r="AS122" i="9"/>
  <c r="AR123" i="9"/>
  <c r="AS123" i="9"/>
  <c r="AR124" i="9"/>
  <c r="AS124" i="9"/>
  <c r="AR125" i="9"/>
  <c r="AS125" i="9"/>
  <c r="AR126" i="9"/>
  <c r="AS126" i="9"/>
  <c r="AR127" i="9"/>
  <c r="AS127" i="9"/>
  <c r="AR128" i="9"/>
  <c r="AS128" i="9"/>
  <c r="AR129" i="9"/>
  <c r="AS129" i="9"/>
  <c r="AR130" i="9"/>
  <c r="AS130" i="9"/>
  <c r="AR131" i="9"/>
  <c r="AS131" i="9"/>
  <c r="AR132" i="9"/>
  <c r="AS132" i="9"/>
  <c r="AR133" i="9"/>
  <c r="AS133" i="9"/>
  <c r="AR134" i="9"/>
  <c r="AS134" i="9"/>
  <c r="AR135" i="9"/>
  <c r="AS135" i="9"/>
  <c r="AR136" i="9"/>
  <c r="AS136" i="9"/>
  <c r="AR137" i="9"/>
  <c r="AS137" i="9"/>
  <c r="AR138" i="9"/>
  <c r="AS138" i="9"/>
  <c r="AR139" i="9"/>
  <c r="AS139" i="9"/>
  <c r="AR140" i="9"/>
  <c r="AS140" i="9"/>
  <c r="AR141" i="9"/>
  <c r="AS141" i="9"/>
  <c r="AR142" i="9"/>
  <c r="AS142" i="9"/>
  <c r="AR143" i="9"/>
  <c r="AS143" i="9"/>
  <c r="AR144" i="9"/>
  <c r="AS144" i="9"/>
  <c r="AR145" i="9"/>
  <c r="AS145" i="9"/>
  <c r="AR146" i="9"/>
  <c r="AS146" i="9"/>
  <c r="AR147" i="9"/>
  <c r="AS147" i="9"/>
  <c r="AR148" i="9"/>
  <c r="AS148" i="9"/>
  <c r="AR150" i="9"/>
  <c r="AS150" i="9"/>
  <c r="AR151" i="9"/>
  <c r="AS151" i="9"/>
  <c r="AR152" i="9"/>
  <c r="AS152" i="9"/>
  <c r="AR153" i="9"/>
  <c r="AS153" i="9"/>
  <c r="AR154" i="9"/>
  <c r="AS154" i="9"/>
  <c r="AR155" i="9"/>
  <c r="AS155" i="9"/>
  <c r="AR156" i="9"/>
  <c r="AS156" i="9"/>
  <c r="AR157" i="9"/>
  <c r="AS157" i="9"/>
  <c r="AR158" i="9"/>
  <c r="AS158" i="9"/>
  <c r="AR159" i="9"/>
  <c r="AS159" i="9"/>
  <c r="AR160" i="9"/>
  <c r="AS160" i="9"/>
  <c r="AR161" i="9"/>
  <c r="AS161" i="9"/>
  <c r="AR162" i="9"/>
  <c r="AS162" i="9"/>
  <c r="AR163" i="9"/>
  <c r="AS163" i="9"/>
  <c r="AR164" i="9"/>
  <c r="AS164" i="9"/>
  <c r="AR165" i="9"/>
  <c r="AS165" i="9"/>
  <c r="AR166" i="9"/>
  <c r="AS166" i="9"/>
  <c r="AR167" i="9"/>
  <c r="AS167" i="9"/>
  <c r="AR168" i="9"/>
  <c r="AS168" i="9"/>
  <c r="AR169" i="9"/>
  <c r="AS169" i="9"/>
  <c r="AR170" i="9"/>
  <c r="AS170" i="9"/>
  <c r="AR171" i="9"/>
  <c r="AS171" i="9"/>
  <c r="AR172" i="9"/>
  <c r="AS172" i="9"/>
  <c r="AR173" i="9"/>
  <c r="AS173" i="9"/>
  <c r="AR174" i="9"/>
  <c r="AS174" i="9"/>
  <c r="AR175" i="9"/>
  <c r="AS175" i="9"/>
  <c r="AR176" i="9"/>
  <c r="AS176" i="9"/>
  <c r="AR177" i="9"/>
  <c r="AS177" i="9"/>
  <c r="AR178" i="9"/>
  <c r="AS178" i="9"/>
  <c r="AR179" i="9"/>
  <c r="AS179" i="9"/>
  <c r="AR180" i="9"/>
  <c r="AS180" i="9"/>
  <c r="AR181" i="9"/>
  <c r="AS181" i="9"/>
  <c r="AR182" i="9"/>
  <c r="AS182" i="9"/>
  <c r="AR183" i="9"/>
  <c r="AS183" i="9"/>
  <c r="AR184" i="9"/>
  <c r="AS184" i="9"/>
  <c r="AR185" i="9"/>
  <c r="AS185" i="9"/>
  <c r="AR186" i="9"/>
  <c r="AS186" i="9"/>
  <c r="AR187" i="9"/>
  <c r="AS187" i="9"/>
  <c r="AR188" i="9"/>
  <c r="AS188" i="9"/>
  <c r="AR190" i="9"/>
  <c r="AS190" i="9"/>
  <c r="AR191" i="9"/>
  <c r="AS191" i="9"/>
  <c r="AR192" i="9"/>
  <c r="AS192" i="9"/>
  <c r="AR193" i="9"/>
  <c r="AS193" i="9"/>
  <c r="AR194" i="9"/>
  <c r="AS194" i="9"/>
  <c r="AR196" i="9"/>
  <c r="AS196" i="9"/>
  <c r="AR198" i="9"/>
  <c r="AS198" i="9"/>
  <c r="AR199" i="9"/>
  <c r="AS199" i="9"/>
  <c r="AR200" i="9"/>
  <c r="AS200" i="9"/>
  <c r="AR201" i="9"/>
  <c r="AS201" i="9"/>
  <c r="AR202" i="9"/>
  <c r="AS202" i="9"/>
  <c r="AR203" i="9"/>
  <c r="AS203" i="9"/>
  <c r="AR204" i="9"/>
  <c r="AS204" i="9"/>
  <c r="AR205" i="9"/>
  <c r="AS205" i="9"/>
  <c r="AR206" i="9"/>
  <c r="AS206" i="9"/>
  <c r="AR207" i="9"/>
  <c r="AS207" i="9"/>
  <c r="AR208" i="9"/>
  <c r="AS208" i="9"/>
  <c r="AR209" i="9"/>
  <c r="AS209" i="9"/>
  <c r="AR210" i="9"/>
  <c r="AS210" i="9"/>
  <c r="AR211" i="9"/>
  <c r="AS211" i="9"/>
  <c r="AR212" i="9"/>
  <c r="AS212" i="9"/>
  <c r="AR213" i="9"/>
  <c r="AS213" i="9"/>
  <c r="AR214" i="9"/>
  <c r="AS214" i="9"/>
  <c r="AR215" i="9"/>
  <c r="AS215" i="9"/>
  <c r="AR216" i="9"/>
  <c r="AS216" i="9"/>
  <c r="AR218" i="9"/>
  <c r="AS218" i="9"/>
  <c r="AR219" i="9"/>
  <c r="AS219" i="9"/>
  <c r="AR220" i="9"/>
  <c r="AS220" i="9"/>
  <c r="AR221" i="9"/>
  <c r="AS221" i="9"/>
  <c r="AR222" i="9"/>
  <c r="AS222" i="9"/>
  <c r="AR223" i="9"/>
  <c r="AS223" i="9"/>
  <c r="AR224" i="9"/>
  <c r="AS224" i="9"/>
  <c r="AR225" i="9"/>
  <c r="AS225" i="9"/>
  <c r="AR226" i="9"/>
  <c r="AS226" i="9"/>
  <c r="AR227" i="9"/>
  <c r="AS227" i="9"/>
  <c r="AR228" i="9"/>
  <c r="AS228" i="9"/>
  <c r="AR229" i="9"/>
  <c r="AS229" i="9"/>
  <c r="AR230" i="9"/>
  <c r="AS230" i="9"/>
  <c r="AR231" i="9"/>
  <c r="AS231" i="9"/>
  <c r="AR232" i="9"/>
  <c r="AS232" i="9"/>
  <c r="AR233" i="9"/>
  <c r="AS233" i="9"/>
  <c r="AL5" i="9"/>
  <c r="AM5" i="9"/>
  <c r="AL6" i="9"/>
  <c r="AM6" i="9"/>
  <c r="AL7" i="9"/>
  <c r="AM7" i="9"/>
  <c r="AL8" i="9"/>
  <c r="AM8" i="9"/>
  <c r="AL9" i="9"/>
  <c r="AM9" i="9"/>
  <c r="AL10" i="9"/>
  <c r="AM10" i="9"/>
  <c r="AL11" i="9"/>
  <c r="AM11" i="9"/>
  <c r="AL12" i="9"/>
  <c r="AM12" i="9"/>
  <c r="AL13" i="9"/>
  <c r="AM13" i="9"/>
  <c r="AL14" i="9"/>
  <c r="AM14" i="9"/>
  <c r="AL15" i="9"/>
  <c r="AM15" i="9"/>
  <c r="AL16" i="9"/>
  <c r="AM16" i="9"/>
  <c r="AL17" i="9"/>
  <c r="AM17" i="9"/>
  <c r="AL18" i="9"/>
  <c r="AM18" i="9"/>
  <c r="AL19" i="9"/>
  <c r="AM19" i="9"/>
  <c r="AL20" i="9"/>
  <c r="AM20" i="9"/>
  <c r="AL21" i="9"/>
  <c r="AM21" i="9"/>
  <c r="AL22" i="9"/>
  <c r="AM22" i="9"/>
  <c r="AL23" i="9"/>
  <c r="AM23" i="9"/>
  <c r="AL24" i="9"/>
  <c r="AM24" i="9"/>
  <c r="AL25" i="9"/>
  <c r="AM25" i="9"/>
  <c r="AL26" i="9"/>
  <c r="AM26" i="9"/>
  <c r="AL27" i="9"/>
  <c r="AM27" i="9"/>
  <c r="AL28" i="9"/>
  <c r="AM28" i="9"/>
  <c r="AL29" i="9"/>
  <c r="AM29" i="9"/>
  <c r="AL30" i="9"/>
  <c r="AM30" i="9"/>
  <c r="AL31" i="9"/>
  <c r="AM31" i="9"/>
  <c r="AL32" i="9"/>
  <c r="AM32" i="9"/>
  <c r="AL33" i="9"/>
  <c r="AM33" i="9"/>
  <c r="AL34" i="9"/>
  <c r="AM34" i="9"/>
  <c r="AL35" i="9"/>
  <c r="AM35" i="9"/>
  <c r="AL36" i="9"/>
  <c r="AM36" i="9"/>
  <c r="AL37" i="9"/>
  <c r="AM37" i="9"/>
  <c r="AL38" i="9"/>
  <c r="AM38" i="9"/>
  <c r="AL39" i="9"/>
  <c r="AM39" i="9"/>
  <c r="AL40" i="9"/>
  <c r="AM40" i="9"/>
  <c r="AL41" i="9"/>
  <c r="AM41" i="9"/>
  <c r="AL42" i="9"/>
  <c r="AM42" i="9"/>
  <c r="AL43" i="9"/>
  <c r="AM43" i="9"/>
  <c r="AL44" i="9"/>
  <c r="AM44" i="9"/>
  <c r="AL45" i="9"/>
  <c r="AM45" i="9"/>
  <c r="AL46" i="9"/>
  <c r="AM46" i="9"/>
  <c r="AL47" i="9"/>
  <c r="AM47" i="9"/>
  <c r="AL48" i="9"/>
  <c r="AM48" i="9"/>
  <c r="AL49" i="9"/>
  <c r="AM49" i="9"/>
  <c r="AL50" i="9"/>
  <c r="AM50" i="9"/>
  <c r="AL51" i="9"/>
  <c r="AM51" i="9"/>
  <c r="AL52" i="9"/>
  <c r="AM52" i="9"/>
  <c r="AL53" i="9"/>
  <c r="AM53" i="9"/>
  <c r="AL54" i="9"/>
  <c r="AM54" i="9"/>
  <c r="AL55" i="9"/>
  <c r="AM55" i="9"/>
  <c r="AL56" i="9"/>
  <c r="AM56" i="9"/>
  <c r="AL57" i="9"/>
  <c r="AM57" i="9"/>
  <c r="AL58" i="9"/>
  <c r="AM58" i="9"/>
  <c r="AL59" i="9"/>
  <c r="AM59" i="9"/>
  <c r="AL60" i="9"/>
  <c r="AM60" i="9"/>
  <c r="AL61" i="9"/>
  <c r="AM61" i="9"/>
  <c r="AL62" i="9"/>
  <c r="AM62" i="9"/>
  <c r="AL63" i="9"/>
  <c r="AM63" i="9"/>
  <c r="AL64" i="9"/>
  <c r="AM64" i="9"/>
  <c r="AL65" i="9"/>
  <c r="AM65" i="9"/>
  <c r="AL66" i="9"/>
  <c r="AM66" i="9"/>
  <c r="AL67" i="9"/>
  <c r="AM67" i="9"/>
  <c r="AL68" i="9"/>
  <c r="AM68" i="9"/>
  <c r="AL69" i="9"/>
  <c r="AM69" i="9"/>
  <c r="AL70" i="9"/>
  <c r="AM70" i="9"/>
  <c r="AL71" i="9"/>
  <c r="AM71" i="9"/>
  <c r="AL72" i="9"/>
  <c r="AM72" i="9"/>
  <c r="AL73" i="9"/>
  <c r="AM73" i="9"/>
  <c r="AL74" i="9"/>
  <c r="AM74" i="9"/>
  <c r="AL75" i="9"/>
  <c r="AM75" i="9"/>
  <c r="AL76" i="9"/>
  <c r="AM76" i="9"/>
  <c r="AL78" i="9"/>
  <c r="AM78" i="9"/>
  <c r="AL79" i="9"/>
  <c r="AM79" i="9"/>
  <c r="AL80" i="9"/>
  <c r="AM80" i="9"/>
  <c r="AL81" i="9"/>
  <c r="AM81" i="9"/>
  <c r="AL82" i="9"/>
  <c r="AM82" i="9"/>
  <c r="AL83" i="9"/>
  <c r="AM83" i="9"/>
  <c r="AL84" i="9"/>
  <c r="AM84" i="9"/>
  <c r="AL85" i="9"/>
  <c r="AM85" i="9"/>
  <c r="AL86" i="9"/>
  <c r="AM86" i="9"/>
  <c r="AL87" i="9"/>
  <c r="AM87" i="9"/>
  <c r="AL88" i="9"/>
  <c r="AM88" i="9"/>
  <c r="AL89" i="9"/>
  <c r="AM89" i="9"/>
  <c r="AL90" i="9"/>
  <c r="AM90" i="9"/>
  <c r="AL91" i="9"/>
  <c r="AM91" i="9"/>
  <c r="AL92" i="9"/>
  <c r="AM92" i="9"/>
  <c r="AL93" i="9"/>
  <c r="AM93" i="9"/>
  <c r="AL94" i="9"/>
  <c r="AM94" i="9"/>
  <c r="AL95" i="9"/>
  <c r="AM95" i="9"/>
  <c r="AL96" i="9"/>
  <c r="AM96" i="9"/>
  <c r="AL97" i="9"/>
  <c r="AM97" i="9"/>
  <c r="AL98" i="9"/>
  <c r="AM98" i="9"/>
  <c r="AL99" i="9"/>
  <c r="AM99" i="9"/>
  <c r="AL100" i="9"/>
  <c r="AM100" i="9"/>
  <c r="AL101" i="9"/>
  <c r="AM101" i="9"/>
  <c r="AL102" i="9"/>
  <c r="AM102" i="9"/>
  <c r="AL103" i="9"/>
  <c r="AM103" i="9"/>
  <c r="AL104" i="9"/>
  <c r="AM104" i="9"/>
  <c r="AL105" i="9"/>
  <c r="AM105" i="9"/>
  <c r="AL106" i="9"/>
  <c r="AM106" i="9"/>
  <c r="AL108" i="9"/>
  <c r="AM108" i="9"/>
  <c r="AL109" i="9"/>
  <c r="AM109" i="9"/>
  <c r="AL110" i="9"/>
  <c r="AM110" i="9"/>
  <c r="AL111" i="9"/>
  <c r="AM111" i="9"/>
  <c r="AL112" i="9"/>
  <c r="AM112" i="9"/>
  <c r="AL113" i="9"/>
  <c r="AM113" i="9"/>
  <c r="AL114" i="9"/>
  <c r="AM114" i="9"/>
  <c r="AL115" i="9"/>
  <c r="AM115" i="9"/>
  <c r="AL116" i="9"/>
  <c r="AM116" i="9"/>
  <c r="AL117" i="9"/>
  <c r="AM117" i="9"/>
  <c r="AL119" i="9"/>
  <c r="AM119" i="9"/>
  <c r="AL120" i="9"/>
  <c r="AM120" i="9"/>
  <c r="AL121" i="9"/>
  <c r="AM121" i="9"/>
  <c r="AL122" i="9"/>
  <c r="AM122" i="9"/>
  <c r="AL123" i="9"/>
  <c r="AM123" i="9"/>
  <c r="AL124" i="9"/>
  <c r="AM124" i="9"/>
  <c r="AL125" i="9"/>
  <c r="AM125" i="9"/>
  <c r="AL126" i="9"/>
  <c r="AM126" i="9"/>
  <c r="AL127" i="9"/>
  <c r="AM127" i="9"/>
  <c r="AL128" i="9"/>
  <c r="AM128" i="9"/>
  <c r="AL129" i="9"/>
  <c r="AM129" i="9"/>
  <c r="AL130" i="9"/>
  <c r="AM130" i="9"/>
  <c r="AL131" i="9"/>
  <c r="AM131" i="9"/>
  <c r="AL132" i="9"/>
  <c r="AM132" i="9"/>
  <c r="AL133" i="9"/>
  <c r="AM133" i="9"/>
  <c r="AL134" i="9"/>
  <c r="AM134" i="9"/>
  <c r="AL135" i="9"/>
  <c r="AM135" i="9"/>
  <c r="AL136" i="9"/>
  <c r="AM136" i="9"/>
  <c r="AL137" i="9"/>
  <c r="AM137" i="9"/>
  <c r="AL138" i="9"/>
  <c r="AM138" i="9"/>
  <c r="AL139" i="9"/>
  <c r="AM139" i="9"/>
  <c r="AL140" i="9"/>
  <c r="AM140" i="9"/>
  <c r="AL141" i="9"/>
  <c r="AM141" i="9"/>
  <c r="AL142" i="9"/>
  <c r="AM142" i="9"/>
  <c r="AL143" i="9"/>
  <c r="AM143" i="9"/>
  <c r="AL144" i="9"/>
  <c r="AM144" i="9"/>
  <c r="AL145" i="9"/>
  <c r="AM145" i="9"/>
  <c r="AL146" i="9"/>
  <c r="AM146" i="9"/>
  <c r="AL147" i="9"/>
  <c r="AM147" i="9"/>
  <c r="AL148" i="9"/>
  <c r="AM148" i="9"/>
  <c r="AL150" i="9"/>
  <c r="AM150" i="9"/>
  <c r="AL151" i="9"/>
  <c r="AM151" i="9"/>
  <c r="AL152" i="9"/>
  <c r="AM152" i="9"/>
  <c r="AL153" i="9"/>
  <c r="AM153" i="9"/>
  <c r="AL154" i="9"/>
  <c r="AM154" i="9"/>
  <c r="AL155" i="9"/>
  <c r="AM155" i="9"/>
  <c r="AL156" i="9"/>
  <c r="AM156" i="9"/>
  <c r="AL157" i="9"/>
  <c r="AM157" i="9"/>
  <c r="AL158" i="9"/>
  <c r="AM158" i="9"/>
  <c r="AL159" i="9"/>
  <c r="AM159" i="9"/>
  <c r="AL160" i="9"/>
  <c r="AM160" i="9"/>
  <c r="AL161" i="9"/>
  <c r="AM161" i="9"/>
  <c r="AL162" i="9"/>
  <c r="AM162" i="9"/>
  <c r="AL163" i="9"/>
  <c r="AM163" i="9"/>
  <c r="AL164" i="9"/>
  <c r="AM164" i="9"/>
  <c r="AL165" i="9"/>
  <c r="AM165" i="9"/>
  <c r="AL166" i="9"/>
  <c r="AM166" i="9"/>
  <c r="AL167" i="9"/>
  <c r="AM167" i="9"/>
  <c r="AL168" i="9"/>
  <c r="AM168" i="9"/>
  <c r="AL169" i="9"/>
  <c r="AM169" i="9"/>
  <c r="AL170" i="9"/>
  <c r="AM170" i="9"/>
  <c r="AL171" i="9"/>
  <c r="AM171" i="9"/>
  <c r="AL172" i="9"/>
  <c r="AM172" i="9"/>
  <c r="AL173" i="9"/>
  <c r="AM173" i="9"/>
  <c r="AL174" i="9"/>
  <c r="AM174" i="9"/>
  <c r="AL175" i="9"/>
  <c r="AM175" i="9"/>
  <c r="AL176" i="9"/>
  <c r="AM176" i="9"/>
  <c r="AL177" i="9"/>
  <c r="AM177" i="9"/>
  <c r="AL178" i="9"/>
  <c r="AM178" i="9"/>
  <c r="AL179" i="9"/>
  <c r="AM179" i="9"/>
  <c r="AL180" i="9"/>
  <c r="AM180" i="9"/>
  <c r="AL181" i="9"/>
  <c r="AM181" i="9"/>
  <c r="AL182" i="9"/>
  <c r="AM182" i="9"/>
  <c r="AL183" i="9"/>
  <c r="AM183" i="9"/>
  <c r="AL184" i="9"/>
  <c r="AM184" i="9"/>
  <c r="AL185" i="9"/>
  <c r="AM185" i="9"/>
  <c r="AL186" i="9"/>
  <c r="AM186" i="9"/>
  <c r="AL187" i="9"/>
  <c r="AM187" i="9"/>
  <c r="AL188" i="9"/>
  <c r="AM188" i="9"/>
  <c r="AL190" i="9"/>
  <c r="AM190" i="9"/>
  <c r="AL191" i="9"/>
  <c r="AM191" i="9"/>
  <c r="AL192" i="9"/>
  <c r="AM192" i="9"/>
  <c r="AL193" i="9"/>
  <c r="AM193" i="9"/>
  <c r="AL194" i="9"/>
  <c r="AM194" i="9"/>
  <c r="AL196" i="9"/>
  <c r="AM196" i="9"/>
  <c r="AL198" i="9"/>
  <c r="AM198" i="9"/>
  <c r="AL199" i="9"/>
  <c r="AM199" i="9"/>
  <c r="AL200" i="9"/>
  <c r="AM200" i="9"/>
  <c r="AL201" i="9"/>
  <c r="AM201" i="9"/>
  <c r="AL202" i="9"/>
  <c r="AM202" i="9"/>
  <c r="AL203" i="9"/>
  <c r="AM203" i="9"/>
  <c r="AL204" i="9"/>
  <c r="AM204" i="9"/>
  <c r="AL205" i="9"/>
  <c r="AM205" i="9"/>
  <c r="AL206" i="9"/>
  <c r="AM206" i="9"/>
  <c r="AL207" i="9"/>
  <c r="AM207" i="9"/>
  <c r="AL208" i="9"/>
  <c r="AM208" i="9"/>
  <c r="AL209" i="9"/>
  <c r="AM209" i="9"/>
  <c r="AL210" i="9"/>
  <c r="AM210" i="9"/>
  <c r="AL211" i="9"/>
  <c r="AM211" i="9"/>
  <c r="AL212" i="9"/>
  <c r="AM212" i="9"/>
  <c r="AL213" i="9"/>
  <c r="AM213" i="9"/>
  <c r="AL214" i="9"/>
  <c r="AM214" i="9"/>
  <c r="AL215" i="9"/>
  <c r="AM215" i="9"/>
  <c r="AL216" i="9"/>
  <c r="AM216" i="9"/>
  <c r="AL218" i="9"/>
  <c r="AM218" i="9"/>
  <c r="AL219" i="9"/>
  <c r="AM219" i="9"/>
  <c r="AL220" i="9"/>
  <c r="AM220" i="9"/>
  <c r="AL221" i="9"/>
  <c r="AM221" i="9"/>
  <c r="AL222" i="9"/>
  <c r="AM222" i="9"/>
  <c r="AL223" i="9"/>
  <c r="AM223" i="9"/>
  <c r="AL224" i="9"/>
  <c r="AM224" i="9"/>
  <c r="AL225" i="9"/>
  <c r="AM225" i="9"/>
  <c r="AL226" i="9"/>
  <c r="AM226" i="9"/>
  <c r="AL227" i="9"/>
  <c r="AM227" i="9"/>
  <c r="AL228" i="9"/>
  <c r="AM228" i="9"/>
  <c r="AL229" i="9"/>
  <c r="AM229" i="9"/>
  <c r="AL230" i="9"/>
  <c r="AM230" i="9"/>
  <c r="AL231" i="9"/>
  <c r="AM231" i="9"/>
  <c r="AL232" i="9"/>
  <c r="AM232" i="9"/>
  <c r="AL233" i="9"/>
  <c r="AM233" i="9"/>
  <c r="AH5" i="9"/>
  <c r="AH10" i="9"/>
  <c r="AN10" i="9" s="1"/>
  <c r="AH12" i="9"/>
  <c r="AI12" i="9" s="1"/>
  <c r="AH41" i="9"/>
  <c r="AH43" i="9"/>
  <c r="AH50" i="9"/>
  <c r="AN50" i="9" s="1"/>
  <c r="AH58" i="9"/>
  <c r="AN58" i="9" s="1"/>
  <c r="AH61" i="9"/>
  <c r="AN61" i="9" s="1"/>
  <c r="AH73" i="9"/>
  <c r="AN73" i="9" s="1"/>
  <c r="AH75" i="9"/>
  <c r="AN75" i="9" s="1"/>
  <c r="AH104" i="9"/>
  <c r="AN104" i="9" s="1"/>
  <c r="AH114" i="9"/>
  <c r="AN114" i="9" s="1"/>
  <c r="AH132" i="9"/>
  <c r="AN132" i="9" s="1"/>
  <c r="AH141" i="9"/>
  <c r="AN141" i="9" s="1"/>
  <c r="AH180" i="9"/>
  <c r="AN180" i="9" s="1"/>
  <c r="AO180" i="9" s="1"/>
  <c r="AH191" i="9"/>
  <c r="AN191" i="9" s="1"/>
  <c r="AH212" i="9"/>
  <c r="AN212" i="9" s="1"/>
  <c r="AH222" i="9"/>
  <c r="AN222" i="9" s="1"/>
  <c r="AH223" i="9"/>
  <c r="AN223" i="9" s="1"/>
  <c r="AH224" i="9"/>
  <c r="AN224" i="9" s="1"/>
  <c r="AO224" i="9" s="1"/>
  <c r="AH225" i="9"/>
  <c r="AN225" i="9" s="1"/>
  <c r="AH226" i="9"/>
  <c r="AN226" i="9" s="1"/>
  <c r="AH227" i="9"/>
  <c r="AN227" i="9" s="1"/>
  <c r="AH228" i="9"/>
  <c r="AN228" i="9" s="1"/>
  <c r="AT228" i="9" s="1"/>
  <c r="AU228" i="9" s="1"/>
  <c r="AH229" i="9"/>
  <c r="AN229" i="9" s="1"/>
  <c r="AH230" i="9"/>
  <c r="AN230" i="9" s="1"/>
  <c r="AH231" i="9"/>
  <c r="AN231" i="9" s="1"/>
  <c r="AO231" i="9" s="1"/>
  <c r="AH232" i="9"/>
  <c r="AN232" i="9" s="1"/>
  <c r="AH233" i="9"/>
  <c r="AN233" i="9" s="1"/>
  <c r="BD172" i="9"/>
  <c r="BE172" i="9"/>
  <c r="BE5" i="9"/>
  <c r="BE6" i="9"/>
  <c r="BE7" i="9"/>
  <c r="BE8" i="9"/>
  <c r="BE9" i="9"/>
  <c r="BE10" i="9"/>
  <c r="BE11" i="9"/>
  <c r="BE12" i="9"/>
  <c r="BE13" i="9"/>
  <c r="BE14" i="9"/>
  <c r="BD5" i="9"/>
  <c r="BD6" i="9"/>
  <c r="BD7" i="9"/>
  <c r="BD8" i="9"/>
  <c r="BD9" i="9"/>
  <c r="BD10" i="9"/>
  <c r="BD11" i="9"/>
  <c r="BD12" i="9"/>
  <c r="BD13" i="9"/>
  <c r="BD14" i="9"/>
  <c r="BD15" i="9"/>
  <c r="BD16" i="9"/>
  <c r="BD17" i="9"/>
  <c r="AG61" i="9"/>
  <c r="AF58" i="9"/>
  <c r="AG58" i="9"/>
  <c r="AI50" i="9" l="1"/>
  <c r="AI229" i="9"/>
  <c r="AI212" i="9"/>
  <c r="AI61" i="9"/>
  <c r="AI58" i="9"/>
  <c r="AO223" i="9"/>
  <c r="AT223" i="9"/>
  <c r="AU223" i="9" s="1"/>
  <c r="AO132" i="9"/>
  <c r="AT132" i="9"/>
  <c r="AU132" i="9" s="1"/>
  <c r="AI227" i="9"/>
  <c r="AI75" i="9"/>
  <c r="AT180" i="9"/>
  <c r="AU180" i="9" s="1"/>
  <c r="AO229" i="9"/>
  <c r="AT229" i="9"/>
  <c r="AU229" i="9" s="1"/>
  <c r="AO212" i="9"/>
  <c r="AT212" i="9"/>
  <c r="AO61" i="9"/>
  <c r="AT61" i="9"/>
  <c r="AI5" i="9"/>
  <c r="AN5" i="9"/>
  <c r="AI226" i="9"/>
  <c r="AI191" i="9"/>
  <c r="AI141" i="9"/>
  <c r="AI10" i="9"/>
  <c r="AT231" i="9"/>
  <c r="AU231" i="9" s="1"/>
  <c r="AI233" i="9"/>
  <c r="AI225" i="9"/>
  <c r="AI132" i="9"/>
  <c r="AI73" i="9"/>
  <c r="AT224" i="9"/>
  <c r="AU224" i="9" s="1"/>
  <c r="AT222" i="9"/>
  <c r="AU222" i="9" s="1"/>
  <c r="AO222" i="9"/>
  <c r="AI224" i="9"/>
  <c r="AI114" i="9"/>
  <c r="AO230" i="9"/>
  <c r="AT230" i="9"/>
  <c r="AU230" i="9" s="1"/>
  <c r="AO227" i="9"/>
  <c r="AT227" i="9"/>
  <c r="AU227" i="9" s="1"/>
  <c r="AO75" i="9"/>
  <c r="AT75" i="9"/>
  <c r="AU75" i="9" s="1"/>
  <c r="AI43" i="9"/>
  <c r="AN43" i="9"/>
  <c r="AI232" i="9"/>
  <c r="AI180" i="9"/>
  <c r="AT226" i="9"/>
  <c r="AU226" i="9" s="1"/>
  <c r="AO226" i="9"/>
  <c r="AT191" i="9"/>
  <c r="AO191" i="9"/>
  <c r="AT141" i="9"/>
  <c r="AU141" i="9" s="1"/>
  <c r="AO141" i="9"/>
  <c r="AT58" i="9"/>
  <c r="AO58" i="9"/>
  <c r="AO50" i="9"/>
  <c r="AT50" i="9"/>
  <c r="AU50" i="9" s="1"/>
  <c r="AT10" i="9"/>
  <c r="AU10" i="9" s="1"/>
  <c r="AO10" i="9"/>
  <c r="AI231" i="9"/>
  <c r="AI223" i="9"/>
  <c r="AI104" i="9"/>
  <c r="AO233" i="9"/>
  <c r="AT233" i="9"/>
  <c r="AU233" i="9" s="1"/>
  <c r="AO73" i="9"/>
  <c r="AT73" i="9"/>
  <c r="AN41" i="9"/>
  <c r="AI41" i="9"/>
  <c r="AI230" i="9"/>
  <c r="AI222" i="9"/>
  <c r="AN12" i="9"/>
  <c r="AO225" i="9"/>
  <c r="AT225" i="9"/>
  <c r="AU225" i="9" s="1"/>
  <c r="AT232" i="9"/>
  <c r="AU232" i="9" s="1"/>
  <c r="AO232" i="9"/>
  <c r="AT114" i="9"/>
  <c r="AU114" i="9" s="1"/>
  <c r="AO114" i="9"/>
  <c r="AO228" i="9"/>
  <c r="AO104" i="9"/>
  <c r="AT104" i="9"/>
  <c r="AI228" i="9"/>
  <c r="AG104" i="9"/>
  <c r="K104" i="9"/>
  <c r="AZ141" i="9"/>
  <c r="BA141" i="9" l="1"/>
  <c r="BF141" i="9"/>
  <c r="BG141" i="9" s="1"/>
  <c r="AO12" i="9"/>
  <c r="AT12" i="9"/>
  <c r="AU12" i="9" s="1"/>
  <c r="AO43" i="9"/>
  <c r="AT43" i="9"/>
  <c r="AU43" i="9" s="1"/>
  <c r="AU61" i="9"/>
  <c r="AZ61" i="9"/>
  <c r="BF61" i="9" s="1"/>
  <c r="AO5" i="9"/>
  <c r="AT5" i="9"/>
  <c r="AU5" i="9" s="1"/>
  <c r="AU212" i="9"/>
  <c r="AZ212" i="9"/>
  <c r="AZ104" i="9"/>
  <c r="BF104" i="9" s="1"/>
  <c r="BG104" i="9" s="1"/>
  <c r="AU104" i="9"/>
  <c r="AU58" i="9"/>
  <c r="AZ58" i="9"/>
  <c r="BF58" i="9" s="1"/>
  <c r="BG58" i="9" s="1"/>
  <c r="AO41" i="9"/>
  <c r="AT41" i="9"/>
  <c r="AU41" i="9" s="1"/>
  <c r="AU73" i="9"/>
  <c r="AZ73" i="9"/>
  <c r="AU191" i="9"/>
  <c r="AZ191" i="9"/>
  <c r="BF191" i="9" s="1"/>
  <c r="AZ132" i="9"/>
  <c r="CC222" i="9"/>
  <c r="CC223" i="9"/>
  <c r="CC224" i="9"/>
  <c r="CC225" i="9"/>
  <c r="CC226" i="9"/>
  <c r="CC227" i="9"/>
  <c r="CC228" i="9"/>
  <c r="CB222" i="9"/>
  <c r="CB223" i="9"/>
  <c r="CB224" i="9"/>
  <c r="CB225" i="9"/>
  <c r="CB226" i="9"/>
  <c r="CB227" i="9"/>
  <c r="CB228" i="9"/>
  <c r="BW222" i="9"/>
  <c r="BW223" i="9"/>
  <c r="BW224" i="9"/>
  <c r="BW225" i="9"/>
  <c r="BW226" i="9"/>
  <c r="BW227" i="9"/>
  <c r="BW228" i="9"/>
  <c r="BV222" i="9"/>
  <c r="BV223" i="9"/>
  <c r="BV224" i="9"/>
  <c r="BV225" i="9"/>
  <c r="BV226" i="9"/>
  <c r="BV227" i="9"/>
  <c r="BV228" i="9"/>
  <c r="BQ222" i="9"/>
  <c r="BQ223" i="9"/>
  <c r="BQ224" i="9"/>
  <c r="BQ225" i="9"/>
  <c r="BQ226" i="9"/>
  <c r="BQ227" i="9"/>
  <c r="BQ228" i="9"/>
  <c r="BQ229" i="9"/>
  <c r="BP222" i="9"/>
  <c r="BP223" i="9"/>
  <c r="BP224" i="9"/>
  <c r="BP225" i="9"/>
  <c r="BP226" i="9"/>
  <c r="BP227" i="9"/>
  <c r="BP228" i="9"/>
  <c r="BP229" i="9"/>
  <c r="BK222" i="9"/>
  <c r="BK223" i="9"/>
  <c r="BK224" i="9"/>
  <c r="BK225" i="9"/>
  <c r="BK226" i="9"/>
  <c r="BK227" i="9"/>
  <c r="BK228" i="9"/>
  <c r="BJ222" i="9"/>
  <c r="BJ223" i="9"/>
  <c r="BJ224" i="9"/>
  <c r="BJ225" i="9"/>
  <c r="BJ226" i="9"/>
  <c r="BJ227" i="9"/>
  <c r="BJ228" i="9"/>
  <c r="BE229" i="9"/>
  <c r="BE222" i="9"/>
  <c r="BE223" i="9"/>
  <c r="BE224" i="9"/>
  <c r="BE225" i="9"/>
  <c r="BE226" i="9"/>
  <c r="BE227" i="9"/>
  <c r="BE228" i="9"/>
  <c r="BD222" i="9"/>
  <c r="BD223" i="9"/>
  <c r="BD224" i="9"/>
  <c r="BD225" i="9"/>
  <c r="BD226" i="9"/>
  <c r="BD227" i="9"/>
  <c r="BD228" i="9"/>
  <c r="BD229" i="9"/>
  <c r="BA73" i="9" l="1"/>
  <c r="BF73" i="9"/>
  <c r="BG73" i="9" s="1"/>
  <c r="BA132" i="9"/>
  <c r="BF132" i="9"/>
  <c r="BF212" i="9"/>
  <c r="BA212" i="9"/>
  <c r="AZ75" i="9"/>
  <c r="BA75" i="9" l="1"/>
  <c r="BF75" i="9"/>
  <c r="BG132" i="9"/>
  <c r="BL132" i="9"/>
  <c r="BG212" i="9"/>
  <c r="BL212" i="9"/>
  <c r="AG226" i="9"/>
  <c r="AG227" i="9"/>
  <c r="AG228" i="9"/>
  <c r="AG229" i="9"/>
  <c r="AF226" i="9"/>
  <c r="AF227" i="9"/>
  <c r="AF228" i="9"/>
  <c r="AF229" i="9"/>
  <c r="AC226" i="9"/>
  <c r="AC227" i="9"/>
  <c r="AC228" i="9"/>
  <c r="AC229" i="9"/>
  <c r="AF50" i="9"/>
  <c r="AB172" i="9"/>
  <c r="AF222" i="9"/>
  <c r="AF223" i="9"/>
  <c r="AF224" i="9"/>
  <c r="AF225" i="9"/>
  <c r="AG225" i="9"/>
  <c r="AG224" i="9"/>
  <c r="AG223" i="9"/>
  <c r="AG222" i="9"/>
  <c r="AC222" i="9"/>
  <c r="AC223" i="9"/>
  <c r="AC224" i="9"/>
  <c r="AC225" i="9"/>
  <c r="CC221" i="9"/>
  <c r="CB221" i="9"/>
  <c r="BW221" i="9"/>
  <c r="BV221" i="9"/>
  <c r="BQ221" i="9"/>
  <c r="BP221" i="9"/>
  <c r="BK221" i="9"/>
  <c r="BJ221" i="9"/>
  <c r="BE221" i="9"/>
  <c r="BD221" i="9"/>
  <c r="AG221" i="9"/>
  <c r="AF221" i="9"/>
  <c r="AA221" i="9"/>
  <c r="Z221" i="9"/>
  <c r="U221" i="9"/>
  <c r="T221" i="9"/>
  <c r="P221" i="9"/>
  <c r="V221" i="9" s="1"/>
  <c r="O221" i="9"/>
  <c r="N221" i="9"/>
  <c r="K221" i="9"/>
  <c r="K141" i="9"/>
  <c r="AG114" i="9"/>
  <c r="AG75" i="9"/>
  <c r="AF132" i="9"/>
  <c r="AG132" i="9"/>
  <c r="AC132" i="9"/>
  <c r="AF180" i="9"/>
  <c r="AG180" i="9"/>
  <c r="AC180" i="9"/>
  <c r="K180" i="9"/>
  <c r="AB183" i="9"/>
  <c r="AH183" i="9" s="1"/>
  <c r="AF183" i="9"/>
  <c r="AG183" i="9"/>
  <c r="BM132" i="9" l="1"/>
  <c r="BR132" i="9"/>
  <c r="AN183" i="9"/>
  <c r="AI183" i="9"/>
  <c r="AC172" i="9"/>
  <c r="AH172" i="9"/>
  <c r="BM212" i="9"/>
  <c r="BR212" i="9"/>
  <c r="AZ5" i="9"/>
  <c r="BF5" i="9" s="1"/>
  <c r="AZ10" i="9"/>
  <c r="BF10" i="9" s="1"/>
  <c r="AZ12" i="9"/>
  <c r="BF12" i="9" s="1"/>
  <c r="W221" i="9"/>
  <c r="AB221" i="9"/>
  <c r="AH221" i="9" s="1"/>
  <c r="Q221" i="9"/>
  <c r="AC183" i="9"/>
  <c r="BS132" i="9" l="1"/>
  <c r="BX132" i="9"/>
  <c r="AN221" i="9"/>
  <c r="AI221" i="9"/>
  <c r="BX212" i="9"/>
  <c r="BS212" i="9"/>
  <c r="AN172" i="9"/>
  <c r="AI172" i="9"/>
  <c r="AO183" i="9"/>
  <c r="AT183" i="9"/>
  <c r="AU183" i="9" s="1"/>
  <c r="AZ224" i="9"/>
  <c r="AZ225" i="9"/>
  <c r="AC221" i="9"/>
  <c r="CC157" i="9"/>
  <c r="CC158" i="9"/>
  <c r="CC159" i="9"/>
  <c r="CC160" i="9"/>
  <c r="CC161" i="9"/>
  <c r="CB157" i="9"/>
  <c r="CB158" i="9"/>
  <c r="CB159" i="9"/>
  <c r="CB160" i="9"/>
  <c r="CB161" i="9"/>
  <c r="BW157" i="9"/>
  <c r="BW158" i="9"/>
  <c r="BW159" i="9"/>
  <c r="BW160" i="9"/>
  <c r="BW161" i="9"/>
  <c r="BV157" i="9"/>
  <c r="BV158" i="9"/>
  <c r="BV159" i="9"/>
  <c r="BV160" i="9"/>
  <c r="BV161" i="9"/>
  <c r="BQ157" i="9"/>
  <c r="BQ158" i="9"/>
  <c r="BQ159" i="9"/>
  <c r="BQ160" i="9"/>
  <c r="BQ161" i="9"/>
  <c r="BP161" i="9"/>
  <c r="BP157" i="9"/>
  <c r="BP158" i="9"/>
  <c r="BP159" i="9"/>
  <c r="BP160" i="9"/>
  <c r="BK157" i="9"/>
  <c r="BK158" i="9"/>
  <c r="BK159" i="9"/>
  <c r="BK160" i="9"/>
  <c r="BK161" i="9"/>
  <c r="BJ157" i="9"/>
  <c r="BJ158" i="9"/>
  <c r="BJ159" i="9"/>
  <c r="BJ160" i="9"/>
  <c r="BJ161" i="9"/>
  <c r="BE157" i="9"/>
  <c r="BE158" i="9"/>
  <c r="BE159" i="9"/>
  <c r="BE160" i="9"/>
  <c r="BE161" i="9"/>
  <c r="BD157" i="9"/>
  <c r="BD158" i="9"/>
  <c r="BD159" i="9"/>
  <c r="BD160" i="9"/>
  <c r="BD161" i="9"/>
  <c r="Z6" i="9"/>
  <c r="AA6" i="9"/>
  <c r="Z7" i="9"/>
  <c r="AA7" i="9"/>
  <c r="Z8" i="9"/>
  <c r="AA8" i="9"/>
  <c r="Z9" i="9"/>
  <c r="AA9" i="9"/>
  <c r="Z11" i="9"/>
  <c r="AA11" i="9"/>
  <c r="Z13" i="9"/>
  <c r="AA13" i="9"/>
  <c r="Z14" i="9"/>
  <c r="AA14" i="9"/>
  <c r="Z15" i="9"/>
  <c r="AA15" i="9"/>
  <c r="Z16" i="9"/>
  <c r="AA16" i="9"/>
  <c r="Z17" i="9"/>
  <c r="AA17" i="9"/>
  <c r="Z18" i="9"/>
  <c r="AA18" i="9"/>
  <c r="Z19" i="9"/>
  <c r="AA19" i="9"/>
  <c r="Z20" i="9"/>
  <c r="AA20" i="9"/>
  <c r="Z21" i="9"/>
  <c r="AA21" i="9"/>
  <c r="Z22" i="9"/>
  <c r="AA22" i="9"/>
  <c r="Z23" i="9"/>
  <c r="AA23" i="9"/>
  <c r="Z24" i="9"/>
  <c r="AA24" i="9"/>
  <c r="Z25" i="9"/>
  <c r="AA25" i="9"/>
  <c r="Z26" i="9"/>
  <c r="AA26" i="9"/>
  <c r="Z27" i="9"/>
  <c r="AA27" i="9"/>
  <c r="Z28" i="9"/>
  <c r="AA28" i="9"/>
  <c r="Z29" i="9"/>
  <c r="AA29" i="9"/>
  <c r="Z30" i="9"/>
  <c r="AA30" i="9"/>
  <c r="Z31" i="9"/>
  <c r="AA31" i="9"/>
  <c r="Z32" i="9"/>
  <c r="AA32" i="9"/>
  <c r="Z33" i="9"/>
  <c r="AA33" i="9"/>
  <c r="Z34" i="9"/>
  <c r="AA34" i="9"/>
  <c r="Z35" i="9"/>
  <c r="AA35" i="9"/>
  <c r="Z36" i="9"/>
  <c r="AA36" i="9"/>
  <c r="Z37" i="9"/>
  <c r="AA37" i="9"/>
  <c r="Z38" i="9"/>
  <c r="AA38" i="9"/>
  <c r="Z39" i="9"/>
  <c r="AA39" i="9"/>
  <c r="Z40" i="9"/>
  <c r="AA40" i="9"/>
  <c r="Z42" i="9"/>
  <c r="AA42" i="9"/>
  <c r="Z44" i="9"/>
  <c r="AA44" i="9"/>
  <c r="Z45" i="9"/>
  <c r="AA45" i="9"/>
  <c r="Z46" i="9"/>
  <c r="AA46" i="9"/>
  <c r="Z47" i="9"/>
  <c r="AA47" i="9"/>
  <c r="Z48" i="9"/>
  <c r="AA48" i="9"/>
  <c r="Z49" i="9"/>
  <c r="AA49" i="9"/>
  <c r="Z51" i="9"/>
  <c r="AA51" i="9"/>
  <c r="Z52" i="9"/>
  <c r="AA52" i="9"/>
  <c r="Z53" i="9"/>
  <c r="AA53" i="9"/>
  <c r="Z54" i="9"/>
  <c r="AA54" i="9"/>
  <c r="Z55" i="9"/>
  <c r="AA55" i="9"/>
  <c r="Z56" i="9"/>
  <c r="AA56" i="9"/>
  <c r="Z57" i="9"/>
  <c r="AA57" i="9"/>
  <c r="Z59" i="9"/>
  <c r="AA59" i="9"/>
  <c r="Z60" i="9"/>
  <c r="AA60" i="9"/>
  <c r="Z62" i="9"/>
  <c r="AA62" i="9"/>
  <c r="Z63" i="9"/>
  <c r="AA63" i="9"/>
  <c r="Z64" i="9"/>
  <c r="AA64" i="9"/>
  <c r="Z65" i="9"/>
  <c r="AA65" i="9"/>
  <c r="Z66" i="9"/>
  <c r="AA66" i="9"/>
  <c r="Z67" i="9"/>
  <c r="AA67" i="9"/>
  <c r="Z68" i="9"/>
  <c r="AA68" i="9"/>
  <c r="Z69" i="9"/>
  <c r="AA69" i="9"/>
  <c r="Z70" i="9"/>
  <c r="AA70" i="9"/>
  <c r="Z71" i="9"/>
  <c r="AA71" i="9"/>
  <c r="Z72" i="9"/>
  <c r="AA72" i="9"/>
  <c r="Z74" i="9"/>
  <c r="AA74" i="9"/>
  <c r="Z76" i="9"/>
  <c r="AA76" i="9"/>
  <c r="Z78" i="9"/>
  <c r="AA78" i="9"/>
  <c r="Z79" i="9"/>
  <c r="AA79" i="9"/>
  <c r="Z80" i="9"/>
  <c r="AA80" i="9"/>
  <c r="Z81" i="9"/>
  <c r="AA81" i="9"/>
  <c r="Z82" i="9"/>
  <c r="AA82" i="9"/>
  <c r="Z83" i="9"/>
  <c r="AA83" i="9"/>
  <c r="Z84" i="9"/>
  <c r="AA84" i="9"/>
  <c r="Z85" i="9"/>
  <c r="AA85" i="9"/>
  <c r="Z86" i="9"/>
  <c r="AA86" i="9"/>
  <c r="Z87" i="9"/>
  <c r="AA87" i="9"/>
  <c r="Z88" i="9"/>
  <c r="AA88" i="9"/>
  <c r="Z89" i="9"/>
  <c r="AA89" i="9"/>
  <c r="Z90" i="9"/>
  <c r="AA90" i="9"/>
  <c r="Z91" i="9"/>
  <c r="AA91" i="9"/>
  <c r="Z92" i="9"/>
  <c r="AA92" i="9"/>
  <c r="Z93" i="9"/>
  <c r="AA93" i="9"/>
  <c r="Z94" i="9"/>
  <c r="AA94" i="9"/>
  <c r="Z95" i="9"/>
  <c r="AA95" i="9"/>
  <c r="Z96" i="9"/>
  <c r="AA96" i="9"/>
  <c r="Z97" i="9"/>
  <c r="AA97" i="9"/>
  <c r="Z98" i="9"/>
  <c r="AA98" i="9"/>
  <c r="Z99" i="9"/>
  <c r="AA99" i="9"/>
  <c r="Z100" i="9"/>
  <c r="AA100" i="9"/>
  <c r="Z101" i="9"/>
  <c r="AA101" i="9"/>
  <c r="Z102" i="9"/>
  <c r="AA102" i="9"/>
  <c r="Z103" i="9"/>
  <c r="AA103" i="9"/>
  <c r="Z105" i="9"/>
  <c r="AA105" i="9"/>
  <c r="Z106" i="9"/>
  <c r="AA106" i="9"/>
  <c r="Z108" i="9"/>
  <c r="AA108" i="9"/>
  <c r="Z109" i="9"/>
  <c r="AA109" i="9"/>
  <c r="Z110" i="9"/>
  <c r="AA110" i="9"/>
  <c r="Z111" i="9"/>
  <c r="AA111" i="9"/>
  <c r="Z112" i="9"/>
  <c r="AA112" i="9"/>
  <c r="Z113" i="9"/>
  <c r="AA113" i="9"/>
  <c r="Z115" i="9"/>
  <c r="AA115" i="9"/>
  <c r="Z116" i="9"/>
  <c r="AA116" i="9"/>
  <c r="Z117" i="9"/>
  <c r="AA117" i="9"/>
  <c r="Z119" i="9"/>
  <c r="AA119" i="9"/>
  <c r="Z120" i="9"/>
  <c r="AA120" i="9"/>
  <c r="Z121" i="9"/>
  <c r="AA121" i="9"/>
  <c r="Z122" i="9"/>
  <c r="AA122" i="9"/>
  <c r="Z123" i="9"/>
  <c r="AA123" i="9"/>
  <c r="Z124" i="9"/>
  <c r="AA124" i="9"/>
  <c r="Z125" i="9"/>
  <c r="AA125" i="9"/>
  <c r="Z126" i="9"/>
  <c r="AA126" i="9"/>
  <c r="Z127" i="9"/>
  <c r="AA127" i="9"/>
  <c r="Z128" i="9"/>
  <c r="AA128" i="9"/>
  <c r="Z129" i="9"/>
  <c r="AA129" i="9"/>
  <c r="Z130" i="9"/>
  <c r="AA130" i="9"/>
  <c r="Z131" i="9"/>
  <c r="AA131" i="9"/>
  <c r="Z133" i="9"/>
  <c r="AA133" i="9"/>
  <c r="Z134" i="9"/>
  <c r="AA134" i="9"/>
  <c r="Z135" i="9"/>
  <c r="AA135" i="9"/>
  <c r="Z136" i="9"/>
  <c r="AA136" i="9"/>
  <c r="Z137" i="9"/>
  <c r="AA137" i="9"/>
  <c r="Z138" i="9"/>
  <c r="AA138" i="9"/>
  <c r="Z139" i="9"/>
  <c r="AA139" i="9"/>
  <c r="Z140" i="9"/>
  <c r="AA140" i="9"/>
  <c r="Z142" i="9"/>
  <c r="AA142" i="9"/>
  <c r="Z143" i="9"/>
  <c r="AA143" i="9"/>
  <c r="Z144" i="9"/>
  <c r="AA144" i="9"/>
  <c r="Z145" i="9"/>
  <c r="AA145" i="9"/>
  <c r="Z146" i="9"/>
  <c r="AA146" i="9"/>
  <c r="Z147" i="9"/>
  <c r="AA147" i="9"/>
  <c r="Z148" i="9"/>
  <c r="AA148" i="9"/>
  <c r="Z150" i="9"/>
  <c r="AA150" i="9"/>
  <c r="Z151" i="9"/>
  <c r="AA151" i="9"/>
  <c r="Z152" i="9"/>
  <c r="AA152" i="9"/>
  <c r="Z153" i="9"/>
  <c r="AA153" i="9"/>
  <c r="Z154" i="9"/>
  <c r="AA154" i="9"/>
  <c r="Z155" i="9"/>
  <c r="AA155" i="9"/>
  <c r="Z156" i="9"/>
  <c r="AA156" i="9"/>
  <c r="Z157" i="9"/>
  <c r="AA157" i="9"/>
  <c r="Z158" i="9"/>
  <c r="AA158" i="9"/>
  <c r="Z159" i="9"/>
  <c r="AA159" i="9"/>
  <c r="Z160" i="9"/>
  <c r="AA160" i="9"/>
  <c r="Z161" i="9"/>
  <c r="AA161" i="9"/>
  <c r="Z162" i="9"/>
  <c r="AA162" i="9"/>
  <c r="Z163" i="9"/>
  <c r="AA163" i="9"/>
  <c r="Z164" i="9"/>
  <c r="AA164" i="9"/>
  <c r="Z165" i="9"/>
  <c r="AA165" i="9"/>
  <c r="Z166" i="9"/>
  <c r="AA166" i="9"/>
  <c r="Z167" i="9"/>
  <c r="AA167" i="9"/>
  <c r="Z168" i="9"/>
  <c r="AA168" i="9"/>
  <c r="Z169" i="9"/>
  <c r="AA169" i="9"/>
  <c r="Z170" i="9"/>
  <c r="AA170" i="9"/>
  <c r="Z171" i="9"/>
  <c r="AA171" i="9"/>
  <c r="Z173" i="9"/>
  <c r="AA173" i="9"/>
  <c r="Z174" i="9"/>
  <c r="AA174" i="9"/>
  <c r="Z175" i="9"/>
  <c r="AA175" i="9"/>
  <c r="Z176" i="9"/>
  <c r="AA176" i="9"/>
  <c r="Z177" i="9"/>
  <c r="AA177" i="9"/>
  <c r="Z178" i="9"/>
  <c r="AA178" i="9"/>
  <c r="Z179" i="9"/>
  <c r="AA179" i="9"/>
  <c r="Z181" i="9"/>
  <c r="AA181" i="9"/>
  <c r="Z182" i="9"/>
  <c r="AA182" i="9"/>
  <c r="Z184" i="9"/>
  <c r="AA184" i="9"/>
  <c r="Z185" i="9"/>
  <c r="AA185" i="9"/>
  <c r="Z186" i="9"/>
  <c r="AA186" i="9"/>
  <c r="Z187" i="9"/>
  <c r="AA187" i="9"/>
  <c r="Z188" i="9"/>
  <c r="AA188" i="9"/>
  <c r="Z190" i="9"/>
  <c r="AA190" i="9"/>
  <c r="Z192" i="9"/>
  <c r="AA192" i="9"/>
  <c r="Z193" i="9"/>
  <c r="AA193" i="9"/>
  <c r="Z194" i="9"/>
  <c r="AA194" i="9"/>
  <c r="Z196" i="9"/>
  <c r="AA196" i="9"/>
  <c r="Z198" i="9"/>
  <c r="AA198" i="9"/>
  <c r="Z199" i="9"/>
  <c r="AA199" i="9"/>
  <c r="Z200" i="9"/>
  <c r="AA200" i="9"/>
  <c r="Z201" i="9"/>
  <c r="AA201" i="9"/>
  <c r="Z202" i="9"/>
  <c r="AA202" i="9"/>
  <c r="Z203" i="9"/>
  <c r="AA203" i="9"/>
  <c r="Z204" i="9"/>
  <c r="AA204" i="9"/>
  <c r="Z205" i="9"/>
  <c r="AA205" i="9"/>
  <c r="Z206" i="9"/>
  <c r="AA206" i="9"/>
  <c r="Z207" i="9"/>
  <c r="AA207" i="9"/>
  <c r="Z208" i="9"/>
  <c r="AA208" i="9"/>
  <c r="Z209" i="9"/>
  <c r="AA209" i="9"/>
  <c r="Z210" i="9"/>
  <c r="AA210" i="9"/>
  <c r="Z211" i="9"/>
  <c r="AA211" i="9"/>
  <c r="Z213" i="9"/>
  <c r="AA213" i="9"/>
  <c r="Z214" i="9"/>
  <c r="AA214" i="9"/>
  <c r="Z215" i="9"/>
  <c r="AA215" i="9"/>
  <c r="Z216" i="9"/>
  <c r="AA216" i="9"/>
  <c r="Z218" i="9"/>
  <c r="AA218" i="9"/>
  <c r="Z219" i="9"/>
  <c r="AA219" i="9"/>
  <c r="Z220" i="9"/>
  <c r="AA220" i="9"/>
  <c r="AF6" i="9"/>
  <c r="AG6" i="9"/>
  <c r="AF7" i="9"/>
  <c r="AG7" i="9"/>
  <c r="AF8" i="9"/>
  <c r="AG8" i="9"/>
  <c r="AF9" i="9"/>
  <c r="AG9" i="9"/>
  <c r="AF11" i="9"/>
  <c r="AG11" i="9"/>
  <c r="AF13" i="9"/>
  <c r="AG13" i="9"/>
  <c r="AF14" i="9"/>
  <c r="AG14" i="9"/>
  <c r="AF15" i="9"/>
  <c r="AG15" i="9"/>
  <c r="AF16" i="9"/>
  <c r="AG16" i="9"/>
  <c r="AF17" i="9"/>
  <c r="AG17" i="9"/>
  <c r="AF18" i="9"/>
  <c r="AG18" i="9"/>
  <c r="AF19" i="9"/>
  <c r="AG19" i="9"/>
  <c r="AF20" i="9"/>
  <c r="AG20" i="9"/>
  <c r="AF21" i="9"/>
  <c r="AG21" i="9"/>
  <c r="AF22" i="9"/>
  <c r="AG22" i="9"/>
  <c r="AF23" i="9"/>
  <c r="AG23" i="9"/>
  <c r="AF24" i="9"/>
  <c r="AG24" i="9"/>
  <c r="AF25" i="9"/>
  <c r="AG25" i="9"/>
  <c r="AF26" i="9"/>
  <c r="AG26" i="9"/>
  <c r="AF27" i="9"/>
  <c r="AG27" i="9"/>
  <c r="AF28" i="9"/>
  <c r="AG28" i="9"/>
  <c r="AF29" i="9"/>
  <c r="AG29" i="9"/>
  <c r="AF30" i="9"/>
  <c r="AG30" i="9"/>
  <c r="AF31" i="9"/>
  <c r="AG31" i="9"/>
  <c r="AF32" i="9"/>
  <c r="AG32" i="9"/>
  <c r="AF33" i="9"/>
  <c r="AG33" i="9"/>
  <c r="AF34" i="9"/>
  <c r="AG34" i="9"/>
  <c r="AF35" i="9"/>
  <c r="AG35" i="9"/>
  <c r="AF36" i="9"/>
  <c r="AG36" i="9"/>
  <c r="AF37" i="9"/>
  <c r="AG37" i="9"/>
  <c r="AF38" i="9"/>
  <c r="AG38" i="9"/>
  <c r="AF39" i="9"/>
  <c r="AG39" i="9"/>
  <c r="AF40" i="9"/>
  <c r="AG40" i="9"/>
  <c r="AF42" i="9"/>
  <c r="AG42" i="9"/>
  <c r="AF44" i="9"/>
  <c r="AG44" i="9"/>
  <c r="AF45" i="9"/>
  <c r="AG45" i="9"/>
  <c r="AF46" i="9"/>
  <c r="AG46" i="9"/>
  <c r="AF47" i="9"/>
  <c r="AG47" i="9"/>
  <c r="AF48" i="9"/>
  <c r="AG48" i="9"/>
  <c r="AF49" i="9"/>
  <c r="AG49" i="9"/>
  <c r="AF51" i="9"/>
  <c r="AG51" i="9"/>
  <c r="AF52" i="9"/>
  <c r="AG52" i="9"/>
  <c r="AF53" i="9"/>
  <c r="AG53" i="9"/>
  <c r="AF54" i="9"/>
  <c r="AG54" i="9"/>
  <c r="AF55" i="9"/>
  <c r="AG55" i="9"/>
  <c r="AF56" i="9"/>
  <c r="AG56" i="9"/>
  <c r="AF57" i="9"/>
  <c r="AG57" i="9"/>
  <c r="AF59" i="9"/>
  <c r="AG59" i="9"/>
  <c r="AF60" i="9"/>
  <c r="AG60" i="9"/>
  <c r="AF62" i="9"/>
  <c r="AG62" i="9"/>
  <c r="AF63" i="9"/>
  <c r="AG63" i="9"/>
  <c r="AF64" i="9"/>
  <c r="AG64" i="9"/>
  <c r="AF65" i="9"/>
  <c r="AG65" i="9"/>
  <c r="AF66" i="9"/>
  <c r="AG66" i="9"/>
  <c r="AF67" i="9"/>
  <c r="AG67" i="9"/>
  <c r="AF68" i="9"/>
  <c r="AG68" i="9"/>
  <c r="AF69" i="9"/>
  <c r="AG69" i="9"/>
  <c r="AF70" i="9"/>
  <c r="AG70" i="9"/>
  <c r="AF71" i="9"/>
  <c r="AG71" i="9"/>
  <c r="AF72" i="9"/>
  <c r="AG72" i="9"/>
  <c r="AF74" i="9"/>
  <c r="AG74" i="9"/>
  <c r="AF76" i="9"/>
  <c r="AG76" i="9"/>
  <c r="AF78" i="9"/>
  <c r="AG78" i="9"/>
  <c r="AF79" i="9"/>
  <c r="AG79" i="9"/>
  <c r="AF80" i="9"/>
  <c r="AG80" i="9"/>
  <c r="AF81" i="9"/>
  <c r="AG81" i="9"/>
  <c r="AF82" i="9"/>
  <c r="AG82" i="9"/>
  <c r="AF83" i="9"/>
  <c r="AG83" i="9"/>
  <c r="AF84" i="9"/>
  <c r="AG84" i="9"/>
  <c r="AF85" i="9"/>
  <c r="AG85" i="9"/>
  <c r="AF86" i="9"/>
  <c r="AG86" i="9"/>
  <c r="AF87" i="9"/>
  <c r="AG87" i="9"/>
  <c r="AF88" i="9"/>
  <c r="AG88" i="9"/>
  <c r="AF89" i="9"/>
  <c r="AG89" i="9"/>
  <c r="AF90" i="9"/>
  <c r="AG90" i="9"/>
  <c r="AF91" i="9"/>
  <c r="AG91" i="9"/>
  <c r="AF92" i="9"/>
  <c r="AG92" i="9"/>
  <c r="AF93" i="9"/>
  <c r="AG93" i="9"/>
  <c r="AF94" i="9"/>
  <c r="AG94" i="9"/>
  <c r="AF95" i="9"/>
  <c r="AG95" i="9"/>
  <c r="AF96" i="9"/>
  <c r="AG96" i="9"/>
  <c r="AF97" i="9"/>
  <c r="AG97" i="9"/>
  <c r="AF98" i="9"/>
  <c r="AG98" i="9"/>
  <c r="AF99" i="9"/>
  <c r="AG99" i="9"/>
  <c r="AF100" i="9"/>
  <c r="AG100" i="9"/>
  <c r="AF101" i="9"/>
  <c r="AG101" i="9"/>
  <c r="AF102" i="9"/>
  <c r="AG102" i="9"/>
  <c r="AF103" i="9"/>
  <c r="AG103" i="9"/>
  <c r="AF105" i="9"/>
  <c r="AG105" i="9"/>
  <c r="AF106" i="9"/>
  <c r="AG106" i="9"/>
  <c r="AF108" i="9"/>
  <c r="AG108" i="9"/>
  <c r="AF109" i="9"/>
  <c r="AG109" i="9"/>
  <c r="AF110" i="9"/>
  <c r="AG110" i="9"/>
  <c r="AF111" i="9"/>
  <c r="AG111" i="9"/>
  <c r="AF112" i="9"/>
  <c r="AG112" i="9"/>
  <c r="AF113" i="9"/>
  <c r="AG113" i="9"/>
  <c r="AF115" i="9"/>
  <c r="AG115" i="9"/>
  <c r="AF116" i="9"/>
  <c r="AG116" i="9"/>
  <c r="AF117" i="9"/>
  <c r="AG117" i="9"/>
  <c r="AF119" i="9"/>
  <c r="AG119" i="9"/>
  <c r="AF120" i="9"/>
  <c r="AG120" i="9"/>
  <c r="AF121" i="9"/>
  <c r="AG121" i="9"/>
  <c r="AF122" i="9"/>
  <c r="AG122" i="9"/>
  <c r="AF123" i="9"/>
  <c r="AG123" i="9"/>
  <c r="AF124" i="9"/>
  <c r="AG124" i="9"/>
  <c r="AF125" i="9"/>
  <c r="AG125" i="9"/>
  <c r="AF126" i="9"/>
  <c r="AG126" i="9"/>
  <c r="AF127" i="9"/>
  <c r="AG127" i="9"/>
  <c r="AF128" i="9"/>
  <c r="AG128" i="9"/>
  <c r="AF129" i="9"/>
  <c r="AG129" i="9"/>
  <c r="AF130" i="9"/>
  <c r="AG130" i="9"/>
  <c r="AF131" i="9"/>
  <c r="AG131" i="9"/>
  <c r="AF133" i="9"/>
  <c r="AG133" i="9"/>
  <c r="AF134" i="9"/>
  <c r="AG134" i="9"/>
  <c r="AF135" i="9"/>
  <c r="AG135" i="9"/>
  <c r="AF136" i="9"/>
  <c r="AG136" i="9"/>
  <c r="AF137" i="9"/>
  <c r="AG137" i="9"/>
  <c r="AF138" i="9"/>
  <c r="AG138" i="9"/>
  <c r="AF139" i="9"/>
  <c r="AG139" i="9"/>
  <c r="AF140" i="9"/>
  <c r="AG140" i="9"/>
  <c r="AF142" i="9"/>
  <c r="AG142" i="9"/>
  <c r="AF143" i="9"/>
  <c r="AG143" i="9"/>
  <c r="AF144" i="9"/>
  <c r="AG144" i="9"/>
  <c r="AF145" i="9"/>
  <c r="AG145" i="9"/>
  <c r="AF146" i="9"/>
  <c r="AG146" i="9"/>
  <c r="AF147" i="9"/>
  <c r="AG147" i="9"/>
  <c r="AF148" i="9"/>
  <c r="AG148" i="9"/>
  <c r="AF150" i="9"/>
  <c r="AG150" i="9"/>
  <c r="AF151" i="9"/>
  <c r="AG151" i="9"/>
  <c r="AF152" i="9"/>
  <c r="AG152" i="9"/>
  <c r="AF153" i="9"/>
  <c r="AG153" i="9"/>
  <c r="AF154" i="9"/>
  <c r="AG154" i="9"/>
  <c r="AF155" i="9"/>
  <c r="AG155" i="9"/>
  <c r="AF156" i="9"/>
  <c r="AG156" i="9"/>
  <c r="AF157" i="9"/>
  <c r="AG157" i="9"/>
  <c r="AF158" i="9"/>
  <c r="AG158" i="9"/>
  <c r="AF159" i="9"/>
  <c r="AG159" i="9"/>
  <c r="AF160" i="9"/>
  <c r="AG160" i="9"/>
  <c r="AF161" i="9"/>
  <c r="AG161" i="9"/>
  <c r="AF162" i="9"/>
  <c r="AG162" i="9"/>
  <c r="AF163" i="9"/>
  <c r="AG163" i="9"/>
  <c r="AF164" i="9"/>
  <c r="AG164" i="9"/>
  <c r="AF165" i="9"/>
  <c r="AG165" i="9"/>
  <c r="AF166" i="9"/>
  <c r="AG166" i="9"/>
  <c r="AF167" i="9"/>
  <c r="AG167" i="9"/>
  <c r="AF168" i="9"/>
  <c r="AG168" i="9"/>
  <c r="AF169" i="9"/>
  <c r="AG169" i="9"/>
  <c r="AF170" i="9"/>
  <c r="AG170" i="9"/>
  <c r="AF171" i="9"/>
  <c r="AG171" i="9"/>
  <c r="AF173" i="9"/>
  <c r="AG173" i="9"/>
  <c r="AF174" i="9"/>
  <c r="AG174" i="9"/>
  <c r="AF175" i="9"/>
  <c r="AG175" i="9"/>
  <c r="AF176" i="9"/>
  <c r="AG176" i="9"/>
  <c r="AF177" i="9"/>
  <c r="AG177" i="9"/>
  <c r="AF178" i="9"/>
  <c r="AG178" i="9"/>
  <c r="AF179" i="9"/>
  <c r="AG179" i="9"/>
  <c r="AF181" i="9"/>
  <c r="AG181" i="9"/>
  <c r="AF182" i="9"/>
  <c r="AG182" i="9"/>
  <c r="AF184" i="9"/>
  <c r="AG184" i="9"/>
  <c r="AF185" i="9"/>
  <c r="AG185" i="9"/>
  <c r="AF186" i="9"/>
  <c r="AG186" i="9"/>
  <c r="AF187" i="9"/>
  <c r="AG187" i="9"/>
  <c r="AF188" i="9"/>
  <c r="AG188" i="9"/>
  <c r="AF190" i="9"/>
  <c r="AG190" i="9"/>
  <c r="AF192" i="9"/>
  <c r="AG192" i="9"/>
  <c r="AF193" i="9"/>
  <c r="AG193" i="9"/>
  <c r="AF194" i="9"/>
  <c r="AG194" i="9"/>
  <c r="AF196" i="9"/>
  <c r="AG196" i="9"/>
  <c r="AF198" i="9"/>
  <c r="AG198" i="9"/>
  <c r="AF199" i="9"/>
  <c r="AG199" i="9"/>
  <c r="AF200" i="9"/>
  <c r="AG200" i="9"/>
  <c r="AF201" i="9"/>
  <c r="AG201" i="9"/>
  <c r="AF202" i="9"/>
  <c r="AG202" i="9"/>
  <c r="AF203" i="9"/>
  <c r="AG203" i="9"/>
  <c r="AF204" i="9"/>
  <c r="AG204" i="9"/>
  <c r="AF205" i="9"/>
  <c r="AG205" i="9"/>
  <c r="AF206" i="9"/>
  <c r="AG206" i="9"/>
  <c r="AF207" i="9"/>
  <c r="AG207" i="9"/>
  <c r="AF208" i="9"/>
  <c r="AG208" i="9"/>
  <c r="AF209" i="9"/>
  <c r="AG209" i="9"/>
  <c r="AF210" i="9"/>
  <c r="AG210" i="9"/>
  <c r="AF211" i="9"/>
  <c r="AG211" i="9"/>
  <c r="AF213" i="9"/>
  <c r="AG213" i="9"/>
  <c r="AF214" i="9"/>
  <c r="AG214" i="9"/>
  <c r="AF215" i="9"/>
  <c r="AG215" i="9"/>
  <c r="AF216" i="9"/>
  <c r="AG216" i="9"/>
  <c r="AF218" i="9"/>
  <c r="AG218" i="9"/>
  <c r="AF219" i="9"/>
  <c r="AG219" i="9"/>
  <c r="AF220" i="9"/>
  <c r="AG220" i="9"/>
  <c r="T6" i="9"/>
  <c r="U6" i="9"/>
  <c r="T7" i="9"/>
  <c r="U7" i="9"/>
  <c r="T8" i="9"/>
  <c r="U8" i="9"/>
  <c r="T9" i="9"/>
  <c r="U9" i="9"/>
  <c r="T11" i="9"/>
  <c r="U11" i="9"/>
  <c r="T13" i="9"/>
  <c r="U13" i="9"/>
  <c r="T14" i="9"/>
  <c r="U14" i="9"/>
  <c r="T15" i="9"/>
  <c r="U15" i="9"/>
  <c r="T16" i="9"/>
  <c r="U16" i="9"/>
  <c r="T17" i="9"/>
  <c r="U17" i="9"/>
  <c r="T18" i="9"/>
  <c r="U18" i="9"/>
  <c r="T19" i="9"/>
  <c r="U19" i="9"/>
  <c r="T20" i="9"/>
  <c r="U20" i="9"/>
  <c r="T21" i="9"/>
  <c r="U21" i="9"/>
  <c r="T22" i="9"/>
  <c r="U22" i="9"/>
  <c r="T23" i="9"/>
  <c r="U23" i="9"/>
  <c r="T24" i="9"/>
  <c r="U24" i="9"/>
  <c r="T25" i="9"/>
  <c r="U25" i="9"/>
  <c r="T26" i="9"/>
  <c r="U26" i="9"/>
  <c r="T27" i="9"/>
  <c r="U27" i="9"/>
  <c r="T28" i="9"/>
  <c r="U28" i="9"/>
  <c r="T29" i="9"/>
  <c r="U29" i="9"/>
  <c r="T30" i="9"/>
  <c r="U30" i="9"/>
  <c r="T31" i="9"/>
  <c r="U31" i="9"/>
  <c r="T32" i="9"/>
  <c r="U32" i="9"/>
  <c r="T33" i="9"/>
  <c r="U33" i="9"/>
  <c r="T34" i="9"/>
  <c r="U34" i="9"/>
  <c r="T35" i="9"/>
  <c r="U35" i="9"/>
  <c r="T36" i="9"/>
  <c r="U36" i="9"/>
  <c r="T37" i="9"/>
  <c r="U37" i="9"/>
  <c r="T38" i="9"/>
  <c r="U38" i="9"/>
  <c r="T39" i="9"/>
  <c r="U39" i="9"/>
  <c r="T40" i="9"/>
  <c r="U40" i="9"/>
  <c r="T42" i="9"/>
  <c r="U42" i="9"/>
  <c r="T44" i="9"/>
  <c r="U44" i="9"/>
  <c r="T45" i="9"/>
  <c r="U45" i="9"/>
  <c r="T46" i="9"/>
  <c r="U46" i="9"/>
  <c r="T47" i="9"/>
  <c r="U47" i="9"/>
  <c r="T48" i="9"/>
  <c r="U48" i="9"/>
  <c r="T49" i="9"/>
  <c r="U49" i="9"/>
  <c r="T51" i="9"/>
  <c r="U51" i="9"/>
  <c r="T52" i="9"/>
  <c r="U52" i="9"/>
  <c r="T53" i="9"/>
  <c r="U53" i="9"/>
  <c r="T54" i="9"/>
  <c r="U54" i="9"/>
  <c r="T55" i="9"/>
  <c r="U55" i="9"/>
  <c r="T56" i="9"/>
  <c r="U56" i="9"/>
  <c r="T57" i="9"/>
  <c r="U57" i="9"/>
  <c r="T59" i="9"/>
  <c r="U59" i="9"/>
  <c r="T60" i="9"/>
  <c r="U60" i="9"/>
  <c r="T62" i="9"/>
  <c r="U62" i="9"/>
  <c r="T63" i="9"/>
  <c r="U63" i="9"/>
  <c r="T64" i="9"/>
  <c r="U64" i="9"/>
  <c r="T65" i="9"/>
  <c r="U65" i="9"/>
  <c r="T66" i="9"/>
  <c r="U66" i="9"/>
  <c r="T67" i="9"/>
  <c r="U67" i="9"/>
  <c r="T68" i="9"/>
  <c r="U68" i="9"/>
  <c r="T69" i="9"/>
  <c r="U69" i="9"/>
  <c r="T70" i="9"/>
  <c r="U70" i="9"/>
  <c r="T71" i="9"/>
  <c r="U71" i="9"/>
  <c r="T72" i="9"/>
  <c r="U72" i="9"/>
  <c r="T74" i="9"/>
  <c r="U74" i="9"/>
  <c r="T76" i="9"/>
  <c r="U76" i="9"/>
  <c r="T78" i="9"/>
  <c r="U78" i="9"/>
  <c r="T79" i="9"/>
  <c r="U79" i="9"/>
  <c r="T80" i="9"/>
  <c r="U80" i="9"/>
  <c r="T81" i="9"/>
  <c r="U81" i="9"/>
  <c r="T82" i="9"/>
  <c r="U82" i="9"/>
  <c r="T83" i="9"/>
  <c r="U83" i="9"/>
  <c r="T84" i="9"/>
  <c r="U84" i="9"/>
  <c r="T85" i="9"/>
  <c r="U85" i="9"/>
  <c r="T86" i="9"/>
  <c r="U86" i="9"/>
  <c r="T87" i="9"/>
  <c r="U87" i="9"/>
  <c r="T88" i="9"/>
  <c r="U88" i="9"/>
  <c r="T89" i="9"/>
  <c r="U89" i="9"/>
  <c r="T90" i="9"/>
  <c r="U90" i="9"/>
  <c r="T91" i="9"/>
  <c r="U91" i="9"/>
  <c r="T92" i="9"/>
  <c r="U92" i="9"/>
  <c r="T93" i="9"/>
  <c r="U93" i="9"/>
  <c r="T94" i="9"/>
  <c r="U94" i="9"/>
  <c r="T95" i="9"/>
  <c r="U95" i="9"/>
  <c r="T96" i="9"/>
  <c r="U96" i="9"/>
  <c r="T97" i="9"/>
  <c r="U97" i="9"/>
  <c r="T98" i="9"/>
  <c r="U98" i="9"/>
  <c r="T99" i="9"/>
  <c r="U99" i="9"/>
  <c r="T100" i="9"/>
  <c r="U100" i="9"/>
  <c r="T101" i="9"/>
  <c r="U101" i="9"/>
  <c r="T102" i="9"/>
  <c r="U102" i="9"/>
  <c r="T103" i="9"/>
  <c r="U103" i="9"/>
  <c r="T105" i="9"/>
  <c r="U105" i="9"/>
  <c r="T106" i="9"/>
  <c r="U106" i="9"/>
  <c r="T108" i="9"/>
  <c r="U108" i="9"/>
  <c r="T109" i="9"/>
  <c r="U109" i="9"/>
  <c r="T110" i="9"/>
  <c r="U110" i="9"/>
  <c r="T111" i="9"/>
  <c r="U111" i="9"/>
  <c r="T112" i="9"/>
  <c r="U112" i="9"/>
  <c r="T113" i="9"/>
  <c r="U113" i="9"/>
  <c r="T115" i="9"/>
  <c r="U115" i="9"/>
  <c r="T116" i="9"/>
  <c r="U116" i="9"/>
  <c r="T117" i="9"/>
  <c r="U117" i="9"/>
  <c r="T119" i="9"/>
  <c r="U119" i="9"/>
  <c r="T120" i="9"/>
  <c r="U120" i="9"/>
  <c r="T121" i="9"/>
  <c r="U121" i="9"/>
  <c r="T122" i="9"/>
  <c r="U122" i="9"/>
  <c r="T123" i="9"/>
  <c r="U123" i="9"/>
  <c r="T124" i="9"/>
  <c r="U124" i="9"/>
  <c r="T125" i="9"/>
  <c r="U125" i="9"/>
  <c r="T126" i="9"/>
  <c r="U126" i="9"/>
  <c r="T127" i="9"/>
  <c r="U127" i="9"/>
  <c r="T128" i="9"/>
  <c r="U128" i="9"/>
  <c r="T129" i="9"/>
  <c r="U129" i="9"/>
  <c r="T130" i="9"/>
  <c r="U130" i="9"/>
  <c r="T131" i="9"/>
  <c r="U131" i="9"/>
  <c r="T133" i="9"/>
  <c r="U133" i="9"/>
  <c r="T134" i="9"/>
  <c r="U134" i="9"/>
  <c r="T135" i="9"/>
  <c r="U135" i="9"/>
  <c r="T136" i="9"/>
  <c r="U136" i="9"/>
  <c r="T137" i="9"/>
  <c r="U137" i="9"/>
  <c r="T138" i="9"/>
  <c r="U138" i="9"/>
  <c r="T139" i="9"/>
  <c r="U139" i="9"/>
  <c r="T140" i="9"/>
  <c r="U140" i="9"/>
  <c r="T142" i="9"/>
  <c r="U142" i="9"/>
  <c r="T143" i="9"/>
  <c r="U143" i="9"/>
  <c r="T144" i="9"/>
  <c r="U144" i="9"/>
  <c r="T145" i="9"/>
  <c r="U145" i="9"/>
  <c r="T146" i="9"/>
  <c r="U146" i="9"/>
  <c r="T147" i="9"/>
  <c r="U147" i="9"/>
  <c r="T148" i="9"/>
  <c r="U148" i="9"/>
  <c r="T150" i="9"/>
  <c r="U150" i="9"/>
  <c r="T151" i="9"/>
  <c r="U151" i="9"/>
  <c r="T152" i="9"/>
  <c r="U152" i="9"/>
  <c r="T153" i="9"/>
  <c r="U153" i="9"/>
  <c r="T154" i="9"/>
  <c r="U154" i="9"/>
  <c r="T155" i="9"/>
  <c r="U155" i="9"/>
  <c r="T156" i="9"/>
  <c r="U156" i="9"/>
  <c r="T157" i="9"/>
  <c r="U157" i="9"/>
  <c r="T158" i="9"/>
  <c r="U158" i="9"/>
  <c r="T159" i="9"/>
  <c r="U159" i="9"/>
  <c r="T160" i="9"/>
  <c r="U160" i="9"/>
  <c r="T161" i="9"/>
  <c r="U161" i="9"/>
  <c r="T162" i="9"/>
  <c r="U162" i="9"/>
  <c r="T163" i="9"/>
  <c r="U163" i="9"/>
  <c r="T164" i="9"/>
  <c r="U164" i="9"/>
  <c r="T165" i="9"/>
  <c r="U165" i="9"/>
  <c r="T166" i="9"/>
  <c r="U166" i="9"/>
  <c r="T167" i="9"/>
  <c r="U167" i="9"/>
  <c r="T168" i="9"/>
  <c r="U168" i="9"/>
  <c r="T169" i="9"/>
  <c r="U169" i="9"/>
  <c r="T170" i="9"/>
  <c r="U170" i="9"/>
  <c r="T171" i="9"/>
  <c r="U171" i="9"/>
  <c r="T173" i="9"/>
  <c r="U173" i="9"/>
  <c r="T174" i="9"/>
  <c r="U174" i="9"/>
  <c r="T175" i="9"/>
  <c r="U175" i="9"/>
  <c r="T176" i="9"/>
  <c r="U176" i="9"/>
  <c r="T177" i="9"/>
  <c r="U177" i="9"/>
  <c r="T178" i="9"/>
  <c r="U178" i="9"/>
  <c r="T179" i="9"/>
  <c r="U179" i="9"/>
  <c r="T181" i="9"/>
  <c r="U181" i="9"/>
  <c r="T182" i="9"/>
  <c r="U182" i="9"/>
  <c r="T184" i="9"/>
  <c r="U184" i="9"/>
  <c r="T185" i="9"/>
  <c r="U185" i="9"/>
  <c r="T186" i="9"/>
  <c r="U186" i="9"/>
  <c r="T187" i="9"/>
  <c r="U187" i="9"/>
  <c r="T188" i="9"/>
  <c r="U188" i="9"/>
  <c r="T190" i="9"/>
  <c r="U190" i="9"/>
  <c r="T192" i="9"/>
  <c r="U192" i="9"/>
  <c r="T193" i="9"/>
  <c r="U193" i="9"/>
  <c r="T194" i="9"/>
  <c r="U194" i="9"/>
  <c r="T196" i="9"/>
  <c r="U196" i="9"/>
  <c r="T198" i="9"/>
  <c r="U198" i="9"/>
  <c r="T199" i="9"/>
  <c r="U199" i="9"/>
  <c r="T200" i="9"/>
  <c r="U200" i="9"/>
  <c r="T201" i="9"/>
  <c r="U201" i="9"/>
  <c r="T202" i="9"/>
  <c r="U202" i="9"/>
  <c r="T203" i="9"/>
  <c r="U203" i="9"/>
  <c r="T204" i="9"/>
  <c r="U204" i="9"/>
  <c r="T205" i="9"/>
  <c r="U205" i="9"/>
  <c r="T206" i="9"/>
  <c r="U206" i="9"/>
  <c r="T207" i="9"/>
  <c r="U207" i="9"/>
  <c r="T208" i="9"/>
  <c r="U208" i="9"/>
  <c r="T209" i="9"/>
  <c r="U209" i="9"/>
  <c r="T210" i="9"/>
  <c r="U210" i="9"/>
  <c r="T211" i="9"/>
  <c r="U211" i="9"/>
  <c r="T213" i="9"/>
  <c r="U213" i="9"/>
  <c r="T214" i="9"/>
  <c r="U214" i="9"/>
  <c r="T215" i="9"/>
  <c r="U215" i="9"/>
  <c r="T216" i="9"/>
  <c r="U216" i="9"/>
  <c r="T218" i="9"/>
  <c r="U218" i="9"/>
  <c r="T219" i="9"/>
  <c r="U219" i="9"/>
  <c r="T220" i="9"/>
  <c r="U220" i="9"/>
  <c r="P6" i="9"/>
  <c r="Q6" i="9" s="1"/>
  <c r="P7" i="9"/>
  <c r="Q7" i="9" s="1"/>
  <c r="P8" i="9"/>
  <c r="Q8" i="9" s="1"/>
  <c r="P9" i="9"/>
  <c r="V9" i="9" s="1"/>
  <c r="P11" i="9"/>
  <c r="P13" i="9"/>
  <c r="Q13" i="9" s="1"/>
  <c r="P14" i="9"/>
  <c r="P15" i="9"/>
  <c r="Q15" i="9" s="1"/>
  <c r="P16" i="9"/>
  <c r="Q16" i="9" s="1"/>
  <c r="P17" i="9"/>
  <c r="Q17" i="9" s="1"/>
  <c r="P18" i="9"/>
  <c r="Q18" i="9" s="1"/>
  <c r="P19" i="9"/>
  <c r="P20" i="9"/>
  <c r="P21" i="9"/>
  <c r="Q21" i="9" s="1"/>
  <c r="P22" i="9"/>
  <c r="Q22" i="9" s="1"/>
  <c r="P23" i="9"/>
  <c r="V23" i="9" s="1"/>
  <c r="P24" i="9"/>
  <c r="Q24" i="9" s="1"/>
  <c r="P25" i="9"/>
  <c r="P26" i="9"/>
  <c r="Q26" i="9" s="1"/>
  <c r="P27" i="9"/>
  <c r="P28" i="9"/>
  <c r="Q28" i="9" s="1"/>
  <c r="P29" i="9"/>
  <c r="Q29" i="9" s="1"/>
  <c r="P30" i="9"/>
  <c r="Q30" i="9" s="1"/>
  <c r="P31" i="9"/>
  <c r="V31" i="9" s="1"/>
  <c r="P32" i="9"/>
  <c r="Q32" i="9" s="1"/>
  <c r="P33" i="9"/>
  <c r="P34" i="9"/>
  <c r="Q34" i="9" s="1"/>
  <c r="P35" i="9"/>
  <c r="V35" i="9" s="1"/>
  <c r="P36" i="9"/>
  <c r="Q36" i="9" s="1"/>
  <c r="P37" i="9"/>
  <c r="Q37" i="9" s="1"/>
  <c r="P38" i="9"/>
  <c r="P39" i="9"/>
  <c r="Q39" i="9" s="1"/>
  <c r="P40" i="9"/>
  <c r="Q40" i="9" s="1"/>
  <c r="P42" i="9"/>
  <c r="Q42" i="9" s="1"/>
  <c r="P44" i="9"/>
  <c r="Q44" i="9" s="1"/>
  <c r="P45" i="9"/>
  <c r="V45" i="9" s="1"/>
  <c r="P46" i="9"/>
  <c r="P47" i="9"/>
  <c r="Q47" i="9" s="1"/>
  <c r="P48" i="9"/>
  <c r="P49" i="9"/>
  <c r="Q49" i="9" s="1"/>
  <c r="P51" i="9"/>
  <c r="Q51" i="9" s="1"/>
  <c r="P52" i="9"/>
  <c r="Q52" i="9" s="1"/>
  <c r="P53" i="9"/>
  <c r="Q53" i="9" s="1"/>
  <c r="P54" i="9"/>
  <c r="P55" i="9"/>
  <c r="P56" i="9"/>
  <c r="Q56" i="9" s="1"/>
  <c r="P57" i="9"/>
  <c r="Q57" i="9" s="1"/>
  <c r="P59" i="9"/>
  <c r="V59" i="9" s="1"/>
  <c r="P60" i="9"/>
  <c r="Q60" i="9" s="1"/>
  <c r="P62" i="9"/>
  <c r="P63" i="9"/>
  <c r="Q63" i="9" s="1"/>
  <c r="P64" i="9"/>
  <c r="P65" i="9"/>
  <c r="Q65" i="9" s="1"/>
  <c r="P66" i="9"/>
  <c r="Q66" i="9" s="1"/>
  <c r="P67" i="9"/>
  <c r="Q67" i="9" s="1"/>
  <c r="P68" i="9"/>
  <c r="V68" i="9" s="1"/>
  <c r="P69" i="9"/>
  <c r="Q69" i="9" s="1"/>
  <c r="P70" i="9"/>
  <c r="P71" i="9"/>
  <c r="Q71" i="9" s="1"/>
  <c r="P72" i="9"/>
  <c r="V72" i="9" s="1"/>
  <c r="W72" i="9" s="1"/>
  <c r="P74" i="9"/>
  <c r="Q74" i="9" s="1"/>
  <c r="P76" i="9"/>
  <c r="Q76" i="9" s="1"/>
  <c r="P78" i="9"/>
  <c r="P79" i="9"/>
  <c r="V79" i="9" s="1"/>
  <c r="W79" i="9" s="1"/>
  <c r="P80" i="9"/>
  <c r="Q80" i="9" s="1"/>
  <c r="P81" i="9"/>
  <c r="Q81" i="9" s="1"/>
  <c r="P82" i="9"/>
  <c r="Q82" i="9" s="1"/>
  <c r="P83" i="9"/>
  <c r="V83" i="9" s="1"/>
  <c r="P84" i="9"/>
  <c r="P85" i="9"/>
  <c r="Q85" i="9" s="1"/>
  <c r="P86" i="9"/>
  <c r="P87" i="9"/>
  <c r="V87" i="9" s="1"/>
  <c r="P88" i="9"/>
  <c r="Q88" i="9" s="1"/>
  <c r="P89" i="9"/>
  <c r="Q89" i="9" s="1"/>
  <c r="P90" i="9"/>
  <c r="Q90" i="9" s="1"/>
  <c r="P91" i="9"/>
  <c r="P92" i="9"/>
  <c r="P93" i="9"/>
  <c r="Q93" i="9" s="1"/>
  <c r="P94" i="9"/>
  <c r="Q94" i="9" s="1"/>
  <c r="P95" i="9"/>
  <c r="V95" i="9" s="1"/>
  <c r="W95" i="9" s="1"/>
  <c r="P96" i="9"/>
  <c r="Q96" i="9" s="1"/>
  <c r="P97" i="9"/>
  <c r="P98" i="9"/>
  <c r="Q98" i="9" s="1"/>
  <c r="P99" i="9"/>
  <c r="P100" i="9"/>
  <c r="Q100" i="9" s="1"/>
  <c r="P101" i="9"/>
  <c r="Q101" i="9" s="1"/>
  <c r="P102" i="9"/>
  <c r="Q102" i="9" s="1"/>
  <c r="P103" i="9"/>
  <c r="V103" i="9" s="1"/>
  <c r="P105" i="9"/>
  <c r="Q105" i="9" s="1"/>
  <c r="P106" i="9"/>
  <c r="P108" i="9"/>
  <c r="Q108" i="9" s="1"/>
  <c r="P109" i="9"/>
  <c r="V109" i="9" s="1"/>
  <c r="P110" i="9"/>
  <c r="Q110" i="9" s="1"/>
  <c r="P111" i="9"/>
  <c r="Q111" i="9" s="1"/>
  <c r="P112" i="9"/>
  <c r="P113" i="9"/>
  <c r="V113" i="9" s="1"/>
  <c r="P115" i="9"/>
  <c r="Q115" i="9" s="1"/>
  <c r="P116" i="9"/>
  <c r="Q116" i="9" s="1"/>
  <c r="P117" i="9"/>
  <c r="Q117" i="9" s="1"/>
  <c r="P119" i="9"/>
  <c r="V119" i="9" s="1"/>
  <c r="P120" i="9"/>
  <c r="P121" i="9"/>
  <c r="Q121" i="9" s="1"/>
  <c r="P122" i="9"/>
  <c r="P123" i="9"/>
  <c r="Q123" i="9" s="1"/>
  <c r="P124" i="9"/>
  <c r="Q124" i="9" s="1"/>
  <c r="P125" i="9"/>
  <c r="Q125" i="9" s="1"/>
  <c r="P126" i="9"/>
  <c r="Q126" i="9" s="1"/>
  <c r="P127" i="9"/>
  <c r="P128" i="9"/>
  <c r="P129" i="9"/>
  <c r="Q129" i="9" s="1"/>
  <c r="P130" i="9"/>
  <c r="Q130" i="9" s="1"/>
  <c r="P131" i="9"/>
  <c r="V131" i="9" s="1"/>
  <c r="P133" i="9"/>
  <c r="Q133" i="9" s="1"/>
  <c r="P134" i="9"/>
  <c r="P135" i="9"/>
  <c r="Q135" i="9" s="1"/>
  <c r="P136" i="9"/>
  <c r="P137" i="9"/>
  <c r="Q137" i="9" s="1"/>
  <c r="P138" i="9"/>
  <c r="Q138" i="9" s="1"/>
  <c r="P139" i="9"/>
  <c r="Q139" i="9" s="1"/>
  <c r="P140" i="9"/>
  <c r="V140" i="9" s="1"/>
  <c r="P142" i="9"/>
  <c r="Q142" i="9" s="1"/>
  <c r="P143" i="9"/>
  <c r="P144" i="9"/>
  <c r="Q144" i="9" s="1"/>
  <c r="P145" i="9"/>
  <c r="V145" i="9" s="1"/>
  <c r="P146" i="9"/>
  <c r="Q146" i="9" s="1"/>
  <c r="P147" i="9"/>
  <c r="Q147" i="9" s="1"/>
  <c r="P148" i="9"/>
  <c r="P150" i="9"/>
  <c r="V150" i="9" s="1"/>
  <c r="P151" i="9"/>
  <c r="Q151" i="9" s="1"/>
  <c r="P152" i="9"/>
  <c r="Q152" i="9" s="1"/>
  <c r="P153" i="9"/>
  <c r="Q153" i="9" s="1"/>
  <c r="P154" i="9"/>
  <c r="V154" i="9" s="1"/>
  <c r="W154" i="9" s="1"/>
  <c r="P155" i="9"/>
  <c r="P156" i="9"/>
  <c r="Q156" i="9" s="1"/>
  <c r="P157" i="9"/>
  <c r="P158" i="9"/>
  <c r="Q158" i="9" s="1"/>
  <c r="P159" i="9"/>
  <c r="Q159" i="9" s="1"/>
  <c r="P160" i="9"/>
  <c r="Q160" i="9" s="1"/>
  <c r="P161" i="9"/>
  <c r="Q161" i="9" s="1"/>
  <c r="P162" i="9"/>
  <c r="P163" i="9"/>
  <c r="P164" i="9"/>
  <c r="Q164" i="9" s="1"/>
  <c r="P165" i="9"/>
  <c r="Q165" i="9" s="1"/>
  <c r="P166" i="9"/>
  <c r="V166" i="9" s="1"/>
  <c r="P167" i="9"/>
  <c r="Q167" i="9" s="1"/>
  <c r="P168" i="9"/>
  <c r="P169" i="9"/>
  <c r="Q169" i="9" s="1"/>
  <c r="P170" i="9"/>
  <c r="P171" i="9"/>
  <c r="Q171" i="9" s="1"/>
  <c r="P173" i="9"/>
  <c r="Q173" i="9" s="1"/>
  <c r="P174" i="9"/>
  <c r="Q174" i="9" s="1"/>
  <c r="P175" i="9"/>
  <c r="V175" i="9" s="1"/>
  <c r="W175" i="9" s="1"/>
  <c r="P176" i="9"/>
  <c r="Q176" i="9" s="1"/>
  <c r="P177" i="9"/>
  <c r="P178" i="9"/>
  <c r="Q178" i="9" s="1"/>
  <c r="P179" i="9"/>
  <c r="V179" i="9" s="1"/>
  <c r="P181" i="9"/>
  <c r="Q181" i="9" s="1"/>
  <c r="P182" i="9"/>
  <c r="Q182" i="9" s="1"/>
  <c r="P184" i="9"/>
  <c r="P185" i="9"/>
  <c r="V185" i="9" s="1"/>
  <c r="P186" i="9"/>
  <c r="Q186" i="9" s="1"/>
  <c r="P187" i="9"/>
  <c r="Q187" i="9" s="1"/>
  <c r="P188" i="9"/>
  <c r="Q188" i="9" s="1"/>
  <c r="P190" i="9"/>
  <c r="V190" i="9" s="1"/>
  <c r="W190" i="9" s="1"/>
  <c r="P192" i="9"/>
  <c r="P193" i="9"/>
  <c r="Q193" i="9" s="1"/>
  <c r="P194" i="9"/>
  <c r="P196" i="9"/>
  <c r="Q196" i="9" s="1"/>
  <c r="P198" i="9"/>
  <c r="Q198" i="9" s="1"/>
  <c r="P199" i="9"/>
  <c r="Q199" i="9" s="1"/>
  <c r="P200" i="9"/>
  <c r="Q200" i="9" s="1"/>
  <c r="P201" i="9"/>
  <c r="P202" i="9"/>
  <c r="P203" i="9"/>
  <c r="Q203" i="9" s="1"/>
  <c r="P204" i="9"/>
  <c r="Q204" i="9" s="1"/>
  <c r="P205" i="9"/>
  <c r="V205" i="9" s="1"/>
  <c r="P206" i="9"/>
  <c r="Q206" i="9" s="1"/>
  <c r="P207" i="9"/>
  <c r="P208" i="9"/>
  <c r="Q208" i="9" s="1"/>
  <c r="P209" i="9"/>
  <c r="P210" i="9"/>
  <c r="Q210" i="9" s="1"/>
  <c r="P211" i="9"/>
  <c r="Q211" i="9" s="1"/>
  <c r="P213" i="9"/>
  <c r="Q213" i="9" s="1"/>
  <c r="P214" i="9"/>
  <c r="V214" i="9" s="1"/>
  <c r="W214" i="9" s="1"/>
  <c r="P215" i="9"/>
  <c r="Q215" i="9" s="1"/>
  <c r="P216" i="9"/>
  <c r="P218" i="9"/>
  <c r="Q218" i="9" s="1"/>
  <c r="P219" i="9"/>
  <c r="V219" i="9" s="1"/>
  <c r="P220" i="9"/>
  <c r="Q220" i="9" s="1"/>
  <c r="K101" i="9"/>
  <c r="K102" i="9"/>
  <c r="K103" i="9"/>
  <c r="K105" i="9"/>
  <c r="K106" i="9"/>
  <c r="K139" i="9"/>
  <c r="K140" i="9"/>
  <c r="K142" i="9"/>
  <c r="K143" i="9"/>
  <c r="K144" i="9"/>
  <c r="K145" i="9"/>
  <c r="K187" i="9"/>
  <c r="K188" i="9"/>
  <c r="K170" i="9"/>
  <c r="K171" i="9"/>
  <c r="K173" i="9"/>
  <c r="K174" i="9"/>
  <c r="K175" i="9"/>
  <c r="K176" i="9"/>
  <c r="K177" i="9"/>
  <c r="K178" i="9"/>
  <c r="K179" i="9"/>
  <c r="K181" i="9"/>
  <c r="K182" i="9"/>
  <c r="K184" i="9"/>
  <c r="K185" i="9"/>
  <c r="K186" i="9"/>
  <c r="K190" i="9"/>
  <c r="K192" i="9"/>
  <c r="K193" i="9"/>
  <c r="K194" i="9"/>
  <c r="K196" i="9"/>
  <c r="K198" i="9"/>
  <c r="N156" i="9"/>
  <c r="O156" i="9"/>
  <c r="N157" i="9"/>
  <c r="O157" i="9"/>
  <c r="K157" i="9"/>
  <c r="CD132" i="9" l="1"/>
  <c r="CE132" i="9" s="1"/>
  <c r="BY132" i="9"/>
  <c r="AO172" i="9"/>
  <c r="AT172" i="9"/>
  <c r="CD212" i="9"/>
  <c r="CE212" i="9" s="1"/>
  <c r="BY212" i="9"/>
  <c r="AO221" i="9"/>
  <c r="AT221" i="9"/>
  <c r="AU221" i="9" s="1"/>
  <c r="BA225" i="9"/>
  <c r="BF225" i="9"/>
  <c r="AZ228" i="9"/>
  <c r="AZ227" i="9"/>
  <c r="BA224" i="9"/>
  <c r="BF224" i="9"/>
  <c r="AZ223" i="9"/>
  <c r="AZ229" i="9"/>
  <c r="AZ222" i="9"/>
  <c r="AZ226" i="9"/>
  <c r="Q31" i="9"/>
  <c r="V208" i="9"/>
  <c r="W208" i="9" s="1"/>
  <c r="Q113" i="9"/>
  <c r="V26" i="9"/>
  <c r="W26" i="9" s="1"/>
  <c r="Q72" i="9"/>
  <c r="Q87" i="9"/>
  <c r="V203" i="9"/>
  <c r="W203" i="9" s="1"/>
  <c r="V21" i="9"/>
  <c r="W21" i="9" s="1"/>
  <c r="V169" i="9"/>
  <c r="W169" i="9" s="1"/>
  <c r="AB154" i="9"/>
  <c r="V164" i="9"/>
  <c r="W164" i="9" s="1"/>
  <c r="V135" i="9"/>
  <c r="W135" i="9" s="1"/>
  <c r="V129" i="9"/>
  <c r="W129" i="9" s="1"/>
  <c r="V93" i="9"/>
  <c r="W93" i="9" s="1"/>
  <c r="Q214" i="9"/>
  <c r="V63" i="9"/>
  <c r="W63" i="9" s="1"/>
  <c r="V56" i="9"/>
  <c r="W56" i="9" s="1"/>
  <c r="Q185" i="9"/>
  <c r="Q145" i="9"/>
  <c r="Q103" i="9"/>
  <c r="V196" i="9"/>
  <c r="W196" i="9" s="1"/>
  <c r="V158" i="9"/>
  <c r="V123" i="9"/>
  <c r="W123" i="9" s="1"/>
  <c r="V49" i="9"/>
  <c r="W49" i="9" s="1"/>
  <c r="V15" i="9"/>
  <c r="W15" i="9" s="1"/>
  <c r="V98" i="9"/>
  <c r="AB98" i="9" s="1"/>
  <c r="V193" i="9"/>
  <c r="W193" i="9" s="1"/>
  <c r="V156" i="9"/>
  <c r="W156" i="9" s="1"/>
  <c r="V121" i="9"/>
  <c r="W121" i="9" s="1"/>
  <c r="V85" i="9"/>
  <c r="V47" i="9"/>
  <c r="AB47" i="9" s="1"/>
  <c r="V13" i="9"/>
  <c r="W13" i="9" s="1"/>
  <c r="Q219" i="9"/>
  <c r="Q175" i="9"/>
  <c r="Q79" i="9"/>
  <c r="Q35" i="9"/>
  <c r="V186" i="9"/>
  <c r="AB186" i="9" s="1"/>
  <c r="V151" i="9"/>
  <c r="W151" i="9" s="1"/>
  <c r="V115" i="9"/>
  <c r="V80" i="9"/>
  <c r="W80" i="9" s="1"/>
  <c r="V40" i="9"/>
  <c r="W40" i="9" s="1"/>
  <c r="V6" i="9"/>
  <c r="W6" i="9" s="1"/>
  <c r="Q150" i="9"/>
  <c r="Q109" i="9"/>
  <c r="V39" i="9"/>
  <c r="AB39" i="9" s="1"/>
  <c r="Q68" i="9"/>
  <c r="V218" i="9"/>
  <c r="W218" i="9" s="1"/>
  <c r="V178" i="9"/>
  <c r="W178" i="9" s="1"/>
  <c r="V144" i="9"/>
  <c r="W144" i="9" s="1"/>
  <c r="V108" i="9"/>
  <c r="AB108" i="9" s="1"/>
  <c r="V71" i="9"/>
  <c r="W71" i="9" s="1"/>
  <c r="V34" i="9"/>
  <c r="AB34" i="9" s="1"/>
  <c r="Q179" i="9"/>
  <c r="Q140" i="9"/>
  <c r="V215" i="9"/>
  <c r="AB215" i="9" s="1"/>
  <c r="V176" i="9"/>
  <c r="W176" i="9" s="1"/>
  <c r="V142" i="9"/>
  <c r="W142" i="9" s="1"/>
  <c r="V105" i="9"/>
  <c r="AB105" i="9" s="1"/>
  <c r="V69" i="9"/>
  <c r="AB69" i="9" s="1"/>
  <c r="V32" i="9"/>
  <c r="AB32" i="9" s="1"/>
  <c r="W219" i="9"/>
  <c r="AB219" i="9"/>
  <c r="Q20" i="9"/>
  <c r="V20" i="9"/>
  <c r="Q27" i="9"/>
  <c r="V27" i="9"/>
  <c r="V19" i="9"/>
  <c r="Q19" i="9"/>
  <c r="AB119" i="9"/>
  <c r="W119" i="9"/>
  <c r="Q202" i="9"/>
  <c r="V202" i="9"/>
  <c r="Q143" i="9"/>
  <c r="V143" i="9"/>
  <c r="Q62" i="9"/>
  <c r="V62" i="9"/>
  <c r="Q134" i="9"/>
  <c r="V134" i="9"/>
  <c r="Q92" i="9"/>
  <c r="V92" i="9"/>
  <c r="Q78" i="9"/>
  <c r="V78" i="9"/>
  <c r="W9" i="9"/>
  <c r="AB9" i="9"/>
  <c r="Q216" i="9"/>
  <c r="V216" i="9"/>
  <c r="Q148" i="9"/>
  <c r="V148" i="9"/>
  <c r="Q99" i="9"/>
  <c r="V99" i="9"/>
  <c r="V91" i="9"/>
  <c r="Q91" i="9"/>
  <c r="Q84" i="9"/>
  <c r="V84" i="9"/>
  <c r="AB68" i="9"/>
  <c r="W68" i="9"/>
  <c r="W59" i="9"/>
  <c r="AB59" i="9"/>
  <c r="Q33" i="9"/>
  <c r="V33" i="9"/>
  <c r="AB185" i="9"/>
  <c r="W185" i="9"/>
  <c r="AB175" i="9"/>
  <c r="AB79" i="9"/>
  <c r="Q136" i="9"/>
  <c r="V136" i="9"/>
  <c r="Q192" i="9"/>
  <c r="V192" i="9"/>
  <c r="Q11" i="9"/>
  <c r="V11" i="9"/>
  <c r="AB72" i="9"/>
  <c r="AB131" i="9"/>
  <c r="W131" i="9"/>
  <c r="AB83" i="9"/>
  <c r="W83" i="9"/>
  <c r="Q48" i="9"/>
  <c r="V48" i="9"/>
  <c r="Q25" i="9"/>
  <c r="V25" i="9"/>
  <c r="Q170" i="9"/>
  <c r="V170" i="9"/>
  <c r="V162" i="9"/>
  <c r="Q162" i="9"/>
  <c r="Q122" i="9"/>
  <c r="V122" i="9"/>
  <c r="Q97" i="9"/>
  <c r="V97" i="9"/>
  <c r="Q38" i="9"/>
  <c r="V38" i="9"/>
  <c r="AB150" i="9"/>
  <c r="W150" i="9"/>
  <c r="AB95" i="9"/>
  <c r="V201" i="9"/>
  <c r="Q201" i="9"/>
  <c r="Q157" i="9"/>
  <c r="V157" i="9"/>
  <c r="Q207" i="9"/>
  <c r="V207" i="9"/>
  <c r="W179" i="9"/>
  <c r="AB179" i="9"/>
  <c r="Q155" i="9"/>
  <c r="V155" i="9"/>
  <c r="Q106" i="9"/>
  <c r="V106" i="9"/>
  <c r="AB205" i="9"/>
  <c r="W205" i="9"/>
  <c r="Q112" i="9"/>
  <c r="V112" i="9"/>
  <c r="Q55" i="9"/>
  <c r="V55" i="9"/>
  <c r="Q46" i="9"/>
  <c r="V46" i="9"/>
  <c r="AB31" i="9"/>
  <c r="W31" i="9"/>
  <c r="W23" i="9"/>
  <c r="AB23" i="9"/>
  <c r="W87" i="9"/>
  <c r="AB87" i="9"/>
  <c r="AB190" i="9"/>
  <c r="Q184" i="9"/>
  <c r="V184" i="9"/>
  <c r="V127" i="9"/>
  <c r="Q127" i="9"/>
  <c r="Q70" i="9"/>
  <c r="V70" i="9"/>
  <c r="AB166" i="9"/>
  <c r="W166" i="9"/>
  <c r="Q86" i="9"/>
  <c r="V86" i="9"/>
  <c r="AB35" i="9"/>
  <c r="W35" i="9"/>
  <c r="Q209" i="9"/>
  <c r="V209" i="9"/>
  <c r="W109" i="9"/>
  <c r="AB109" i="9"/>
  <c r="Q163" i="9"/>
  <c r="V163" i="9"/>
  <c r="W140" i="9"/>
  <c r="AB140" i="9"/>
  <c r="AH140" i="9" s="1"/>
  <c r="Q177" i="9"/>
  <c r="V177" i="9"/>
  <c r="Q194" i="9"/>
  <c r="V194" i="9"/>
  <c r="Q168" i="9"/>
  <c r="V168" i="9"/>
  <c r="W145" i="9"/>
  <c r="AB145" i="9"/>
  <c r="Q128" i="9"/>
  <c r="V128" i="9"/>
  <c r="Q120" i="9"/>
  <c r="V120" i="9"/>
  <c r="AB103" i="9"/>
  <c r="AH103" i="9" s="1"/>
  <c r="W103" i="9"/>
  <c r="Q64" i="9"/>
  <c r="V64" i="9"/>
  <c r="V54" i="9"/>
  <c r="Q54" i="9"/>
  <c r="W45" i="9"/>
  <c r="AB45" i="9"/>
  <c r="Q14" i="9"/>
  <c r="V14" i="9"/>
  <c r="AB113" i="9"/>
  <c r="W113" i="9"/>
  <c r="AB214" i="9"/>
  <c r="Q190" i="9"/>
  <c r="Q154" i="9"/>
  <c r="Q119" i="9"/>
  <c r="Q83" i="9"/>
  <c r="Q45" i="9"/>
  <c r="Q9" i="9"/>
  <c r="Q205" i="9"/>
  <c r="Q166" i="9"/>
  <c r="Q131" i="9"/>
  <c r="Q95" i="9"/>
  <c r="Q59" i="9"/>
  <c r="Q23" i="9"/>
  <c r="V206" i="9"/>
  <c r="V200" i="9"/>
  <c r="V182" i="9"/>
  <c r="V167" i="9"/>
  <c r="V161" i="9"/>
  <c r="V147" i="9"/>
  <c r="V133" i="9"/>
  <c r="V126" i="9"/>
  <c r="V111" i="9"/>
  <c r="V96" i="9"/>
  <c r="V90" i="9"/>
  <c r="V76" i="9"/>
  <c r="V60" i="9"/>
  <c r="V53" i="9"/>
  <c r="V37" i="9"/>
  <c r="V24" i="9"/>
  <c r="V18" i="9"/>
  <c r="V220" i="9"/>
  <c r="V213" i="9"/>
  <c r="V199" i="9"/>
  <c r="V181" i="9"/>
  <c r="V174" i="9"/>
  <c r="V160" i="9"/>
  <c r="V146" i="9"/>
  <c r="V139" i="9"/>
  <c r="V125" i="9"/>
  <c r="V110" i="9"/>
  <c r="V102" i="9"/>
  <c r="V89" i="9"/>
  <c r="V74" i="9"/>
  <c r="V67" i="9"/>
  <c r="V52" i="9"/>
  <c r="V36" i="9"/>
  <c r="V30" i="9"/>
  <c r="V17" i="9"/>
  <c r="V211" i="9"/>
  <c r="V198" i="9"/>
  <c r="V188" i="9"/>
  <c r="V173" i="9"/>
  <c r="V159" i="9"/>
  <c r="V153" i="9"/>
  <c r="V138" i="9"/>
  <c r="V124" i="9"/>
  <c r="V117" i="9"/>
  <c r="V101" i="9"/>
  <c r="V88" i="9"/>
  <c r="V82" i="9"/>
  <c r="V66" i="9"/>
  <c r="V51" i="9"/>
  <c r="V44" i="9"/>
  <c r="V29" i="9"/>
  <c r="V16" i="9"/>
  <c r="V8" i="9"/>
  <c r="V210" i="9"/>
  <c r="V204" i="9"/>
  <c r="V187" i="9"/>
  <c r="V171" i="9"/>
  <c r="V165" i="9"/>
  <c r="V152" i="9"/>
  <c r="V137" i="9"/>
  <c r="V130" i="9"/>
  <c r="V116" i="9"/>
  <c r="V100" i="9"/>
  <c r="V94" i="9"/>
  <c r="V81" i="9"/>
  <c r="V65" i="9"/>
  <c r="V57" i="9"/>
  <c r="V42" i="9"/>
  <c r="V28" i="9"/>
  <c r="V22" i="9"/>
  <c r="V7" i="9"/>
  <c r="BE188" i="9"/>
  <c r="BD188" i="9"/>
  <c r="N161" i="9"/>
  <c r="N159" i="9"/>
  <c r="K161" i="9"/>
  <c r="K159" i="9"/>
  <c r="O161" i="9"/>
  <c r="O160" i="9"/>
  <c r="O159" i="9"/>
  <c r="N160" i="9"/>
  <c r="K160" i="9"/>
  <c r="K158" i="9"/>
  <c r="O158" i="9"/>
  <c r="N158" i="9"/>
  <c r="N143" i="9"/>
  <c r="O143" i="9"/>
  <c r="N140" i="9"/>
  <c r="O140" i="9"/>
  <c r="N188" i="9"/>
  <c r="O188" i="9"/>
  <c r="N103" i="9"/>
  <c r="O103" i="9"/>
  <c r="CB6" i="9"/>
  <c r="CC6" i="9"/>
  <c r="CB7" i="9"/>
  <c r="CC7" i="9"/>
  <c r="CB8" i="9"/>
  <c r="CC8" i="9"/>
  <c r="CB9" i="9"/>
  <c r="CC9" i="9"/>
  <c r="CB11" i="9"/>
  <c r="CC11" i="9"/>
  <c r="CB13" i="9"/>
  <c r="CC13" i="9"/>
  <c r="CB14" i="9"/>
  <c r="CC14" i="9"/>
  <c r="CB15" i="9"/>
  <c r="CC15" i="9"/>
  <c r="CB16" i="9"/>
  <c r="CC16" i="9"/>
  <c r="CB17" i="9"/>
  <c r="CC17" i="9"/>
  <c r="CB18" i="9"/>
  <c r="CC18" i="9"/>
  <c r="CB19" i="9"/>
  <c r="CC19" i="9"/>
  <c r="CB20" i="9"/>
  <c r="CC20" i="9"/>
  <c r="CB21" i="9"/>
  <c r="CC21" i="9"/>
  <c r="CB22" i="9"/>
  <c r="CC22" i="9"/>
  <c r="CB23" i="9"/>
  <c r="CC23" i="9"/>
  <c r="CB24" i="9"/>
  <c r="CC24" i="9"/>
  <c r="CB25" i="9"/>
  <c r="CC25" i="9"/>
  <c r="CB26" i="9"/>
  <c r="CC26" i="9"/>
  <c r="CB27" i="9"/>
  <c r="CC27" i="9"/>
  <c r="CB28" i="9"/>
  <c r="CC28" i="9"/>
  <c r="CB29" i="9"/>
  <c r="CC29" i="9"/>
  <c r="CB30" i="9"/>
  <c r="CC30" i="9"/>
  <c r="CB31" i="9"/>
  <c r="CC31" i="9"/>
  <c r="CB32" i="9"/>
  <c r="CC32" i="9"/>
  <c r="CB33" i="9"/>
  <c r="CC33" i="9"/>
  <c r="CB34" i="9"/>
  <c r="CC34" i="9"/>
  <c r="CB35" i="9"/>
  <c r="CC35" i="9"/>
  <c r="CB36" i="9"/>
  <c r="CC36" i="9"/>
  <c r="CB37" i="9"/>
  <c r="CC37" i="9"/>
  <c r="CB38" i="9"/>
  <c r="CC38" i="9"/>
  <c r="CB39" i="9"/>
  <c r="CC39" i="9"/>
  <c r="CB40" i="9"/>
  <c r="CC40" i="9"/>
  <c r="CB42" i="9"/>
  <c r="CC42" i="9"/>
  <c r="CB44" i="9"/>
  <c r="CC44" i="9"/>
  <c r="CB45" i="9"/>
  <c r="CC45" i="9"/>
  <c r="CB46" i="9"/>
  <c r="CC46" i="9"/>
  <c r="CB47" i="9"/>
  <c r="CC47" i="9"/>
  <c r="CB48" i="9"/>
  <c r="CC48" i="9"/>
  <c r="CB49" i="9"/>
  <c r="CC49" i="9"/>
  <c r="CB51" i="9"/>
  <c r="CC51" i="9"/>
  <c r="CB52" i="9"/>
  <c r="CC52" i="9"/>
  <c r="CB53" i="9"/>
  <c r="CC53" i="9"/>
  <c r="CB54" i="9"/>
  <c r="CC54" i="9"/>
  <c r="CB55" i="9"/>
  <c r="CC55" i="9"/>
  <c r="CB56" i="9"/>
  <c r="CC56" i="9"/>
  <c r="CB57" i="9"/>
  <c r="CC57" i="9"/>
  <c r="CB59" i="9"/>
  <c r="CC59" i="9"/>
  <c r="CB60" i="9"/>
  <c r="CC60" i="9"/>
  <c r="CB62" i="9"/>
  <c r="CC62" i="9"/>
  <c r="CB63" i="9"/>
  <c r="CC63" i="9"/>
  <c r="CB64" i="9"/>
  <c r="CC64" i="9"/>
  <c r="CB65" i="9"/>
  <c r="CC65" i="9"/>
  <c r="CB66" i="9"/>
  <c r="CC66" i="9"/>
  <c r="CB67" i="9"/>
  <c r="CC67" i="9"/>
  <c r="CB68" i="9"/>
  <c r="CC68" i="9"/>
  <c r="CB69" i="9"/>
  <c r="CC69" i="9"/>
  <c r="CB70" i="9"/>
  <c r="CC70" i="9"/>
  <c r="CB71" i="9"/>
  <c r="CC71" i="9"/>
  <c r="CB72" i="9"/>
  <c r="CC72" i="9"/>
  <c r="CB74" i="9"/>
  <c r="CC74" i="9"/>
  <c r="CB76" i="9"/>
  <c r="CC76" i="9"/>
  <c r="CB78" i="9"/>
  <c r="CC78" i="9"/>
  <c r="CB79" i="9"/>
  <c r="CC79" i="9"/>
  <c r="CB80" i="9"/>
  <c r="CC80" i="9"/>
  <c r="CB81" i="9"/>
  <c r="CC81" i="9"/>
  <c r="CB82" i="9"/>
  <c r="CC82" i="9"/>
  <c r="CB83" i="9"/>
  <c r="CC83" i="9"/>
  <c r="CB84" i="9"/>
  <c r="CC84" i="9"/>
  <c r="CB85" i="9"/>
  <c r="CC85" i="9"/>
  <c r="CB86" i="9"/>
  <c r="CC86" i="9"/>
  <c r="CB87" i="9"/>
  <c r="CC87" i="9"/>
  <c r="CB88" i="9"/>
  <c r="CC88" i="9"/>
  <c r="CB89" i="9"/>
  <c r="CC89" i="9"/>
  <c r="CB90" i="9"/>
  <c r="CC90" i="9"/>
  <c r="CB91" i="9"/>
  <c r="CC91" i="9"/>
  <c r="CB92" i="9"/>
  <c r="CC92" i="9"/>
  <c r="CB93" i="9"/>
  <c r="CC93" i="9"/>
  <c r="CB94" i="9"/>
  <c r="CC94" i="9"/>
  <c r="CB95" i="9"/>
  <c r="CC95" i="9"/>
  <c r="CB96" i="9"/>
  <c r="CC96" i="9"/>
  <c r="CB97" i="9"/>
  <c r="CC97" i="9"/>
  <c r="CB98" i="9"/>
  <c r="CC98" i="9"/>
  <c r="CB99" i="9"/>
  <c r="CC99" i="9"/>
  <c r="CB100" i="9"/>
  <c r="CC100" i="9"/>
  <c r="CB101" i="9"/>
  <c r="CC101" i="9"/>
  <c r="CB102" i="9"/>
  <c r="CC102" i="9"/>
  <c r="CB105" i="9"/>
  <c r="CC105" i="9"/>
  <c r="CB106" i="9"/>
  <c r="CC106" i="9"/>
  <c r="CB108" i="9"/>
  <c r="CC108" i="9"/>
  <c r="CB109" i="9"/>
  <c r="CC109" i="9"/>
  <c r="CB110" i="9"/>
  <c r="CC110" i="9"/>
  <c r="CB111" i="9"/>
  <c r="CC111" i="9"/>
  <c r="CB112" i="9"/>
  <c r="CC112" i="9"/>
  <c r="CB113" i="9"/>
  <c r="CC113" i="9"/>
  <c r="CB115" i="9"/>
  <c r="CC115" i="9"/>
  <c r="CB116" i="9"/>
  <c r="CC116" i="9"/>
  <c r="CB117" i="9"/>
  <c r="CC117" i="9"/>
  <c r="CB119" i="9"/>
  <c r="CC119" i="9"/>
  <c r="CB120" i="9"/>
  <c r="CC120" i="9"/>
  <c r="CB121" i="9"/>
  <c r="CC121" i="9"/>
  <c r="CB122" i="9"/>
  <c r="CC122" i="9"/>
  <c r="CB123" i="9"/>
  <c r="CC123" i="9"/>
  <c r="CB124" i="9"/>
  <c r="CC124" i="9"/>
  <c r="CB125" i="9"/>
  <c r="CC125" i="9"/>
  <c r="CB126" i="9"/>
  <c r="CC126" i="9"/>
  <c r="CB127" i="9"/>
  <c r="CC127" i="9"/>
  <c r="CB128" i="9"/>
  <c r="CC128" i="9"/>
  <c r="CB129" i="9"/>
  <c r="CC129" i="9"/>
  <c r="CB130" i="9"/>
  <c r="CC130" i="9"/>
  <c r="CB131" i="9"/>
  <c r="CC131" i="9"/>
  <c r="CB133" i="9"/>
  <c r="CC133" i="9"/>
  <c r="CB134" i="9"/>
  <c r="CC134" i="9"/>
  <c r="CB135" i="9"/>
  <c r="CC135" i="9"/>
  <c r="CB136" i="9"/>
  <c r="CC136" i="9"/>
  <c r="CB137" i="9"/>
  <c r="CC137" i="9"/>
  <c r="CB138" i="9"/>
  <c r="CC138" i="9"/>
  <c r="CB139" i="9"/>
  <c r="CC139" i="9"/>
  <c r="CB142" i="9"/>
  <c r="CC142" i="9"/>
  <c r="CB144" i="9"/>
  <c r="CC144" i="9"/>
  <c r="CB145" i="9"/>
  <c r="CC145" i="9"/>
  <c r="CB146" i="9"/>
  <c r="CC146" i="9"/>
  <c r="CB147" i="9"/>
  <c r="CC147" i="9"/>
  <c r="CB148" i="9"/>
  <c r="CC148" i="9"/>
  <c r="CB150" i="9"/>
  <c r="CC150" i="9"/>
  <c r="CB151" i="9"/>
  <c r="CC151" i="9"/>
  <c r="CB152" i="9"/>
  <c r="CC152" i="9"/>
  <c r="CB153" i="9"/>
  <c r="CC153" i="9"/>
  <c r="CB154" i="9"/>
  <c r="CC154" i="9"/>
  <c r="CB155" i="9"/>
  <c r="CC155" i="9"/>
  <c r="CB156" i="9"/>
  <c r="CC156" i="9"/>
  <c r="CB162" i="9"/>
  <c r="CC162" i="9"/>
  <c r="CB163" i="9"/>
  <c r="CC163" i="9"/>
  <c r="CB164" i="9"/>
  <c r="CC164" i="9"/>
  <c r="CB165" i="9"/>
  <c r="CC165" i="9"/>
  <c r="CB166" i="9"/>
  <c r="CC166" i="9"/>
  <c r="CB167" i="9"/>
  <c r="CC167" i="9"/>
  <c r="CB168" i="9"/>
  <c r="CC168" i="9"/>
  <c r="CB169" i="9"/>
  <c r="CC169" i="9"/>
  <c r="CB170" i="9"/>
  <c r="CC170" i="9"/>
  <c r="CB171" i="9"/>
  <c r="CC171" i="9"/>
  <c r="CB173" i="9"/>
  <c r="CC173" i="9"/>
  <c r="CB174" i="9"/>
  <c r="CC174" i="9"/>
  <c r="CB175" i="9"/>
  <c r="CC175" i="9"/>
  <c r="CB176" i="9"/>
  <c r="CC176" i="9"/>
  <c r="CB177" i="9"/>
  <c r="CC177" i="9"/>
  <c r="CB178" i="9"/>
  <c r="CC178" i="9"/>
  <c r="CB179" i="9"/>
  <c r="CC179" i="9"/>
  <c r="CB181" i="9"/>
  <c r="CC181" i="9"/>
  <c r="CB182" i="9"/>
  <c r="CC182" i="9"/>
  <c r="CB184" i="9"/>
  <c r="CC184" i="9"/>
  <c r="CB185" i="9"/>
  <c r="CC185" i="9"/>
  <c r="CB186" i="9"/>
  <c r="CC186" i="9"/>
  <c r="CB187" i="9"/>
  <c r="CC187" i="9"/>
  <c r="CB190" i="9"/>
  <c r="CC190" i="9"/>
  <c r="CB192" i="9"/>
  <c r="CC192" i="9"/>
  <c r="CB193" i="9"/>
  <c r="CC193" i="9"/>
  <c r="CB194" i="9"/>
  <c r="CC194" i="9"/>
  <c r="CB196" i="9"/>
  <c r="CC196" i="9"/>
  <c r="CB198" i="9"/>
  <c r="CC198" i="9"/>
  <c r="CB199" i="9"/>
  <c r="CC199" i="9"/>
  <c r="CB200" i="9"/>
  <c r="CC200" i="9"/>
  <c r="CB201" i="9"/>
  <c r="CC201" i="9"/>
  <c r="CB202" i="9"/>
  <c r="CC202" i="9"/>
  <c r="CB203" i="9"/>
  <c r="CC203" i="9"/>
  <c r="CB204" i="9"/>
  <c r="CC204" i="9"/>
  <c r="CB205" i="9"/>
  <c r="CC205" i="9"/>
  <c r="CB206" i="9"/>
  <c r="CC206" i="9"/>
  <c r="CB207" i="9"/>
  <c r="CC207" i="9"/>
  <c r="CB208" i="9"/>
  <c r="CC208" i="9"/>
  <c r="CB209" i="9"/>
  <c r="CC209" i="9"/>
  <c r="CB218" i="9"/>
  <c r="CC218" i="9"/>
  <c r="CB219" i="9"/>
  <c r="CC219" i="9"/>
  <c r="CB220" i="9"/>
  <c r="CC220" i="9"/>
  <c r="BV6" i="9"/>
  <c r="BW6" i="9"/>
  <c r="BV7" i="9"/>
  <c r="BW7" i="9"/>
  <c r="BV8" i="9"/>
  <c r="BW8" i="9"/>
  <c r="BV9" i="9"/>
  <c r="BW9" i="9"/>
  <c r="BV11" i="9"/>
  <c r="BW11" i="9"/>
  <c r="BV13" i="9"/>
  <c r="BW13" i="9"/>
  <c r="BV14" i="9"/>
  <c r="BW14" i="9"/>
  <c r="BV15" i="9"/>
  <c r="BW15" i="9"/>
  <c r="BV16" i="9"/>
  <c r="BW16" i="9"/>
  <c r="BV17" i="9"/>
  <c r="BW17" i="9"/>
  <c r="BV18" i="9"/>
  <c r="BW18" i="9"/>
  <c r="BV19" i="9"/>
  <c r="BW19" i="9"/>
  <c r="BV20" i="9"/>
  <c r="BW20" i="9"/>
  <c r="BV21" i="9"/>
  <c r="BW21" i="9"/>
  <c r="BV22" i="9"/>
  <c r="BW22" i="9"/>
  <c r="BV23" i="9"/>
  <c r="BW23" i="9"/>
  <c r="BV24" i="9"/>
  <c r="BW24" i="9"/>
  <c r="BV25" i="9"/>
  <c r="BW25" i="9"/>
  <c r="BV26" i="9"/>
  <c r="BW26" i="9"/>
  <c r="BV27" i="9"/>
  <c r="BW27" i="9"/>
  <c r="BV28" i="9"/>
  <c r="BW28" i="9"/>
  <c r="BV29" i="9"/>
  <c r="BW29" i="9"/>
  <c r="BV30" i="9"/>
  <c r="BW30" i="9"/>
  <c r="BV31" i="9"/>
  <c r="BW31" i="9"/>
  <c r="BV32" i="9"/>
  <c r="BW32" i="9"/>
  <c r="BV33" i="9"/>
  <c r="BW33" i="9"/>
  <c r="BV34" i="9"/>
  <c r="BW34" i="9"/>
  <c r="BV35" i="9"/>
  <c r="BW35" i="9"/>
  <c r="BV36" i="9"/>
  <c r="BW36" i="9"/>
  <c r="BV37" i="9"/>
  <c r="BW37" i="9"/>
  <c r="BV38" i="9"/>
  <c r="BW38" i="9"/>
  <c r="BV39" i="9"/>
  <c r="BW39" i="9"/>
  <c r="BV40" i="9"/>
  <c r="BW40" i="9"/>
  <c r="BV42" i="9"/>
  <c r="BW42" i="9"/>
  <c r="BV44" i="9"/>
  <c r="BW44" i="9"/>
  <c r="BV45" i="9"/>
  <c r="BW45" i="9"/>
  <c r="BV46" i="9"/>
  <c r="BW46" i="9"/>
  <c r="BV47" i="9"/>
  <c r="BW47" i="9"/>
  <c r="BV48" i="9"/>
  <c r="BW48" i="9"/>
  <c r="BV49" i="9"/>
  <c r="BW49" i="9"/>
  <c r="BV51" i="9"/>
  <c r="BW51" i="9"/>
  <c r="BV52" i="9"/>
  <c r="BW52" i="9"/>
  <c r="BV53" i="9"/>
  <c r="BW53" i="9"/>
  <c r="BV54" i="9"/>
  <c r="BW54" i="9"/>
  <c r="BV55" i="9"/>
  <c r="BW55" i="9"/>
  <c r="BV56" i="9"/>
  <c r="BW56" i="9"/>
  <c r="BV57" i="9"/>
  <c r="BW57" i="9"/>
  <c r="BV59" i="9"/>
  <c r="BW59" i="9"/>
  <c r="BV60" i="9"/>
  <c r="BW60" i="9"/>
  <c r="BV62" i="9"/>
  <c r="BW62" i="9"/>
  <c r="BV63" i="9"/>
  <c r="BW63" i="9"/>
  <c r="BV64" i="9"/>
  <c r="BW64" i="9"/>
  <c r="BV65" i="9"/>
  <c r="BW65" i="9"/>
  <c r="BV66" i="9"/>
  <c r="BW66" i="9"/>
  <c r="BV67" i="9"/>
  <c r="BW67" i="9"/>
  <c r="BV68" i="9"/>
  <c r="BW68" i="9"/>
  <c r="BV69" i="9"/>
  <c r="BW69" i="9"/>
  <c r="BV70" i="9"/>
  <c r="BW70" i="9"/>
  <c r="BV71" i="9"/>
  <c r="BW71" i="9"/>
  <c r="BV72" i="9"/>
  <c r="BW72" i="9"/>
  <c r="BV74" i="9"/>
  <c r="BW74" i="9"/>
  <c r="BV76" i="9"/>
  <c r="BW76" i="9"/>
  <c r="BV78" i="9"/>
  <c r="BW78" i="9"/>
  <c r="BV79" i="9"/>
  <c r="BW79" i="9"/>
  <c r="BV80" i="9"/>
  <c r="BW80" i="9"/>
  <c r="BV81" i="9"/>
  <c r="BW81" i="9"/>
  <c r="BV82" i="9"/>
  <c r="BW82" i="9"/>
  <c r="BV83" i="9"/>
  <c r="BW83" i="9"/>
  <c r="BV84" i="9"/>
  <c r="BW84" i="9"/>
  <c r="BV85" i="9"/>
  <c r="BW85" i="9"/>
  <c r="BV86" i="9"/>
  <c r="BW86" i="9"/>
  <c r="BV87" i="9"/>
  <c r="BW87" i="9"/>
  <c r="BV88" i="9"/>
  <c r="BW88" i="9"/>
  <c r="BV89" i="9"/>
  <c r="BW89" i="9"/>
  <c r="BV90" i="9"/>
  <c r="BW90" i="9"/>
  <c r="BV91" i="9"/>
  <c r="BW91" i="9"/>
  <c r="BV92" i="9"/>
  <c r="BW92" i="9"/>
  <c r="BV93" i="9"/>
  <c r="BW93" i="9"/>
  <c r="BV94" i="9"/>
  <c r="BW94" i="9"/>
  <c r="BV95" i="9"/>
  <c r="BW95" i="9"/>
  <c r="BV96" i="9"/>
  <c r="BW96" i="9"/>
  <c r="BV97" i="9"/>
  <c r="BW97" i="9"/>
  <c r="BV98" i="9"/>
  <c r="BW98" i="9"/>
  <c r="BV99" i="9"/>
  <c r="BW99" i="9"/>
  <c r="BV100" i="9"/>
  <c r="BW100" i="9"/>
  <c r="BV101" i="9"/>
  <c r="BW101" i="9"/>
  <c r="BV102" i="9"/>
  <c r="BW102" i="9"/>
  <c r="BV105" i="9"/>
  <c r="BW105" i="9"/>
  <c r="BV106" i="9"/>
  <c r="BW106" i="9"/>
  <c r="BV108" i="9"/>
  <c r="BW108" i="9"/>
  <c r="BV109" i="9"/>
  <c r="BW109" i="9"/>
  <c r="BV110" i="9"/>
  <c r="BW110" i="9"/>
  <c r="BV111" i="9"/>
  <c r="BW111" i="9"/>
  <c r="BV112" i="9"/>
  <c r="BW112" i="9"/>
  <c r="BV113" i="9"/>
  <c r="BW113" i="9"/>
  <c r="BV115" i="9"/>
  <c r="BW115" i="9"/>
  <c r="BV116" i="9"/>
  <c r="BW116" i="9"/>
  <c r="BV117" i="9"/>
  <c r="BW117" i="9"/>
  <c r="BV119" i="9"/>
  <c r="BW119" i="9"/>
  <c r="BV120" i="9"/>
  <c r="BW120" i="9"/>
  <c r="BV121" i="9"/>
  <c r="BW121" i="9"/>
  <c r="BV122" i="9"/>
  <c r="BW122" i="9"/>
  <c r="BV123" i="9"/>
  <c r="BW123" i="9"/>
  <c r="BV124" i="9"/>
  <c r="BW124" i="9"/>
  <c r="BV125" i="9"/>
  <c r="BW125" i="9"/>
  <c r="BV126" i="9"/>
  <c r="BW126" i="9"/>
  <c r="BV127" i="9"/>
  <c r="BW127" i="9"/>
  <c r="BV128" i="9"/>
  <c r="BW128" i="9"/>
  <c r="BV129" i="9"/>
  <c r="BW129" i="9"/>
  <c r="BV130" i="9"/>
  <c r="BW130" i="9"/>
  <c r="BV131" i="9"/>
  <c r="BW131" i="9"/>
  <c r="BV133" i="9"/>
  <c r="BW133" i="9"/>
  <c r="BV134" i="9"/>
  <c r="BW134" i="9"/>
  <c r="BV135" i="9"/>
  <c r="BW135" i="9"/>
  <c r="BV136" i="9"/>
  <c r="BW136" i="9"/>
  <c r="BV137" i="9"/>
  <c r="BW137" i="9"/>
  <c r="BV138" i="9"/>
  <c r="BW138" i="9"/>
  <c r="BV139" i="9"/>
  <c r="BW139" i="9"/>
  <c r="BV142" i="9"/>
  <c r="BW142" i="9"/>
  <c r="BV144" i="9"/>
  <c r="BW144" i="9"/>
  <c r="BV145" i="9"/>
  <c r="BW145" i="9"/>
  <c r="BV146" i="9"/>
  <c r="BW146" i="9"/>
  <c r="BV147" i="9"/>
  <c r="BW147" i="9"/>
  <c r="BV148" i="9"/>
  <c r="BW148" i="9"/>
  <c r="BV150" i="9"/>
  <c r="BW150" i="9"/>
  <c r="BV151" i="9"/>
  <c r="BW151" i="9"/>
  <c r="BV152" i="9"/>
  <c r="BW152" i="9"/>
  <c r="BV153" i="9"/>
  <c r="BW153" i="9"/>
  <c r="BV154" i="9"/>
  <c r="BW154" i="9"/>
  <c r="BV155" i="9"/>
  <c r="BW155" i="9"/>
  <c r="BV156" i="9"/>
  <c r="BW156" i="9"/>
  <c r="BV162" i="9"/>
  <c r="BW162" i="9"/>
  <c r="BV163" i="9"/>
  <c r="BW163" i="9"/>
  <c r="BV164" i="9"/>
  <c r="BW164" i="9"/>
  <c r="BV165" i="9"/>
  <c r="BW165" i="9"/>
  <c r="BV166" i="9"/>
  <c r="BW166" i="9"/>
  <c r="BV167" i="9"/>
  <c r="BW167" i="9"/>
  <c r="BV168" i="9"/>
  <c r="BW168" i="9"/>
  <c r="BV169" i="9"/>
  <c r="BW169" i="9"/>
  <c r="BV170" i="9"/>
  <c r="BW170" i="9"/>
  <c r="BV171" i="9"/>
  <c r="BW171" i="9"/>
  <c r="BV173" i="9"/>
  <c r="BW173" i="9"/>
  <c r="BV174" i="9"/>
  <c r="BW174" i="9"/>
  <c r="BV175" i="9"/>
  <c r="BW175" i="9"/>
  <c r="BV176" i="9"/>
  <c r="BW176" i="9"/>
  <c r="BV177" i="9"/>
  <c r="BW177" i="9"/>
  <c r="BV178" i="9"/>
  <c r="BW178" i="9"/>
  <c r="BV179" i="9"/>
  <c r="BW179" i="9"/>
  <c r="BV181" i="9"/>
  <c r="BW181" i="9"/>
  <c r="BV182" i="9"/>
  <c r="BW182" i="9"/>
  <c r="BV184" i="9"/>
  <c r="BW184" i="9"/>
  <c r="BV185" i="9"/>
  <c r="BW185" i="9"/>
  <c r="BV186" i="9"/>
  <c r="BW186" i="9"/>
  <c r="BV187" i="9"/>
  <c r="BW187" i="9"/>
  <c r="BV190" i="9"/>
  <c r="BW190" i="9"/>
  <c r="BV192" i="9"/>
  <c r="BW192" i="9"/>
  <c r="BV193" i="9"/>
  <c r="BW193" i="9"/>
  <c r="BV194" i="9"/>
  <c r="BW194" i="9"/>
  <c r="BV196" i="9"/>
  <c r="BW196" i="9"/>
  <c r="BV198" i="9"/>
  <c r="BW198" i="9"/>
  <c r="BV199" i="9"/>
  <c r="BW199" i="9"/>
  <c r="BV200" i="9"/>
  <c r="BW200" i="9"/>
  <c r="BV201" i="9"/>
  <c r="BW201" i="9"/>
  <c r="BV202" i="9"/>
  <c r="BW202" i="9"/>
  <c r="BV203" i="9"/>
  <c r="BW203" i="9"/>
  <c r="BV204" i="9"/>
  <c r="BW204" i="9"/>
  <c r="BV205" i="9"/>
  <c r="BW205" i="9"/>
  <c r="BV206" i="9"/>
  <c r="BW206" i="9"/>
  <c r="BV207" i="9"/>
  <c r="BW207" i="9"/>
  <c r="BV208" i="9"/>
  <c r="BW208" i="9"/>
  <c r="BV209" i="9"/>
  <c r="BW209" i="9"/>
  <c r="BV215" i="9"/>
  <c r="BW215" i="9"/>
  <c r="BV216" i="9"/>
  <c r="BW216" i="9"/>
  <c r="BV218" i="9"/>
  <c r="BW218" i="9"/>
  <c r="BV219" i="9"/>
  <c r="BW219" i="9"/>
  <c r="BV220" i="9"/>
  <c r="BW220" i="9"/>
  <c r="BP6" i="9"/>
  <c r="BQ6" i="9"/>
  <c r="BP7" i="9"/>
  <c r="BQ7" i="9"/>
  <c r="BP8" i="9"/>
  <c r="BQ8" i="9"/>
  <c r="BP9" i="9"/>
  <c r="BQ9" i="9"/>
  <c r="BP11" i="9"/>
  <c r="BQ11" i="9"/>
  <c r="BP13" i="9"/>
  <c r="BQ13" i="9"/>
  <c r="BP14" i="9"/>
  <c r="BQ14" i="9"/>
  <c r="BP15" i="9"/>
  <c r="BQ15" i="9"/>
  <c r="BP16" i="9"/>
  <c r="BQ16" i="9"/>
  <c r="BP17" i="9"/>
  <c r="BQ17" i="9"/>
  <c r="BP18" i="9"/>
  <c r="BQ18" i="9"/>
  <c r="BP19" i="9"/>
  <c r="BQ19" i="9"/>
  <c r="BP20" i="9"/>
  <c r="BQ20" i="9"/>
  <c r="BP21" i="9"/>
  <c r="BQ21" i="9"/>
  <c r="BP22" i="9"/>
  <c r="BQ22" i="9"/>
  <c r="BP23" i="9"/>
  <c r="BQ23" i="9"/>
  <c r="BP24" i="9"/>
  <c r="BQ24" i="9"/>
  <c r="BP25" i="9"/>
  <c r="BQ25" i="9"/>
  <c r="BP26" i="9"/>
  <c r="BQ26" i="9"/>
  <c r="BP27" i="9"/>
  <c r="BQ27" i="9"/>
  <c r="BP28" i="9"/>
  <c r="BQ28" i="9"/>
  <c r="BP29" i="9"/>
  <c r="BQ29" i="9"/>
  <c r="BP30" i="9"/>
  <c r="BQ30" i="9"/>
  <c r="BP31" i="9"/>
  <c r="BQ31" i="9"/>
  <c r="BP32" i="9"/>
  <c r="BQ32" i="9"/>
  <c r="BP33" i="9"/>
  <c r="BQ33" i="9"/>
  <c r="BP34" i="9"/>
  <c r="BQ34" i="9"/>
  <c r="BP35" i="9"/>
  <c r="BQ35" i="9"/>
  <c r="BP36" i="9"/>
  <c r="BQ36" i="9"/>
  <c r="BP37" i="9"/>
  <c r="BQ37" i="9"/>
  <c r="BP38" i="9"/>
  <c r="BQ38" i="9"/>
  <c r="BP39" i="9"/>
  <c r="BQ39" i="9"/>
  <c r="BP40" i="9"/>
  <c r="BQ40" i="9"/>
  <c r="BP42" i="9"/>
  <c r="BQ42" i="9"/>
  <c r="BP44" i="9"/>
  <c r="BQ44" i="9"/>
  <c r="BP45" i="9"/>
  <c r="BQ45" i="9"/>
  <c r="BP46" i="9"/>
  <c r="BQ46" i="9"/>
  <c r="BP47" i="9"/>
  <c r="BQ47" i="9"/>
  <c r="BP48" i="9"/>
  <c r="BQ48" i="9"/>
  <c r="BP49" i="9"/>
  <c r="BQ49" i="9"/>
  <c r="BP51" i="9"/>
  <c r="BQ51" i="9"/>
  <c r="BP52" i="9"/>
  <c r="BQ52" i="9"/>
  <c r="BP53" i="9"/>
  <c r="BQ53" i="9"/>
  <c r="BP54" i="9"/>
  <c r="BQ54" i="9"/>
  <c r="BP55" i="9"/>
  <c r="BQ55" i="9"/>
  <c r="BP56" i="9"/>
  <c r="BQ56" i="9"/>
  <c r="BP57" i="9"/>
  <c r="BQ57" i="9"/>
  <c r="BP59" i="9"/>
  <c r="BQ59" i="9"/>
  <c r="BP60" i="9"/>
  <c r="BQ60" i="9"/>
  <c r="BP62" i="9"/>
  <c r="BQ62" i="9"/>
  <c r="BP63" i="9"/>
  <c r="BQ63" i="9"/>
  <c r="BP64" i="9"/>
  <c r="BQ64" i="9"/>
  <c r="BP65" i="9"/>
  <c r="BQ65" i="9"/>
  <c r="BP66" i="9"/>
  <c r="BQ66" i="9"/>
  <c r="BP67" i="9"/>
  <c r="BQ67" i="9"/>
  <c r="BP68" i="9"/>
  <c r="BQ68" i="9"/>
  <c r="BP69" i="9"/>
  <c r="BQ69" i="9"/>
  <c r="BP70" i="9"/>
  <c r="BQ70" i="9"/>
  <c r="BP71" i="9"/>
  <c r="BQ71" i="9"/>
  <c r="BP72" i="9"/>
  <c r="BQ72" i="9"/>
  <c r="BP74" i="9"/>
  <c r="BQ74" i="9"/>
  <c r="BP76" i="9"/>
  <c r="BQ76" i="9"/>
  <c r="BP78" i="9"/>
  <c r="BQ78" i="9"/>
  <c r="BP79" i="9"/>
  <c r="BQ79" i="9"/>
  <c r="BP80" i="9"/>
  <c r="BQ80" i="9"/>
  <c r="BP81" i="9"/>
  <c r="BQ81" i="9"/>
  <c r="BP82" i="9"/>
  <c r="BQ82" i="9"/>
  <c r="BP83" i="9"/>
  <c r="BQ83" i="9"/>
  <c r="BP84" i="9"/>
  <c r="BQ84" i="9"/>
  <c r="BP85" i="9"/>
  <c r="BQ85" i="9"/>
  <c r="BP86" i="9"/>
  <c r="BQ86" i="9"/>
  <c r="BP87" i="9"/>
  <c r="BQ87" i="9"/>
  <c r="BP88" i="9"/>
  <c r="BQ88" i="9"/>
  <c r="BP89" i="9"/>
  <c r="BQ89" i="9"/>
  <c r="BP90" i="9"/>
  <c r="BQ90" i="9"/>
  <c r="BP91" i="9"/>
  <c r="BQ91" i="9"/>
  <c r="BP92" i="9"/>
  <c r="BQ92" i="9"/>
  <c r="BP93" i="9"/>
  <c r="BQ93" i="9"/>
  <c r="BP94" i="9"/>
  <c r="BQ94" i="9"/>
  <c r="BP95" i="9"/>
  <c r="BQ95" i="9"/>
  <c r="BP96" i="9"/>
  <c r="BQ96" i="9"/>
  <c r="BP97" i="9"/>
  <c r="BQ97" i="9"/>
  <c r="BP98" i="9"/>
  <c r="BQ98" i="9"/>
  <c r="BP99" i="9"/>
  <c r="BQ99" i="9"/>
  <c r="BP100" i="9"/>
  <c r="BQ100" i="9"/>
  <c r="BP101" i="9"/>
  <c r="BQ101" i="9"/>
  <c r="BP102" i="9"/>
  <c r="BQ102" i="9"/>
  <c r="BP105" i="9"/>
  <c r="BQ105" i="9"/>
  <c r="BP106" i="9"/>
  <c r="BQ106" i="9"/>
  <c r="BP108" i="9"/>
  <c r="BQ108" i="9"/>
  <c r="BP109" i="9"/>
  <c r="BQ109" i="9"/>
  <c r="BP110" i="9"/>
  <c r="BQ110" i="9"/>
  <c r="BP111" i="9"/>
  <c r="BQ111" i="9"/>
  <c r="BP112" i="9"/>
  <c r="BQ112" i="9"/>
  <c r="BP113" i="9"/>
  <c r="BQ113" i="9"/>
  <c r="BP115" i="9"/>
  <c r="BQ115" i="9"/>
  <c r="BP116" i="9"/>
  <c r="BQ116" i="9"/>
  <c r="BP117" i="9"/>
  <c r="BQ117" i="9"/>
  <c r="BP119" i="9"/>
  <c r="BQ119" i="9"/>
  <c r="BP120" i="9"/>
  <c r="BQ120" i="9"/>
  <c r="BP121" i="9"/>
  <c r="BQ121" i="9"/>
  <c r="BP122" i="9"/>
  <c r="BQ122" i="9"/>
  <c r="BP123" i="9"/>
  <c r="BQ123" i="9"/>
  <c r="BP124" i="9"/>
  <c r="BQ124" i="9"/>
  <c r="BP125" i="9"/>
  <c r="BQ125" i="9"/>
  <c r="BP126" i="9"/>
  <c r="BQ126" i="9"/>
  <c r="BP127" i="9"/>
  <c r="BQ127" i="9"/>
  <c r="BP128" i="9"/>
  <c r="BQ128" i="9"/>
  <c r="BP129" i="9"/>
  <c r="BQ129" i="9"/>
  <c r="BP130" i="9"/>
  <c r="BQ130" i="9"/>
  <c r="BP131" i="9"/>
  <c r="BQ131" i="9"/>
  <c r="BP133" i="9"/>
  <c r="BQ133" i="9"/>
  <c r="BP134" i="9"/>
  <c r="BQ134" i="9"/>
  <c r="BP135" i="9"/>
  <c r="BQ135" i="9"/>
  <c r="BP136" i="9"/>
  <c r="BQ136" i="9"/>
  <c r="BP137" i="9"/>
  <c r="BQ137" i="9"/>
  <c r="BP138" i="9"/>
  <c r="BQ138" i="9"/>
  <c r="BP139" i="9"/>
  <c r="BQ139" i="9"/>
  <c r="BP142" i="9"/>
  <c r="BQ142" i="9"/>
  <c r="BP144" i="9"/>
  <c r="BQ144" i="9"/>
  <c r="BP145" i="9"/>
  <c r="BQ145" i="9"/>
  <c r="BP146" i="9"/>
  <c r="BQ146" i="9"/>
  <c r="BP147" i="9"/>
  <c r="BQ147" i="9"/>
  <c r="BP148" i="9"/>
  <c r="BQ148" i="9"/>
  <c r="BP150" i="9"/>
  <c r="BQ150" i="9"/>
  <c r="BP151" i="9"/>
  <c r="BQ151" i="9"/>
  <c r="BP152" i="9"/>
  <c r="BQ152" i="9"/>
  <c r="BP153" i="9"/>
  <c r="BQ153" i="9"/>
  <c r="BP154" i="9"/>
  <c r="BQ154" i="9"/>
  <c r="BP155" i="9"/>
  <c r="BQ155" i="9"/>
  <c r="BP156" i="9"/>
  <c r="BQ156" i="9"/>
  <c r="BP162" i="9"/>
  <c r="BQ162" i="9"/>
  <c r="BP163" i="9"/>
  <c r="BQ163" i="9"/>
  <c r="BP164" i="9"/>
  <c r="BQ164" i="9"/>
  <c r="BP165" i="9"/>
  <c r="BQ165" i="9"/>
  <c r="BP166" i="9"/>
  <c r="BQ166" i="9"/>
  <c r="BP167" i="9"/>
  <c r="BQ167" i="9"/>
  <c r="BP168" i="9"/>
  <c r="BQ168" i="9"/>
  <c r="BP169" i="9"/>
  <c r="BQ169" i="9"/>
  <c r="BP170" i="9"/>
  <c r="BQ170" i="9"/>
  <c r="BP171" i="9"/>
  <c r="BQ171" i="9"/>
  <c r="BP173" i="9"/>
  <c r="BQ173" i="9"/>
  <c r="BP174" i="9"/>
  <c r="BQ174" i="9"/>
  <c r="BP175" i="9"/>
  <c r="BQ175" i="9"/>
  <c r="BP176" i="9"/>
  <c r="BQ176" i="9"/>
  <c r="BP177" i="9"/>
  <c r="BQ177" i="9"/>
  <c r="BP178" i="9"/>
  <c r="BQ178" i="9"/>
  <c r="BP179" i="9"/>
  <c r="BQ179" i="9"/>
  <c r="BP181" i="9"/>
  <c r="BQ181" i="9"/>
  <c r="BP182" i="9"/>
  <c r="BQ182" i="9"/>
  <c r="BP184" i="9"/>
  <c r="BQ184" i="9"/>
  <c r="BP185" i="9"/>
  <c r="BQ185" i="9"/>
  <c r="BP186" i="9"/>
  <c r="BQ186" i="9"/>
  <c r="BP187" i="9"/>
  <c r="BQ187" i="9"/>
  <c r="BP190" i="9"/>
  <c r="BQ190" i="9"/>
  <c r="BP192" i="9"/>
  <c r="BQ192" i="9"/>
  <c r="BP193" i="9"/>
  <c r="BQ193" i="9"/>
  <c r="BP194" i="9"/>
  <c r="BQ194" i="9"/>
  <c r="BP196" i="9"/>
  <c r="BQ196" i="9"/>
  <c r="BP198" i="9"/>
  <c r="BQ198" i="9"/>
  <c r="BP199" i="9"/>
  <c r="BQ199" i="9"/>
  <c r="BP200" i="9"/>
  <c r="BQ200" i="9"/>
  <c r="BP201" i="9"/>
  <c r="BQ201" i="9"/>
  <c r="BP202" i="9"/>
  <c r="BQ202" i="9"/>
  <c r="BP203" i="9"/>
  <c r="BQ203" i="9"/>
  <c r="BP204" i="9"/>
  <c r="BQ204" i="9"/>
  <c r="BP205" i="9"/>
  <c r="BQ205" i="9"/>
  <c r="BP206" i="9"/>
  <c r="BQ206" i="9"/>
  <c r="BP207" i="9"/>
  <c r="BQ207" i="9"/>
  <c r="BP208" i="9"/>
  <c r="BQ208" i="9"/>
  <c r="BP209" i="9"/>
  <c r="BQ209" i="9"/>
  <c r="BP216" i="9"/>
  <c r="BQ216" i="9"/>
  <c r="BP218" i="9"/>
  <c r="BQ218" i="9"/>
  <c r="BP219" i="9"/>
  <c r="BQ219" i="9"/>
  <c r="BP220" i="9"/>
  <c r="BQ220" i="9"/>
  <c r="BJ6" i="9"/>
  <c r="BK6" i="9"/>
  <c r="BJ7" i="9"/>
  <c r="BK7" i="9"/>
  <c r="BJ8" i="9"/>
  <c r="BK8" i="9"/>
  <c r="BJ9" i="9"/>
  <c r="BK9" i="9"/>
  <c r="BJ11" i="9"/>
  <c r="BK11" i="9"/>
  <c r="BJ13" i="9"/>
  <c r="BK13" i="9"/>
  <c r="BJ14" i="9"/>
  <c r="BK14" i="9"/>
  <c r="BJ15" i="9"/>
  <c r="BK15" i="9"/>
  <c r="BJ16" i="9"/>
  <c r="BK16" i="9"/>
  <c r="BJ17" i="9"/>
  <c r="BK17" i="9"/>
  <c r="BJ18" i="9"/>
  <c r="BK18" i="9"/>
  <c r="BJ19" i="9"/>
  <c r="BK19" i="9"/>
  <c r="BJ20" i="9"/>
  <c r="BK20" i="9"/>
  <c r="BJ21" i="9"/>
  <c r="BK21" i="9"/>
  <c r="BJ22" i="9"/>
  <c r="BK22" i="9"/>
  <c r="BJ23" i="9"/>
  <c r="BK23" i="9"/>
  <c r="BJ24" i="9"/>
  <c r="BK24" i="9"/>
  <c r="BJ25" i="9"/>
  <c r="BK25" i="9"/>
  <c r="BJ26" i="9"/>
  <c r="BK26" i="9"/>
  <c r="BJ27" i="9"/>
  <c r="BK27" i="9"/>
  <c r="BJ28" i="9"/>
  <c r="BK28" i="9"/>
  <c r="BJ29" i="9"/>
  <c r="BK29" i="9"/>
  <c r="BJ30" i="9"/>
  <c r="BK30" i="9"/>
  <c r="BJ31" i="9"/>
  <c r="BK31" i="9"/>
  <c r="BJ32" i="9"/>
  <c r="BK32" i="9"/>
  <c r="BJ33" i="9"/>
  <c r="BK33" i="9"/>
  <c r="BJ34" i="9"/>
  <c r="BK34" i="9"/>
  <c r="BJ35" i="9"/>
  <c r="BK35" i="9"/>
  <c r="BJ36" i="9"/>
  <c r="BK36" i="9"/>
  <c r="BJ37" i="9"/>
  <c r="BK37" i="9"/>
  <c r="BJ38" i="9"/>
  <c r="BK38" i="9"/>
  <c r="BJ39" i="9"/>
  <c r="BK39" i="9"/>
  <c r="BJ40" i="9"/>
  <c r="BK40" i="9"/>
  <c r="BJ42" i="9"/>
  <c r="BK42" i="9"/>
  <c r="BJ44" i="9"/>
  <c r="BK44" i="9"/>
  <c r="BJ45" i="9"/>
  <c r="BK45" i="9"/>
  <c r="BJ46" i="9"/>
  <c r="BK46" i="9"/>
  <c r="BJ47" i="9"/>
  <c r="BK47" i="9"/>
  <c r="BJ48" i="9"/>
  <c r="BK48" i="9"/>
  <c r="BJ49" i="9"/>
  <c r="BK49" i="9"/>
  <c r="BJ51" i="9"/>
  <c r="BK51" i="9"/>
  <c r="BJ52" i="9"/>
  <c r="BK52" i="9"/>
  <c r="BJ53" i="9"/>
  <c r="BK53" i="9"/>
  <c r="BJ54" i="9"/>
  <c r="BK54" i="9"/>
  <c r="BJ55" i="9"/>
  <c r="BK55" i="9"/>
  <c r="BJ56" i="9"/>
  <c r="BK56" i="9"/>
  <c r="BJ57" i="9"/>
  <c r="BK57" i="9"/>
  <c r="BJ59" i="9"/>
  <c r="BK59" i="9"/>
  <c r="BJ60" i="9"/>
  <c r="BK60" i="9"/>
  <c r="BJ62" i="9"/>
  <c r="BK62" i="9"/>
  <c r="BJ63" i="9"/>
  <c r="BK63" i="9"/>
  <c r="BJ64" i="9"/>
  <c r="BK64" i="9"/>
  <c r="BJ65" i="9"/>
  <c r="BK65" i="9"/>
  <c r="BJ66" i="9"/>
  <c r="BK66" i="9"/>
  <c r="BJ67" i="9"/>
  <c r="BK67" i="9"/>
  <c r="BJ68" i="9"/>
  <c r="BK68" i="9"/>
  <c r="BJ69" i="9"/>
  <c r="BK69" i="9"/>
  <c r="BJ70" i="9"/>
  <c r="BK70" i="9"/>
  <c r="BJ71" i="9"/>
  <c r="BK71" i="9"/>
  <c r="BJ72" i="9"/>
  <c r="BK72" i="9"/>
  <c r="BJ74" i="9"/>
  <c r="BK74" i="9"/>
  <c r="BJ76" i="9"/>
  <c r="BK76" i="9"/>
  <c r="BJ78" i="9"/>
  <c r="BK78" i="9"/>
  <c r="BJ79" i="9"/>
  <c r="BK79" i="9"/>
  <c r="BJ80" i="9"/>
  <c r="BK80" i="9"/>
  <c r="BJ81" i="9"/>
  <c r="BK81" i="9"/>
  <c r="BJ82" i="9"/>
  <c r="BK82" i="9"/>
  <c r="BJ83" i="9"/>
  <c r="BK83" i="9"/>
  <c r="BJ84" i="9"/>
  <c r="BK84" i="9"/>
  <c r="BJ85" i="9"/>
  <c r="BK85" i="9"/>
  <c r="BJ86" i="9"/>
  <c r="BK86" i="9"/>
  <c r="BJ87" i="9"/>
  <c r="BK87" i="9"/>
  <c r="BJ88" i="9"/>
  <c r="BK88" i="9"/>
  <c r="BJ89" i="9"/>
  <c r="BK89" i="9"/>
  <c r="BJ90" i="9"/>
  <c r="BK90" i="9"/>
  <c r="BJ91" i="9"/>
  <c r="BK91" i="9"/>
  <c r="BJ92" i="9"/>
  <c r="BK92" i="9"/>
  <c r="BJ93" i="9"/>
  <c r="BK93" i="9"/>
  <c r="BJ94" i="9"/>
  <c r="BK94" i="9"/>
  <c r="BJ95" i="9"/>
  <c r="BK95" i="9"/>
  <c r="BJ96" i="9"/>
  <c r="BK96" i="9"/>
  <c r="BJ97" i="9"/>
  <c r="BK97" i="9"/>
  <c r="BJ98" i="9"/>
  <c r="BK98" i="9"/>
  <c r="BJ99" i="9"/>
  <c r="BK99" i="9"/>
  <c r="BJ100" i="9"/>
  <c r="BK100" i="9"/>
  <c r="BJ101" i="9"/>
  <c r="BK101" i="9"/>
  <c r="BJ102" i="9"/>
  <c r="BK102" i="9"/>
  <c r="BJ105" i="9"/>
  <c r="BK105" i="9"/>
  <c r="BJ106" i="9"/>
  <c r="BK106" i="9"/>
  <c r="BJ108" i="9"/>
  <c r="BK108" i="9"/>
  <c r="BJ109" i="9"/>
  <c r="BK109" i="9"/>
  <c r="BJ110" i="9"/>
  <c r="BK110" i="9"/>
  <c r="BJ111" i="9"/>
  <c r="BK111" i="9"/>
  <c r="BJ112" i="9"/>
  <c r="BK112" i="9"/>
  <c r="BJ113" i="9"/>
  <c r="BK113" i="9"/>
  <c r="BJ115" i="9"/>
  <c r="BK115" i="9"/>
  <c r="BJ116" i="9"/>
  <c r="BK116" i="9"/>
  <c r="BJ117" i="9"/>
  <c r="BK117" i="9"/>
  <c r="BJ119" i="9"/>
  <c r="BK119" i="9"/>
  <c r="BJ120" i="9"/>
  <c r="BK120" i="9"/>
  <c r="BJ121" i="9"/>
  <c r="BK121" i="9"/>
  <c r="BJ122" i="9"/>
  <c r="BK122" i="9"/>
  <c r="BJ123" i="9"/>
  <c r="BK123" i="9"/>
  <c r="BJ124" i="9"/>
  <c r="BK124" i="9"/>
  <c r="BJ125" i="9"/>
  <c r="BK125" i="9"/>
  <c r="BJ126" i="9"/>
  <c r="BK126" i="9"/>
  <c r="BJ127" i="9"/>
  <c r="BK127" i="9"/>
  <c r="BJ128" i="9"/>
  <c r="BK128" i="9"/>
  <c r="BJ129" i="9"/>
  <c r="BK129" i="9"/>
  <c r="BJ130" i="9"/>
  <c r="BK130" i="9"/>
  <c r="BJ131" i="9"/>
  <c r="BK131" i="9"/>
  <c r="BJ133" i="9"/>
  <c r="BK133" i="9"/>
  <c r="BJ134" i="9"/>
  <c r="BK134" i="9"/>
  <c r="BJ135" i="9"/>
  <c r="BK135" i="9"/>
  <c r="BJ136" i="9"/>
  <c r="BK136" i="9"/>
  <c r="BJ137" i="9"/>
  <c r="BK137" i="9"/>
  <c r="BJ138" i="9"/>
  <c r="BK138" i="9"/>
  <c r="BJ139" i="9"/>
  <c r="BK139" i="9"/>
  <c r="BJ142" i="9"/>
  <c r="BK142" i="9"/>
  <c r="BJ144" i="9"/>
  <c r="BK144" i="9"/>
  <c r="BJ145" i="9"/>
  <c r="BK145" i="9"/>
  <c r="BJ146" i="9"/>
  <c r="BK146" i="9"/>
  <c r="BJ147" i="9"/>
  <c r="BK147" i="9"/>
  <c r="BJ148" i="9"/>
  <c r="BK148" i="9"/>
  <c r="BJ150" i="9"/>
  <c r="BK150" i="9"/>
  <c r="BJ151" i="9"/>
  <c r="BK151" i="9"/>
  <c r="BJ152" i="9"/>
  <c r="BK152" i="9"/>
  <c r="BJ153" i="9"/>
  <c r="BK153" i="9"/>
  <c r="BJ154" i="9"/>
  <c r="BK154" i="9"/>
  <c r="BJ155" i="9"/>
  <c r="BK155" i="9"/>
  <c r="BJ156" i="9"/>
  <c r="BK156" i="9"/>
  <c r="BJ162" i="9"/>
  <c r="BK162" i="9"/>
  <c r="BJ163" i="9"/>
  <c r="BK163" i="9"/>
  <c r="BJ164" i="9"/>
  <c r="BK164" i="9"/>
  <c r="BJ165" i="9"/>
  <c r="BK165" i="9"/>
  <c r="BJ166" i="9"/>
  <c r="BK166" i="9"/>
  <c r="BJ167" i="9"/>
  <c r="BK167" i="9"/>
  <c r="BJ168" i="9"/>
  <c r="BK168" i="9"/>
  <c r="BJ169" i="9"/>
  <c r="BK169" i="9"/>
  <c r="BJ170" i="9"/>
  <c r="BK170" i="9"/>
  <c r="BJ171" i="9"/>
  <c r="BK171" i="9"/>
  <c r="BJ173" i="9"/>
  <c r="BK173" i="9"/>
  <c r="BJ174" i="9"/>
  <c r="BK174" i="9"/>
  <c r="BJ175" i="9"/>
  <c r="BK175" i="9"/>
  <c r="BJ176" i="9"/>
  <c r="BK176" i="9"/>
  <c r="BJ177" i="9"/>
  <c r="BK177" i="9"/>
  <c r="BJ178" i="9"/>
  <c r="BK178" i="9"/>
  <c r="BJ179" i="9"/>
  <c r="BK179" i="9"/>
  <c r="BK181" i="9"/>
  <c r="BJ182" i="9"/>
  <c r="BK182" i="9"/>
  <c r="BJ184" i="9"/>
  <c r="BK184" i="9"/>
  <c r="BJ185" i="9"/>
  <c r="BK185" i="9"/>
  <c r="BJ186" i="9"/>
  <c r="BK186" i="9"/>
  <c r="BJ187" i="9"/>
  <c r="BK187" i="9"/>
  <c r="BJ190" i="9"/>
  <c r="BK190" i="9"/>
  <c r="BJ192" i="9"/>
  <c r="BK192" i="9"/>
  <c r="BJ193" i="9"/>
  <c r="BK193" i="9"/>
  <c r="BJ194" i="9"/>
  <c r="BK194" i="9"/>
  <c r="BJ196" i="9"/>
  <c r="BJ198" i="9"/>
  <c r="BJ199" i="9"/>
  <c r="BK199" i="9"/>
  <c r="BJ200" i="9"/>
  <c r="BK200" i="9"/>
  <c r="BJ201" i="9"/>
  <c r="BK201" i="9"/>
  <c r="BJ202" i="9"/>
  <c r="BK202" i="9"/>
  <c r="BJ203" i="9"/>
  <c r="BK203" i="9"/>
  <c r="BJ204" i="9"/>
  <c r="BK204" i="9"/>
  <c r="BJ205" i="9"/>
  <c r="BK205" i="9"/>
  <c r="BJ206" i="9"/>
  <c r="BK206" i="9"/>
  <c r="BJ207" i="9"/>
  <c r="BK207" i="9"/>
  <c r="BJ208" i="9"/>
  <c r="BK208" i="9"/>
  <c r="BJ209" i="9"/>
  <c r="BK209" i="9"/>
  <c r="BJ218" i="9"/>
  <c r="BK218" i="9"/>
  <c r="BJ219" i="9"/>
  <c r="BK219" i="9"/>
  <c r="BJ220" i="9"/>
  <c r="BK220" i="9"/>
  <c r="BE15" i="9"/>
  <c r="BE16" i="9"/>
  <c r="BE17" i="9"/>
  <c r="BD18" i="9"/>
  <c r="BE18" i="9"/>
  <c r="BD19" i="9"/>
  <c r="BE19" i="9"/>
  <c r="BD20" i="9"/>
  <c r="BE20" i="9"/>
  <c r="BD21" i="9"/>
  <c r="BE21" i="9"/>
  <c r="BD22" i="9"/>
  <c r="BE22" i="9"/>
  <c r="BD23" i="9"/>
  <c r="BE23" i="9"/>
  <c r="BD24" i="9"/>
  <c r="BE24" i="9"/>
  <c r="BD25" i="9"/>
  <c r="BE25" i="9"/>
  <c r="BD26" i="9"/>
  <c r="BE26" i="9"/>
  <c r="BD27" i="9"/>
  <c r="BE27" i="9"/>
  <c r="BD28" i="9"/>
  <c r="BE28" i="9"/>
  <c r="BD29" i="9"/>
  <c r="BE29" i="9"/>
  <c r="BD30" i="9"/>
  <c r="BE30" i="9"/>
  <c r="BD31" i="9"/>
  <c r="BE31" i="9"/>
  <c r="BD32" i="9"/>
  <c r="BE32" i="9"/>
  <c r="BD33" i="9"/>
  <c r="BE33" i="9"/>
  <c r="BD34" i="9"/>
  <c r="BE34" i="9"/>
  <c r="BD35" i="9"/>
  <c r="BE35" i="9"/>
  <c r="BD36" i="9"/>
  <c r="BE36" i="9"/>
  <c r="BD37" i="9"/>
  <c r="BE37" i="9"/>
  <c r="BD38" i="9"/>
  <c r="BE38" i="9"/>
  <c r="BD39" i="9"/>
  <c r="BE39" i="9"/>
  <c r="BD40" i="9"/>
  <c r="BE40" i="9"/>
  <c r="BD44" i="9"/>
  <c r="BE44" i="9"/>
  <c r="BD45" i="9"/>
  <c r="BE45" i="9"/>
  <c r="BD46" i="9"/>
  <c r="BE46" i="9"/>
  <c r="BD47" i="9"/>
  <c r="BE47" i="9"/>
  <c r="BD48" i="9"/>
  <c r="BE48" i="9"/>
  <c r="BD49" i="9"/>
  <c r="BE49" i="9"/>
  <c r="BD51" i="9"/>
  <c r="BE51" i="9"/>
  <c r="BD52" i="9"/>
  <c r="BE52" i="9"/>
  <c r="BD53" i="9"/>
  <c r="BE53" i="9"/>
  <c r="BD54" i="9"/>
  <c r="BE54" i="9"/>
  <c r="BD55" i="9"/>
  <c r="BE55" i="9"/>
  <c r="BD56" i="9"/>
  <c r="BE56" i="9"/>
  <c r="BD62" i="9"/>
  <c r="BE62" i="9"/>
  <c r="BD63" i="9"/>
  <c r="BE63" i="9"/>
  <c r="BD64" i="9"/>
  <c r="BE64" i="9"/>
  <c r="BD65" i="9"/>
  <c r="BE65" i="9"/>
  <c r="BD66" i="9"/>
  <c r="BE66" i="9"/>
  <c r="BD67" i="9"/>
  <c r="BE67" i="9"/>
  <c r="BD68" i="9"/>
  <c r="BE68" i="9"/>
  <c r="BD69" i="9"/>
  <c r="BE69" i="9"/>
  <c r="BD70" i="9"/>
  <c r="BE70" i="9"/>
  <c r="BD71" i="9"/>
  <c r="BE71" i="9"/>
  <c r="BD72" i="9"/>
  <c r="BE72" i="9"/>
  <c r="BD74" i="9"/>
  <c r="BE74" i="9"/>
  <c r="BD76" i="9"/>
  <c r="BE76" i="9"/>
  <c r="BD78" i="9"/>
  <c r="BE78" i="9"/>
  <c r="BD79" i="9"/>
  <c r="BE79" i="9"/>
  <c r="BD80" i="9"/>
  <c r="BE80" i="9"/>
  <c r="BD81" i="9"/>
  <c r="BE81" i="9"/>
  <c r="BD82" i="9"/>
  <c r="BE82" i="9"/>
  <c r="BD83" i="9"/>
  <c r="BE83" i="9"/>
  <c r="BD84" i="9"/>
  <c r="BE84" i="9"/>
  <c r="BD85" i="9"/>
  <c r="BE85" i="9"/>
  <c r="BD86" i="9"/>
  <c r="BE86" i="9"/>
  <c r="BD87" i="9"/>
  <c r="BE87" i="9"/>
  <c r="BD88" i="9"/>
  <c r="BE88" i="9"/>
  <c r="BD89" i="9"/>
  <c r="BE89" i="9"/>
  <c r="BD90" i="9"/>
  <c r="BE90" i="9"/>
  <c r="BD91" i="9"/>
  <c r="BE91" i="9"/>
  <c r="BD92" i="9"/>
  <c r="BE92" i="9"/>
  <c r="BD93" i="9"/>
  <c r="BE93" i="9"/>
  <c r="BD94" i="9"/>
  <c r="BE94" i="9"/>
  <c r="BD95" i="9"/>
  <c r="BE95" i="9"/>
  <c r="BD96" i="9"/>
  <c r="BE96" i="9"/>
  <c r="BD97" i="9"/>
  <c r="BE97" i="9"/>
  <c r="BD98" i="9"/>
  <c r="BE98" i="9"/>
  <c r="BD99" i="9"/>
  <c r="BE99" i="9"/>
  <c r="BD100" i="9"/>
  <c r="BE100" i="9"/>
  <c r="BD101" i="9"/>
  <c r="BE101" i="9"/>
  <c r="BD102" i="9"/>
  <c r="BE102" i="9"/>
  <c r="BE105" i="9"/>
  <c r="BE106" i="9"/>
  <c r="BD108" i="9"/>
  <c r="BE108" i="9"/>
  <c r="BD109" i="9"/>
  <c r="BE109" i="9"/>
  <c r="BD110" i="9"/>
  <c r="BE110" i="9"/>
  <c r="BD111" i="9"/>
  <c r="BE111" i="9"/>
  <c r="BD112" i="9"/>
  <c r="BE112" i="9"/>
  <c r="BD113" i="9"/>
  <c r="BE113" i="9"/>
  <c r="BD115" i="9"/>
  <c r="BE115" i="9"/>
  <c r="BD116" i="9"/>
  <c r="BE116" i="9"/>
  <c r="BD117" i="9"/>
  <c r="BE117" i="9"/>
  <c r="BD119" i="9"/>
  <c r="BE119" i="9"/>
  <c r="BD120" i="9"/>
  <c r="BE120" i="9"/>
  <c r="BD121" i="9"/>
  <c r="BE121" i="9"/>
  <c r="BD122" i="9"/>
  <c r="BE122" i="9"/>
  <c r="BD123" i="9"/>
  <c r="BE123" i="9"/>
  <c r="BD124" i="9"/>
  <c r="BE124" i="9"/>
  <c r="BD125" i="9"/>
  <c r="BE125" i="9"/>
  <c r="BD126" i="9"/>
  <c r="BE126" i="9"/>
  <c r="BD127" i="9"/>
  <c r="BE127" i="9"/>
  <c r="BD128" i="9"/>
  <c r="BE128" i="9"/>
  <c r="BD129" i="9"/>
  <c r="BE129" i="9"/>
  <c r="BD130" i="9"/>
  <c r="BE130" i="9"/>
  <c r="BD131" i="9"/>
  <c r="BE131" i="9"/>
  <c r="BD133" i="9"/>
  <c r="BE133" i="9"/>
  <c r="BD134" i="9"/>
  <c r="BE134" i="9"/>
  <c r="BD135" i="9"/>
  <c r="BE135" i="9"/>
  <c r="BD136" i="9"/>
  <c r="BE136" i="9"/>
  <c r="BD137" i="9"/>
  <c r="BE137" i="9"/>
  <c r="BD138" i="9"/>
  <c r="BE138" i="9"/>
  <c r="BD139" i="9"/>
  <c r="BE139" i="9"/>
  <c r="BD144" i="9"/>
  <c r="BE144" i="9"/>
  <c r="BD145" i="9"/>
  <c r="BE145" i="9"/>
  <c r="BD146" i="9"/>
  <c r="BE146" i="9"/>
  <c r="BD147" i="9"/>
  <c r="BE147" i="9"/>
  <c r="BE148" i="9"/>
  <c r="BE150" i="9"/>
  <c r="BE151" i="9"/>
  <c r="BD152" i="9"/>
  <c r="BE152" i="9"/>
  <c r="BD153" i="9"/>
  <c r="BE153" i="9"/>
  <c r="BD154" i="9"/>
  <c r="BE154" i="9"/>
  <c r="BD155" i="9"/>
  <c r="BE155" i="9"/>
  <c r="BD156" i="9"/>
  <c r="BE156" i="9"/>
  <c r="BD162" i="9"/>
  <c r="BE162" i="9"/>
  <c r="BD163" i="9"/>
  <c r="BE163" i="9"/>
  <c r="BD164" i="9"/>
  <c r="BE164" i="9"/>
  <c r="BD165" i="9"/>
  <c r="BE165" i="9"/>
  <c r="BD166" i="9"/>
  <c r="BE166" i="9"/>
  <c r="BD167" i="9"/>
  <c r="BE167" i="9"/>
  <c r="BD168" i="9"/>
  <c r="BE168" i="9"/>
  <c r="BD169" i="9"/>
  <c r="BE169" i="9"/>
  <c r="BD170" i="9"/>
  <c r="BE170" i="9"/>
  <c r="BD171" i="9"/>
  <c r="BE171" i="9"/>
  <c r="BD173" i="9"/>
  <c r="BE173" i="9"/>
  <c r="BD174" i="9"/>
  <c r="BE174" i="9"/>
  <c r="BD175" i="9"/>
  <c r="BE175" i="9"/>
  <c r="BD176" i="9"/>
  <c r="BE176" i="9"/>
  <c r="BD177" i="9"/>
  <c r="BE177" i="9"/>
  <c r="BD178" i="9"/>
  <c r="BE178" i="9"/>
  <c r="BD179" i="9"/>
  <c r="BE179" i="9"/>
  <c r="BD184" i="9"/>
  <c r="BE184" i="9"/>
  <c r="BD185" i="9"/>
  <c r="BE185" i="9"/>
  <c r="BD186" i="9"/>
  <c r="BE186" i="9"/>
  <c r="BD187" i="9"/>
  <c r="BE187" i="9"/>
  <c r="BD190" i="9"/>
  <c r="BE190" i="9"/>
  <c r="BD192" i="9"/>
  <c r="BE192" i="9"/>
  <c r="BD193" i="9"/>
  <c r="BE193" i="9"/>
  <c r="BD194" i="9"/>
  <c r="BE194" i="9"/>
  <c r="BD196" i="9"/>
  <c r="BE196" i="9"/>
  <c r="BD198" i="9"/>
  <c r="BE198" i="9"/>
  <c r="BD199" i="9"/>
  <c r="BE199" i="9"/>
  <c r="BD200" i="9"/>
  <c r="BE200" i="9"/>
  <c r="BD201" i="9"/>
  <c r="BE201" i="9"/>
  <c r="BD202" i="9"/>
  <c r="BE202" i="9"/>
  <c r="BD203" i="9"/>
  <c r="BE203" i="9"/>
  <c r="BD204" i="9"/>
  <c r="BE204" i="9"/>
  <c r="BD205" i="9"/>
  <c r="BE205" i="9"/>
  <c r="BD206" i="9"/>
  <c r="BE206" i="9"/>
  <c r="BD207" i="9"/>
  <c r="BE207" i="9"/>
  <c r="BD208" i="9"/>
  <c r="BE208" i="9"/>
  <c r="BD209" i="9"/>
  <c r="BE209" i="9"/>
  <c r="BD215" i="9"/>
  <c r="BE215" i="9"/>
  <c r="BD216" i="9"/>
  <c r="BE216" i="9"/>
  <c r="BD218" i="9"/>
  <c r="BE218" i="9"/>
  <c r="BD219" i="9"/>
  <c r="BE219" i="9"/>
  <c r="BD220" i="9"/>
  <c r="BE220" i="9"/>
  <c r="N6" i="9"/>
  <c r="O6" i="9"/>
  <c r="N7" i="9"/>
  <c r="O7" i="9"/>
  <c r="N8" i="9"/>
  <c r="O8" i="9"/>
  <c r="N9" i="9"/>
  <c r="O9" i="9"/>
  <c r="N11" i="9"/>
  <c r="O11" i="9"/>
  <c r="N13" i="9"/>
  <c r="O13" i="9"/>
  <c r="N14" i="9"/>
  <c r="O14" i="9"/>
  <c r="N15" i="9"/>
  <c r="O15" i="9"/>
  <c r="N16" i="9"/>
  <c r="O16" i="9"/>
  <c r="N17" i="9"/>
  <c r="O17" i="9"/>
  <c r="N18" i="9"/>
  <c r="O18" i="9"/>
  <c r="N19" i="9"/>
  <c r="O19" i="9"/>
  <c r="N20" i="9"/>
  <c r="O20" i="9"/>
  <c r="N21" i="9"/>
  <c r="O21" i="9"/>
  <c r="N22" i="9"/>
  <c r="O22" i="9"/>
  <c r="N23" i="9"/>
  <c r="O23" i="9"/>
  <c r="N24" i="9"/>
  <c r="O24" i="9"/>
  <c r="N25" i="9"/>
  <c r="O25" i="9"/>
  <c r="N26" i="9"/>
  <c r="O26" i="9"/>
  <c r="N27" i="9"/>
  <c r="O27" i="9"/>
  <c r="N28" i="9"/>
  <c r="O28" i="9"/>
  <c r="N29" i="9"/>
  <c r="O29" i="9"/>
  <c r="N30" i="9"/>
  <c r="O30" i="9"/>
  <c r="N31" i="9"/>
  <c r="O31" i="9"/>
  <c r="N32" i="9"/>
  <c r="O32" i="9"/>
  <c r="N33" i="9"/>
  <c r="O33" i="9"/>
  <c r="N34" i="9"/>
  <c r="O34" i="9"/>
  <c r="N35" i="9"/>
  <c r="O35" i="9"/>
  <c r="N36" i="9"/>
  <c r="O36" i="9"/>
  <c r="N37" i="9"/>
  <c r="O37" i="9"/>
  <c r="N38" i="9"/>
  <c r="O38" i="9"/>
  <c r="N39" i="9"/>
  <c r="O39" i="9"/>
  <c r="N40" i="9"/>
  <c r="O40" i="9"/>
  <c r="N42" i="9"/>
  <c r="O42" i="9"/>
  <c r="N44" i="9"/>
  <c r="O44" i="9"/>
  <c r="N45" i="9"/>
  <c r="O45" i="9"/>
  <c r="N46" i="9"/>
  <c r="O46" i="9"/>
  <c r="N47" i="9"/>
  <c r="O47" i="9"/>
  <c r="N48" i="9"/>
  <c r="O48" i="9"/>
  <c r="N49" i="9"/>
  <c r="O49" i="9"/>
  <c r="N51" i="9"/>
  <c r="O51" i="9"/>
  <c r="N52" i="9"/>
  <c r="O52" i="9"/>
  <c r="N53" i="9"/>
  <c r="O53" i="9"/>
  <c r="N54" i="9"/>
  <c r="O54" i="9"/>
  <c r="N55" i="9"/>
  <c r="O55" i="9"/>
  <c r="N56" i="9"/>
  <c r="O56" i="9"/>
  <c r="N57" i="9"/>
  <c r="O57" i="9"/>
  <c r="N59" i="9"/>
  <c r="O59" i="9"/>
  <c r="N60" i="9"/>
  <c r="O60" i="9"/>
  <c r="N62" i="9"/>
  <c r="O62" i="9"/>
  <c r="N63" i="9"/>
  <c r="O63" i="9"/>
  <c r="N64" i="9"/>
  <c r="O64" i="9"/>
  <c r="N65" i="9"/>
  <c r="O65" i="9"/>
  <c r="N66" i="9"/>
  <c r="O66" i="9"/>
  <c r="N67" i="9"/>
  <c r="O67" i="9"/>
  <c r="N68" i="9"/>
  <c r="O68" i="9"/>
  <c r="N69" i="9"/>
  <c r="O69" i="9"/>
  <c r="N70" i="9"/>
  <c r="O70" i="9"/>
  <c r="N71" i="9"/>
  <c r="O71" i="9"/>
  <c r="N72" i="9"/>
  <c r="O72" i="9"/>
  <c r="N74" i="9"/>
  <c r="O74" i="9"/>
  <c r="N76" i="9"/>
  <c r="O76" i="9"/>
  <c r="N78" i="9"/>
  <c r="O78" i="9"/>
  <c r="N79" i="9"/>
  <c r="O79" i="9"/>
  <c r="N80" i="9"/>
  <c r="O80" i="9"/>
  <c r="N81" i="9"/>
  <c r="O81" i="9"/>
  <c r="N82" i="9"/>
  <c r="O82" i="9"/>
  <c r="N83" i="9"/>
  <c r="O83" i="9"/>
  <c r="N84" i="9"/>
  <c r="O84" i="9"/>
  <c r="N85" i="9"/>
  <c r="O85" i="9"/>
  <c r="N86" i="9"/>
  <c r="O86" i="9"/>
  <c r="N87" i="9"/>
  <c r="O87" i="9"/>
  <c r="N88" i="9"/>
  <c r="O88" i="9"/>
  <c r="N89" i="9"/>
  <c r="O89" i="9"/>
  <c r="N90" i="9"/>
  <c r="O90" i="9"/>
  <c r="N91" i="9"/>
  <c r="O91" i="9"/>
  <c r="N92" i="9"/>
  <c r="O92" i="9"/>
  <c r="N93" i="9"/>
  <c r="O93" i="9"/>
  <c r="N94" i="9"/>
  <c r="O94" i="9"/>
  <c r="N95" i="9"/>
  <c r="O95" i="9"/>
  <c r="N96" i="9"/>
  <c r="O96" i="9"/>
  <c r="N97" i="9"/>
  <c r="O97" i="9"/>
  <c r="N98" i="9"/>
  <c r="O98" i="9"/>
  <c r="N99" i="9"/>
  <c r="O99" i="9"/>
  <c r="N100" i="9"/>
  <c r="O100" i="9"/>
  <c r="N101" i="9"/>
  <c r="O101" i="9"/>
  <c r="N102" i="9"/>
  <c r="O102" i="9"/>
  <c r="N105" i="9"/>
  <c r="O105" i="9"/>
  <c r="N106" i="9"/>
  <c r="O106" i="9"/>
  <c r="N108" i="9"/>
  <c r="O108" i="9"/>
  <c r="N109" i="9"/>
  <c r="O109" i="9"/>
  <c r="N110" i="9"/>
  <c r="O110" i="9"/>
  <c r="N111" i="9"/>
  <c r="O111" i="9"/>
  <c r="N112" i="9"/>
  <c r="O112" i="9"/>
  <c r="N113" i="9"/>
  <c r="O113" i="9"/>
  <c r="N115" i="9"/>
  <c r="O115" i="9"/>
  <c r="N116" i="9"/>
  <c r="O116" i="9"/>
  <c r="N117" i="9"/>
  <c r="O117" i="9"/>
  <c r="N119" i="9"/>
  <c r="O119" i="9"/>
  <c r="N120" i="9"/>
  <c r="O120" i="9"/>
  <c r="N121" i="9"/>
  <c r="O121" i="9"/>
  <c r="N122" i="9"/>
  <c r="O122" i="9"/>
  <c r="N123" i="9"/>
  <c r="O123" i="9"/>
  <c r="N124" i="9"/>
  <c r="O124" i="9"/>
  <c r="N125" i="9"/>
  <c r="O125" i="9"/>
  <c r="N126" i="9"/>
  <c r="O126" i="9"/>
  <c r="N127" i="9"/>
  <c r="O127" i="9"/>
  <c r="N128" i="9"/>
  <c r="O128" i="9"/>
  <c r="N129" i="9"/>
  <c r="O129" i="9"/>
  <c r="N130" i="9"/>
  <c r="O130" i="9"/>
  <c r="N131" i="9"/>
  <c r="O131" i="9"/>
  <c r="N133" i="9"/>
  <c r="O133" i="9"/>
  <c r="N134" i="9"/>
  <c r="O134" i="9"/>
  <c r="N135" i="9"/>
  <c r="O135" i="9"/>
  <c r="N136" i="9"/>
  <c r="O136" i="9"/>
  <c r="N137" i="9"/>
  <c r="O137" i="9"/>
  <c r="N138" i="9"/>
  <c r="O138" i="9"/>
  <c r="N139" i="9"/>
  <c r="O139" i="9"/>
  <c r="N142" i="9"/>
  <c r="O142" i="9"/>
  <c r="N144" i="9"/>
  <c r="O144" i="9"/>
  <c r="N145" i="9"/>
  <c r="O145" i="9"/>
  <c r="N146" i="9"/>
  <c r="O146" i="9"/>
  <c r="N147" i="9"/>
  <c r="O147" i="9"/>
  <c r="N148" i="9"/>
  <c r="O148" i="9"/>
  <c r="N150" i="9"/>
  <c r="O150" i="9"/>
  <c r="N151" i="9"/>
  <c r="O151" i="9"/>
  <c r="N152" i="9"/>
  <c r="O152" i="9"/>
  <c r="N153" i="9"/>
  <c r="O153" i="9"/>
  <c r="N154" i="9"/>
  <c r="O154" i="9"/>
  <c r="N155" i="9"/>
  <c r="O155" i="9"/>
  <c r="N162" i="9"/>
  <c r="O162" i="9"/>
  <c r="N163" i="9"/>
  <c r="O163" i="9"/>
  <c r="N164" i="9"/>
  <c r="O164" i="9"/>
  <c r="N165" i="9"/>
  <c r="O165" i="9"/>
  <c r="N166" i="9"/>
  <c r="O166" i="9"/>
  <c r="N167" i="9"/>
  <c r="O167" i="9"/>
  <c r="N168" i="9"/>
  <c r="O168" i="9"/>
  <c r="N169" i="9"/>
  <c r="O169" i="9"/>
  <c r="N170" i="9"/>
  <c r="O170" i="9"/>
  <c r="N171" i="9"/>
  <c r="O171" i="9"/>
  <c r="N173" i="9"/>
  <c r="O173" i="9"/>
  <c r="N174" i="9"/>
  <c r="O174" i="9"/>
  <c r="N175" i="9"/>
  <c r="O175" i="9"/>
  <c r="N176" i="9"/>
  <c r="O176" i="9"/>
  <c r="N177" i="9"/>
  <c r="O177" i="9"/>
  <c r="N178" i="9"/>
  <c r="O178" i="9"/>
  <c r="N179" i="9"/>
  <c r="O179" i="9"/>
  <c r="N181" i="9"/>
  <c r="O181" i="9"/>
  <c r="N182" i="9"/>
  <c r="O182" i="9"/>
  <c r="N184" i="9"/>
  <c r="O184" i="9"/>
  <c r="N185" i="9"/>
  <c r="O185" i="9"/>
  <c r="N186" i="9"/>
  <c r="O186" i="9"/>
  <c r="N187" i="9"/>
  <c r="O187" i="9"/>
  <c r="N190" i="9"/>
  <c r="O190" i="9"/>
  <c r="N192" i="9"/>
  <c r="O192" i="9"/>
  <c r="N193" i="9"/>
  <c r="O193" i="9"/>
  <c r="N194" i="9"/>
  <c r="O194" i="9"/>
  <c r="N196" i="9"/>
  <c r="O196" i="9"/>
  <c r="N198" i="9"/>
  <c r="O198" i="9"/>
  <c r="N199" i="9"/>
  <c r="O199" i="9"/>
  <c r="N200" i="9"/>
  <c r="O200" i="9"/>
  <c r="N201" i="9"/>
  <c r="O201" i="9"/>
  <c r="N202" i="9"/>
  <c r="O202" i="9"/>
  <c r="N203" i="9"/>
  <c r="O203" i="9"/>
  <c r="N204" i="9"/>
  <c r="O204" i="9"/>
  <c r="N205" i="9"/>
  <c r="O205" i="9"/>
  <c r="N206" i="9"/>
  <c r="O206" i="9"/>
  <c r="N207" i="9"/>
  <c r="O207" i="9"/>
  <c r="N208" i="9"/>
  <c r="O208" i="9"/>
  <c r="N209" i="9"/>
  <c r="O209" i="9"/>
  <c r="N210" i="9"/>
  <c r="O210" i="9"/>
  <c r="N211" i="9"/>
  <c r="O211" i="9"/>
  <c r="N213" i="9"/>
  <c r="O213" i="9"/>
  <c r="N214" i="9"/>
  <c r="O214" i="9"/>
  <c r="N215" i="9"/>
  <c r="O215" i="9"/>
  <c r="N216" i="9"/>
  <c r="O216" i="9"/>
  <c r="N218" i="9"/>
  <c r="O218" i="9"/>
  <c r="N219" i="9"/>
  <c r="O219" i="9"/>
  <c r="N220" i="9"/>
  <c r="O220" i="9"/>
  <c r="K6" i="9"/>
  <c r="K7" i="9"/>
  <c r="K8" i="9"/>
  <c r="K9" i="9"/>
  <c r="K11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2" i="9"/>
  <c r="K44" i="9"/>
  <c r="K45" i="9"/>
  <c r="K46" i="9"/>
  <c r="K47" i="9"/>
  <c r="K48" i="9"/>
  <c r="K49" i="9"/>
  <c r="K51" i="9"/>
  <c r="K52" i="9"/>
  <c r="K53" i="9"/>
  <c r="K54" i="9"/>
  <c r="K55" i="9"/>
  <c r="K56" i="9"/>
  <c r="K57" i="9"/>
  <c r="K59" i="9"/>
  <c r="K60" i="9"/>
  <c r="K62" i="9"/>
  <c r="K63" i="9"/>
  <c r="K64" i="9"/>
  <c r="K65" i="9"/>
  <c r="K66" i="9"/>
  <c r="K67" i="9"/>
  <c r="K68" i="9"/>
  <c r="K69" i="9"/>
  <c r="K70" i="9"/>
  <c r="K71" i="9"/>
  <c r="K72" i="9"/>
  <c r="K74" i="9"/>
  <c r="K76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8" i="9"/>
  <c r="K109" i="9"/>
  <c r="K110" i="9"/>
  <c r="K111" i="9"/>
  <c r="K112" i="9"/>
  <c r="K113" i="9"/>
  <c r="K115" i="9"/>
  <c r="K116" i="9"/>
  <c r="K117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3" i="9"/>
  <c r="K134" i="9"/>
  <c r="K135" i="9"/>
  <c r="K136" i="9"/>
  <c r="K137" i="9"/>
  <c r="K138" i="9"/>
  <c r="K146" i="9"/>
  <c r="K147" i="9"/>
  <c r="K148" i="9"/>
  <c r="K150" i="9"/>
  <c r="K151" i="9"/>
  <c r="K152" i="9"/>
  <c r="K153" i="9"/>
  <c r="K154" i="9"/>
  <c r="K155" i="9"/>
  <c r="K156" i="9"/>
  <c r="K162" i="9"/>
  <c r="K163" i="9"/>
  <c r="K164" i="9"/>
  <c r="K165" i="9"/>
  <c r="K166" i="9"/>
  <c r="K167" i="9"/>
  <c r="K168" i="9"/>
  <c r="K169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3" i="9"/>
  <c r="K214" i="9"/>
  <c r="K215" i="9"/>
  <c r="K216" i="9"/>
  <c r="K218" i="9"/>
  <c r="K219" i="9"/>
  <c r="K220" i="9"/>
  <c r="BE240" i="9"/>
  <c r="I235" i="9"/>
  <c r="H235" i="9"/>
  <c r="CA234" i="9"/>
  <c r="CE4" i="9"/>
  <c r="CC4" i="9"/>
  <c r="CB4" i="9"/>
  <c r="BW4" i="9"/>
  <c r="BV4" i="9"/>
  <c r="BQ4" i="9"/>
  <c r="BP4" i="9"/>
  <c r="BK4" i="9"/>
  <c r="BJ4" i="9"/>
  <c r="BE4" i="9"/>
  <c r="BD4" i="9"/>
  <c r="AY4" i="9"/>
  <c r="AX4" i="9"/>
  <c r="AS4" i="9"/>
  <c r="AR4" i="9"/>
  <c r="AM4" i="9"/>
  <c r="AL4" i="9"/>
  <c r="AG4" i="9"/>
  <c r="AF4" i="9"/>
  <c r="AA4" i="9"/>
  <c r="Z4" i="9"/>
  <c r="U4" i="9"/>
  <c r="T4" i="9"/>
  <c r="P4" i="9"/>
  <c r="Q4" i="9" s="1"/>
  <c r="O4" i="9"/>
  <c r="N4" i="9"/>
  <c r="K4" i="9"/>
  <c r="BK234" i="9" l="1"/>
  <c r="AC79" i="9"/>
  <c r="AH79" i="9"/>
  <c r="AC72" i="9"/>
  <c r="AH72" i="9"/>
  <c r="AC47" i="9"/>
  <c r="AH47" i="9"/>
  <c r="AC185" i="9"/>
  <c r="AH185" i="9"/>
  <c r="AC119" i="9"/>
  <c r="AH119" i="9"/>
  <c r="AC39" i="9"/>
  <c r="AH39" i="9"/>
  <c r="AC186" i="9"/>
  <c r="AH186" i="9"/>
  <c r="AN103" i="9"/>
  <c r="AI103" i="9"/>
  <c r="AC45" i="9"/>
  <c r="AH45" i="9"/>
  <c r="AC175" i="9"/>
  <c r="AH175" i="9"/>
  <c r="AC214" i="9"/>
  <c r="AH214" i="9"/>
  <c r="AC23" i="9"/>
  <c r="AH23" i="9"/>
  <c r="AC179" i="9"/>
  <c r="AH179" i="9"/>
  <c r="AC95" i="9"/>
  <c r="AH95" i="9"/>
  <c r="AC9" i="9"/>
  <c r="AH9" i="9"/>
  <c r="AC32" i="9"/>
  <c r="AH32" i="9"/>
  <c r="AC34" i="9"/>
  <c r="AH34" i="9"/>
  <c r="AC131" i="9"/>
  <c r="AH131" i="9"/>
  <c r="AC190" i="9"/>
  <c r="AH190" i="9"/>
  <c r="AC145" i="9"/>
  <c r="AH145" i="9"/>
  <c r="AN140" i="9"/>
  <c r="AI140" i="9"/>
  <c r="AC69" i="9"/>
  <c r="AH69" i="9"/>
  <c r="AC109" i="9"/>
  <c r="AH109" i="9"/>
  <c r="AC68" i="9"/>
  <c r="AH68" i="9"/>
  <c r="AC215" i="9"/>
  <c r="AH215" i="9"/>
  <c r="AC166" i="9"/>
  <c r="AH166" i="9"/>
  <c r="AC113" i="9"/>
  <c r="AH113" i="9"/>
  <c r="AC35" i="9"/>
  <c r="AH35" i="9"/>
  <c r="AC150" i="9"/>
  <c r="AH150" i="9"/>
  <c r="AC83" i="9"/>
  <c r="AH83" i="9"/>
  <c r="AC59" i="9"/>
  <c r="AH59" i="9"/>
  <c r="AC105" i="9"/>
  <c r="AH105" i="9"/>
  <c r="AC108" i="9"/>
  <c r="AH108" i="9"/>
  <c r="AC98" i="9"/>
  <c r="AH98" i="9"/>
  <c r="AC154" i="9"/>
  <c r="AH154" i="9"/>
  <c r="AU172" i="9"/>
  <c r="AZ172" i="9"/>
  <c r="AC87" i="9"/>
  <c r="AH87" i="9"/>
  <c r="AC219" i="9"/>
  <c r="AH219" i="9"/>
  <c r="AC31" i="9"/>
  <c r="AH31" i="9"/>
  <c r="AC205" i="9"/>
  <c r="AH205" i="9"/>
  <c r="BL224" i="9"/>
  <c r="BG224" i="9"/>
  <c r="BA222" i="9"/>
  <c r="BF222" i="9"/>
  <c r="BA227" i="9"/>
  <c r="BF227" i="9"/>
  <c r="BA226" i="9"/>
  <c r="BF226" i="9"/>
  <c r="BF229" i="9"/>
  <c r="BA229" i="9"/>
  <c r="BA228" i="9"/>
  <c r="BF228" i="9"/>
  <c r="BG225" i="9"/>
  <c r="BL225" i="9"/>
  <c r="BF223" i="9"/>
  <c r="BA223" i="9"/>
  <c r="AB193" i="9"/>
  <c r="AB135" i="9"/>
  <c r="AB26" i="9"/>
  <c r="AB156" i="9"/>
  <c r="W69" i="9"/>
  <c r="AB164" i="9"/>
  <c r="AB93" i="9"/>
  <c r="AB71" i="9"/>
  <c r="AB208" i="9"/>
  <c r="W47" i="9"/>
  <c r="W215" i="9"/>
  <c r="AB176" i="9"/>
  <c r="W186" i="9"/>
  <c r="AB21" i="9"/>
  <c r="W98" i="9"/>
  <c r="AB144" i="9"/>
  <c r="AB178" i="9"/>
  <c r="AB40" i="9"/>
  <c r="AB80" i="9"/>
  <c r="AB142" i="9"/>
  <c r="AH142" i="9" s="1"/>
  <c r="AB6" i="9"/>
  <c r="AB56" i="9"/>
  <c r="AB169" i="9"/>
  <c r="AB15" i="9"/>
  <c r="W105" i="9"/>
  <c r="AB196" i="9"/>
  <c r="AB218" i="9"/>
  <c r="AB63" i="9"/>
  <c r="AB121" i="9"/>
  <c r="AB129" i="9"/>
  <c r="W39" i="9"/>
  <c r="W34" i="9"/>
  <c r="W108" i="9"/>
  <c r="AB203" i="9"/>
  <c r="W32" i="9"/>
  <c r="W115" i="9"/>
  <c r="AB115" i="9"/>
  <c r="W85" i="9"/>
  <c r="AB85" i="9"/>
  <c r="W158" i="9"/>
  <c r="AB158" i="9"/>
  <c r="AH158" i="9" s="1"/>
  <c r="AB151" i="9"/>
  <c r="AB13" i="9"/>
  <c r="AB49" i="9"/>
  <c r="AB123" i="9"/>
  <c r="W7" i="9"/>
  <c r="AB7" i="9"/>
  <c r="W100" i="9"/>
  <c r="AB100" i="9"/>
  <c r="W204" i="9"/>
  <c r="AB204" i="9"/>
  <c r="W82" i="9"/>
  <c r="AB82" i="9"/>
  <c r="W173" i="9"/>
  <c r="AB173" i="9"/>
  <c r="W67" i="9"/>
  <c r="AB67" i="9"/>
  <c r="W160" i="9"/>
  <c r="AB160" i="9"/>
  <c r="AH160" i="9" s="1"/>
  <c r="W37" i="9"/>
  <c r="AB37" i="9"/>
  <c r="W133" i="9"/>
  <c r="AB133" i="9"/>
  <c r="AB64" i="9"/>
  <c r="W64" i="9"/>
  <c r="AC140" i="9"/>
  <c r="W70" i="9"/>
  <c r="AB70" i="9"/>
  <c r="AB91" i="9"/>
  <c r="W91" i="9"/>
  <c r="W22" i="9"/>
  <c r="AB22" i="9"/>
  <c r="W116" i="9"/>
  <c r="AB116" i="9"/>
  <c r="W210" i="9"/>
  <c r="AB210" i="9"/>
  <c r="W88" i="9"/>
  <c r="AB88" i="9"/>
  <c r="W188" i="9"/>
  <c r="AB188" i="9"/>
  <c r="AH188" i="9" s="1"/>
  <c r="W74" i="9"/>
  <c r="AB74" i="9"/>
  <c r="W174" i="9"/>
  <c r="AB174" i="9"/>
  <c r="W53" i="9"/>
  <c r="AB53" i="9"/>
  <c r="W147" i="9"/>
  <c r="AB147" i="9"/>
  <c r="W207" i="9"/>
  <c r="AB207" i="9"/>
  <c r="W97" i="9"/>
  <c r="AB97" i="9"/>
  <c r="W25" i="9"/>
  <c r="AB25" i="9"/>
  <c r="W192" i="9"/>
  <c r="AB192" i="9"/>
  <c r="AB99" i="9"/>
  <c r="W99" i="9"/>
  <c r="W78" i="9"/>
  <c r="AB78" i="9"/>
  <c r="W143" i="9"/>
  <c r="AB143" i="9"/>
  <c r="AH143" i="9" s="1"/>
  <c r="W28" i="9"/>
  <c r="AB28" i="9"/>
  <c r="W130" i="9"/>
  <c r="AB130" i="9"/>
  <c r="W8" i="9"/>
  <c r="AB8" i="9"/>
  <c r="W101" i="9"/>
  <c r="AB101" i="9"/>
  <c r="W198" i="9"/>
  <c r="AB198" i="9"/>
  <c r="W89" i="9"/>
  <c r="AB89" i="9"/>
  <c r="W181" i="9"/>
  <c r="AB181" i="9"/>
  <c r="W60" i="9"/>
  <c r="AB60" i="9"/>
  <c r="W161" i="9"/>
  <c r="AB161" i="9"/>
  <c r="AH161" i="9" s="1"/>
  <c r="W14" i="9"/>
  <c r="AB14" i="9"/>
  <c r="W168" i="9"/>
  <c r="AB168" i="9"/>
  <c r="W163" i="9"/>
  <c r="AB163" i="9"/>
  <c r="W86" i="9"/>
  <c r="AB86" i="9"/>
  <c r="W20" i="9"/>
  <c r="AB20" i="9"/>
  <c r="W42" i="9"/>
  <c r="AB42" i="9"/>
  <c r="W137" i="9"/>
  <c r="AB137" i="9"/>
  <c r="W16" i="9"/>
  <c r="AB16" i="9"/>
  <c r="W117" i="9"/>
  <c r="AB117" i="9"/>
  <c r="W211" i="9"/>
  <c r="AB211" i="9"/>
  <c r="W102" i="9"/>
  <c r="AB102" i="9"/>
  <c r="W199" i="9"/>
  <c r="AB199" i="9"/>
  <c r="W76" i="9"/>
  <c r="AB76" i="9"/>
  <c r="W167" i="9"/>
  <c r="AB167" i="9"/>
  <c r="AC103" i="9"/>
  <c r="AB127" i="9"/>
  <c r="W127" i="9"/>
  <c r="W46" i="9"/>
  <c r="AB46" i="9"/>
  <c r="W106" i="9"/>
  <c r="AB106" i="9"/>
  <c r="W157" i="9"/>
  <c r="AB157" i="9"/>
  <c r="AH157" i="9" s="1"/>
  <c r="W122" i="9"/>
  <c r="AB122" i="9"/>
  <c r="W48" i="9"/>
  <c r="AB48" i="9"/>
  <c r="W148" i="9"/>
  <c r="AB148" i="9"/>
  <c r="W92" i="9"/>
  <c r="AB92" i="9"/>
  <c r="W202" i="9"/>
  <c r="AB202" i="9"/>
  <c r="AB19" i="9"/>
  <c r="W19" i="9"/>
  <c r="W57" i="9"/>
  <c r="AB57" i="9"/>
  <c r="W152" i="9"/>
  <c r="AB152" i="9"/>
  <c r="W29" i="9"/>
  <c r="AB29" i="9"/>
  <c r="W124" i="9"/>
  <c r="AB124" i="9"/>
  <c r="W17" i="9"/>
  <c r="AB17" i="9"/>
  <c r="W110" i="9"/>
  <c r="AB110" i="9"/>
  <c r="W213" i="9"/>
  <c r="AB213" i="9"/>
  <c r="W90" i="9"/>
  <c r="AB90" i="9"/>
  <c r="W182" i="9"/>
  <c r="AB182" i="9"/>
  <c r="W120" i="9"/>
  <c r="AB120" i="9"/>
  <c r="W194" i="9"/>
  <c r="AB194" i="9"/>
  <c r="W184" i="9"/>
  <c r="AB184" i="9"/>
  <c r="AB27" i="9"/>
  <c r="W27" i="9"/>
  <c r="W65" i="9"/>
  <c r="AB65" i="9"/>
  <c r="W165" i="9"/>
  <c r="AB165" i="9"/>
  <c r="W44" i="9"/>
  <c r="AB44" i="9"/>
  <c r="W138" i="9"/>
  <c r="AB138" i="9"/>
  <c r="W30" i="9"/>
  <c r="AB30" i="9"/>
  <c r="W125" i="9"/>
  <c r="AB125" i="9"/>
  <c r="W220" i="9"/>
  <c r="AB220" i="9"/>
  <c r="W96" i="9"/>
  <c r="AB96" i="9"/>
  <c r="W200" i="9"/>
  <c r="AB200" i="9"/>
  <c r="W55" i="9"/>
  <c r="AB55" i="9"/>
  <c r="W155" i="9"/>
  <c r="AB155" i="9"/>
  <c r="AB136" i="9"/>
  <c r="W136" i="9"/>
  <c r="W84" i="9"/>
  <c r="AB84" i="9"/>
  <c r="W216" i="9"/>
  <c r="AB216" i="9"/>
  <c r="W134" i="9"/>
  <c r="AB134" i="9"/>
  <c r="W81" i="9"/>
  <c r="AB81" i="9"/>
  <c r="W171" i="9"/>
  <c r="AB171" i="9"/>
  <c r="W51" i="9"/>
  <c r="AB51" i="9"/>
  <c r="W153" i="9"/>
  <c r="AB153" i="9"/>
  <c r="W36" i="9"/>
  <c r="AB36" i="9"/>
  <c r="W139" i="9"/>
  <c r="AB139" i="9"/>
  <c r="W18" i="9"/>
  <c r="AB18" i="9"/>
  <c r="W111" i="9"/>
  <c r="AB111" i="9"/>
  <c r="W206" i="9"/>
  <c r="AB206" i="9"/>
  <c r="W128" i="9"/>
  <c r="AB128" i="9"/>
  <c r="W177" i="9"/>
  <c r="AB177" i="9"/>
  <c r="W209" i="9"/>
  <c r="AB209" i="9"/>
  <c r="AB201" i="9"/>
  <c r="W201" i="9"/>
  <c r="AB162" i="9"/>
  <c r="W162" i="9"/>
  <c r="W94" i="9"/>
  <c r="AB94" i="9"/>
  <c r="W187" i="9"/>
  <c r="AB187" i="9"/>
  <c r="W66" i="9"/>
  <c r="AB66" i="9"/>
  <c r="W159" i="9"/>
  <c r="AB159" i="9"/>
  <c r="AH159" i="9" s="1"/>
  <c r="W52" i="9"/>
  <c r="AB52" i="9"/>
  <c r="W146" i="9"/>
  <c r="AB146" i="9"/>
  <c r="W24" i="9"/>
  <c r="AB24" i="9"/>
  <c r="W126" i="9"/>
  <c r="AB126" i="9"/>
  <c r="AB54" i="9"/>
  <c r="W54" i="9"/>
  <c r="W112" i="9"/>
  <c r="AB112" i="9"/>
  <c r="W38" i="9"/>
  <c r="AB38" i="9"/>
  <c r="W170" i="9"/>
  <c r="AB170" i="9"/>
  <c r="W11" i="9"/>
  <c r="AB11" i="9"/>
  <c r="W33" i="9"/>
  <c r="AB33" i="9"/>
  <c r="W62" i="9"/>
  <c r="AB62" i="9"/>
  <c r="K234" i="9"/>
  <c r="T234" i="9"/>
  <c r="AG234" i="9"/>
  <c r="V4" i="9"/>
  <c r="AB4" i="9" s="1"/>
  <c r="U234" i="9"/>
  <c r="BD234" i="9"/>
  <c r="CB234" i="9"/>
  <c r="AM234" i="9"/>
  <c r="BP234" i="9"/>
  <c r="CC234" i="9"/>
  <c r="BW234" i="9"/>
  <c r="AR234" i="9"/>
  <c r="AA234" i="9"/>
  <c r="BQ234" i="9"/>
  <c r="O234" i="9"/>
  <c r="BE234" i="9"/>
  <c r="AF234" i="9"/>
  <c r="AS234" i="9"/>
  <c r="AY234" i="9"/>
  <c r="N234" i="9"/>
  <c r="Z234" i="9"/>
  <c r="AL234" i="9"/>
  <c r="AX234" i="9"/>
  <c r="BJ237" i="9"/>
  <c r="BJ234" i="9"/>
  <c r="BV234" i="9"/>
  <c r="AC19" i="9" l="1"/>
  <c r="AH19" i="9"/>
  <c r="AC16" i="9"/>
  <c r="AH16" i="9"/>
  <c r="AC198" i="9"/>
  <c r="AH198" i="9"/>
  <c r="AC192" i="9"/>
  <c r="AH192" i="9"/>
  <c r="AC147" i="9"/>
  <c r="AH147" i="9"/>
  <c r="AC22" i="9"/>
  <c r="AH22" i="9"/>
  <c r="AC15" i="9"/>
  <c r="AH15" i="9"/>
  <c r="AC71" i="9"/>
  <c r="AH71" i="9"/>
  <c r="BF172" i="9"/>
  <c r="BG172" i="9" s="1"/>
  <c r="BA172" i="9"/>
  <c r="AI35" i="9"/>
  <c r="AN35" i="9"/>
  <c r="AN145" i="9"/>
  <c r="AI145" i="9"/>
  <c r="AN185" i="9"/>
  <c r="AI185" i="9"/>
  <c r="AC11" i="9"/>
  <c r="AH11" i="9"/>
  <c r="AC52" i="9"/>
  <c r="AH52" i="9"/>
  <c r="AC94" i="9"/>
  <c r="AH94" i="9"/>
  <c r="AC177" i="9"/>
  <c r="AH177" i="9"/>
  <c r="AC18" i="9"/>
  <c r="AH18" i="9"/>
  <c r="AC51" i="9"/>
  <c r="AH51" i="9"/>
  <c r="AC216" i="9"/>
  <c r="AH216" i="9"/>
  <c r="AC55" i="9"/>
  <c r="AH55" i="9"/>
  <c r="AC125" i="9"/>
  <c r="AH125" i="9"/>
  <c r="AC165" i="9"/>
  <c r="AH165" i="9"/>
  <c r="AC194" i="9"/>
  <c r="AH194" i="9"/>
  <c r="AC213" i="9"/>
  <c r="AH213" i="9"/>
  <c r="AC29" i="9"/>
  <c r="AH29" i="9"/>
  <c r="AC202" i="9"/>
  <c r="AH202" i="9"/>
  <c r="AC122" i="9"/>
  <c r="AH122" i="9"/>
  <c r="AC133" i="9"/>
  <c r="AH133" i="9"/>
  <c r="AC173" i="9"/>
  <c r="AH173" i="9"/>
  <c r="AC7" i="9"/>
  <c r="AH7" i="9"/>
  <c r="AC85" i="9"/>
  <c r="AH85" i="9"/>
  <c r="AC169" i="9"/>
  <c r="AH169" i="9"/>
  <c r="AC93" i="9"/>
  <c r="AH93" i="9"/>
  <c r="AO103" i="9"/>
  <c r="AT103" i="9"/>
  <c r="AC199" i="9"/>
  <c r="AH199" i="9"/>
  <c r="AN161" i="9"/>
  <c r="AI161" i="9"/>
  <c r="AC28" i="9"/>
  <c r="AH28" i="9"/>
  <c r="AN188" i="9"/>
  <c r="AI188" i="9"/>
  <c r="AC64" i="9"/>
  <c r="AH64" i="9"/>
  <c r="AC144" i="9"/>
  <c r="AH144" i="9"/>
  <c r="AN205" i="9"/>
  <c r="AI205" i="9"/>
  <c r="AN105" i="9"/>
  <c r="AI105" i="9"/>
  <c r="AN68" i="9"/>
  <c r="AI68" i="9"/>
  <c r="AN32" i="9"/>
  <c r="AI32" i="9"/>
  <c r="AC54" i="9"/>
  <c r="AH54" i="9"/>
  <c r="AC127" i="9"/>
  <c r="AH127" i="9"/>
  <c r="AC102" i="9"/>
  <c r="AH102" i="9"/>
  <c r="AC137" i="9"/>
  <c r="AH137" i="9"/>
  <c r="AC163" i="9"/>
  <c r="AH163" i="9"/>
  <c r="AC60" i="9"/>
  <c r="AH60" i="9"/>
  <c r="AC101" i="9"/>
  <c r="AH101" i="9"/>
  <c r="AI143" i="9"/>
  <c r="AN143" i="9"/>
  <c r="AC25" i="9"/>
  <c r="AH25" i="9"/>
  <c r="AC53" i="9"/>
  <c r="AH53" i="9"/>
  <c r="AC88" i="9"/>
  <c r="AH88" i="9"/>
  <c r="AC129" i="9"/>
  <c r="AH129" i="9"/>
  <c r="AC56" i="9"/>
  <c r="AH56" i="9"/>
  <c r="AC21" i="9"/>
  <c r="AH21" i="9"/>
  <c r="AC164" i="9"/>
  <c r="AH164" i="9"/>
  <c r="AN31" i="9"/>
  <c r="AI31" i="9"/>
  <c r="AN154" i="9"/>
  <c r="AI154" i="9"/>
  <c r="AI59" i="9"/>
  <c r="AN59" i="9"/>
  <c r="AN113" i="9"/>
  <c r="AI113" i="9"/>
  <c r="AN109" i="9"/>
  <c r="AI109" i="9"/>
  <c r="AN190" i="9"/>
  <c r="AI190" i="9"/>
  <c r="AN9" i="9"/>
  <c r="AI9" i="9"/>
  <c r="AN214" i="9"/>
  <c r="AI214" i="9"/>
  <c r="AN186" i="9"/>
  <c r="AI186" i="9"/>
  <c r="AN47" i="9"/>
  <c r="AI47" i="9"/>
  <c r="AC86" i="9"/>
  <c r="AH86" i="9"/>
  <c r="AN23" i="9"/>
  <c r="AI23" i="9"/>
  <c r="AC170" i="9"/>
  <c r="AH170" i="9"/>
  <c r="AC126" i="9"/>
  <c r="AH126" i="9"/>
  <c r="AN159" i="9"/>
  <c r="AI159" i="9"/>
  <c r="AC128" i="9"/>
  <c r="AH128" i="9"/>
  <c r="AC139" i="9"/>
  <c r="AH139" i="9"/>
  <c r="AC171" i="9"/>
  <c r="AH171" i="9"/>
  <c r="AC84" i="9"/>
  <c r="AH84" i="9"/>
  <c r="AC200" i="9"/>
  <c r="AH200" i="9"/>
  <c r="AC30" i="9"/>
  <c r="AH30" i="9"/>
  <c r="AC65" i="9"/>
  <c r="AH65" i="9"/>
  <c r="AC120" i="9"/>
  <c r="AH120" i="9"/>
  <c r="AC110" i="9"/>
  <c r="AH110" i="9"/>
  <c r="AC152" i="9"/>
  <c r="AH152" i="9"/>
  <c r="AC92" i="9"/>
  <c r="AH92" i="9"/>
  <c r="AN157" i="9"/>
  <c r="AI157" i="9"/>
  <c r="AC91" i="9"/>
  <c r="AH91" i="9"/>
  <c r="AC37" i="9"/>
  <c r="AH37" i="9"/>
  <c r="AC82" i="9"/>
  <c r="AH82" i="9"/>
  <c r="AC123" i="9"/>
  <c r="AH123" i="9"/>
  <c r="AC115" i="9"/>
  <c r="AH115" i="9"/>
  <c r="AC121" i="9"/>
  <c r="AH121" i="9"/>
  <c r="AC6" i="9"/>
  <c r="AH6" i="9"/>
  <c r="AC162" i="9"/>
  <c r="AH162" i="9"/>
  <c r="AC167" i="9"/>
  <c r="AH167" i="9"/>
  <c r="AC211" i="9"/>
  <c r="AH211" i="9"/>
  <c r="AC42" i="9"/>
  <c r="AH42" i="9"/>
  <c r="AC168" i="9"/>
  <c r="AH168" i="9"/>
  <c r="AC181" i="9"/>
  <c r="AH181" i="9"/>
  <c r="AC8" i="9"/>
  <c r="AH8" i="9"/>
  <c r="AC78" i="9"/>
  <c r="AH78" i="9"/>
  <c r="AC97" i="9"/>
  <c r="AH97" i="9"/>
  <c r="AC174" i="9"/>
  <c r="AH174" i="9"/>
  <c r="AC210" i="9"/>
  <c r="AH210" i="9"/>
  <c r="AC70" i="9"/>
  <c r="AH70" i="9"/>
  <c r="AC49" i="9"/>
  <c r="AH49" i="9"/>
  <c r="AC63" i="9"/>
  <c r="AH63" i="9"/>
  <c r="AN142" i="9"/>
  <c r="AI142" i="9"/>
  <c r="AC176" i="9"/>
  <c r="AH176" i="9"/>
  <c r="AC156" i="9"/>
  <c r="AH156" i="9"/>
  <c r="AN219" i="9"/>
  <c r="AI219" i="9"/>
  <c r="AN98" i="9"/>
  <c r="AI98" i="9"/>
  <c r="AN83" i="9"/>
  <c r="AI83" i="9"/>
  <c r="AN166" i="9"/>
  <c r="AI166" i="9"/>
  <c r="AN69" i="9"/>
  <c r="AI69" i="9"/>
  <c r="AN131" i="9"/>
  <c r="AI131" i="9"/>
  <c r="AN95" i="9"/>
  <c r="AI95" i="9"/>
  <c r="AN175" i="9"/>
  <c r="AI175" i="9"/>
  <c r="AN39" i="9"/>
  <c r="AI39" i="9"/>
  <c r="AN72" i="9"/>
  <c r="AI72" i="9"/>
  <c r="AC24" i="9"/>
  <c r="AH24" i="9"/>
  <c r="AC81" i="9"/>
  <c r="AH81" i="9"/>
  <c r="AC138" i="9"/>
  <c r="AH138" i="9"/>
  <c r="AC17" i="9"/>
  <c r="AH17" i="9"/>
  <c r="AC106" i="9"/>
  <c r="AH106" i="9"/>
  <c r="AN160" i="9"/>
  <c r="AI160" i="9"/>
  <c r="AC13" i="9"/>
  <c r="AH13" i="9"/>
  <c r="AC218" i="9"/>
  <c r="AH218" i="9"/>
  <c r="AC80" i="9"/>
  <c r="AH80" i="9"/>
  <c r="AC26" i="9"/>
  <c r="AH26" i="9"/>
  <c r="AC62" i="9"/>
  <c r="AH62" i="9"/>
  <c r="AC38" i="9"/>
  <c r="AH38" i="9"/>
  <c r="AC66" i="9"/>
  <c r="AH66" i="9"/>
  <c r="AC206" i="9"/>
  <c r="AH206" i="9"/>
  <c r="AC36" i="9"/>
  <c r="AH36" i="9"/>
  <c r="AC96" i="9"/>
  <c r="AH96" i="9"/>
  <c r="AC182" i="9"/>
  <c r="AH182" i="9"/>
  <c r="AC57" i="9"/>
  <c r="AH57" i="9"/>
  <c r="AC148" i="9"/>
  <c r="AH148" i="9"/>
  <c r="AC204" i="9"/>
  <c r="AH204" i="9"/>
  <c r="AC201" i="9"/>
  <c r="AH201" i="9"/>
  <c r="AC136" i="9"/>
  <c r="AH136" i="9"/>
  <c r="AC27" i="9"/>
  <c r="AH27" i="9"/>
  <c r="AC76" i="9"/>
  <c r="AH76" i="9"/>
  <c r="AC117" i="9"/>
  <c r="AH117" i="9"/>
  <c r="AC20" i="9"/>
  <c r="AH20" i="9"/>
  <c r="AC14" i="9"/>
  <c r="AH14" i="9"/>
  <c r="AC89" i="9"/>
  <c r="AH89" i="9"/>
  <c r="AC130" i="9"/>
  <c r="AH130" i="9"/>
  <c r="AC207" i="9"/>
  <c r="AH207" i="9"/>
  <c r="AC74" i="9"/>
  <c r="AH74" i="9"/>
  <c r="AC116" i="9"/>
  <c r="AH116" i="9"/>
  <c r="AC151" i="9"/>
  <c r="AH151" i="9"/>
  <c r="AC203" i="9"/>
  <c r="AH203" i="9"/>
  <c r="AC196" i="9"/>
  <c r="AH196" i="9"/>
  <c r="AC40" i="9"/>
  <c r="AH40" i="9"/>
  <c r="AC135" i="9"/>
  <c r="AH135" i="9"/>
  <c r="AN87" i="9"/>
  <c r="AI87" i="9"/>
  <c r="AN108" i="9"/>
  <c r="AI108" i="9"/>
  <c r="AN150" i="9"/>
  <c r="AI150" i="9"/>
  <c r="AN215" i="9"/>
  <c r="AI215" i="9"/>
  <c r="AN34" i="9"/>
  <c r="AI34" i="9"/>
  <c r="AN179" i="9"/>
  <c r="AI179" i="9"/>
  <c r="AN45" i="9"/>
  <c r="AI45" i="9"/>
  <c r="AN119" i="9"/>
  <c r="AI119" i="9"/>
  <c r="AN79" i="9"/>
  <c r="AI79" i="9"/>
  <c r="AC33" i="9"/>
  <c r="AH33" i="9"/>
  <c r="AC112" i="9"/>
  <c r="AH112" i="9"/>
  <c r="AC146" i="9"/>
  <c r="AH146" i="9"/>
  <c r="AC187" i="9"/>
  <c r="AH187" i="9"/>
  <c r="AC209" i="9"/>
  <c r="AH209" i="9"/>
  <c r="AC111" i="9"/>
  <c r="AH111" i="9"/>
  <c r="AC153" i="9"/>
  <c r="AH153" i="9"/>
  <c r="AC134" i="9"/>
  <c r="AH134" i="9"/>
  <c r="AC155" i="9"/>
  <c r="AH155" i="9"/>
  <c r="AC220" i="9"/>
  <c r="AH220" i="9"/>
  <c r="AC44" i="9"/>
  <c r="AH44" i="9"/>
  <c r="AC184" i="9"/>
  <c r="AH184" i="9"/>
  <c r="AC90" i="9"/>
  <c r="AH90" i="9"/>
  <c r="AC124" i="9"/>
  <c r="AH124" i="9"/>
  <c r="AC48" i="9"/>
  <c r="AH48" i="9"/>
  <c r="AC46" i="9"/>
  <c r="AH46" i="9"/>
  <c r="AC99" i="9"/>
  <c r="AH99" i="9"/>
  <c r="AC67" i="9"/>
  <c r="AH67" i="9"/>
  <c r="AC100" i="9"/>
  <c r="AH100" i="9"/>
  <c r="AN158" i="9"/>
  <c r="AI158" i="9"/>
  <c r="AC178" i="9"/>
  <c r="AH178" i="9"/>
  <c r="AC208" i="9"/>
  <c r="AH208" i="9"/>
  <c r="AC193" i="9"/>
  <c r="AH193" i="9"/>
  <c r="AO140" i="9"/>
  <c r="AT140" i="9"/>
  <c r="AU140" i="9" s="1"/>
  <c r="BL223" i="9"/>
  <c r="BG223" i="9"/>
  <c r="BG226" i="9"/>
  <c r="BL226" i="9"/>
  <c r="BL228" i="9"/>
  <c r="BG228" i="9"/>
  <c r="BL222" i="9"/>
  <c r="BG222" i="9"/>
  <c r="BR225" i="9"/>
  <c r="BM225" i="9"/>
  <c r="BG227" i="9"/>
  <c r="BL227" i="9"/>
  <c r="BL229" i="9"/>
  <c r="BR229" i="9" s="1"/>
  <c r="BS229" i="9" s="1"/>
  <c r="BG229" i="9"/>
  <c r="BR224" i="9"/>
  <c r="BM224" i="9"/>
  <c r="AC142" i="9"/>
  <c r="AZ221" i="9"/>
  <c r="AC158" i="9"/>
  <c r="AC160" i="9"/>
  <c r="AC159" i="9"/>
  <c r="AC161" i="9"/>
  <c r="AC188" i="9"/>
  <c r="O237" i="9"/>
  <c r="AC157" i="9"/>
  <c r="AC143" i="9"/>
  <c r="Q234" i="9"/>
  <c r="U237" i="9" s="1"/>
  <c r="W4" i="9"/>
  <c r="AS239" i="9"/>
  <c r="BK239" i="9"/>
  <c r="Z238" i="9"/>
  <c r="AA238" i="9"/>
  <c r="AR239" i="9"/>
  <c r="AC4" i="9"/>
  <c r="AH4" i="9"/>
  <c r="AN4" i="9" s="1"/>
  <c r="AO45" i="9" l="1"/>
  <c r="AT45" i="9"/>
  <c r="AU45" i="9" s="1"/>
  <c r="AO150" i="9"/>
  <c r="AT150" i="9"/>
  <c r="AU150" i="9" s="1"/>
  <c r="AT72" i="9"/>
  <c r="AU72" i="9" s="1"/>
  <c r="AO72" i="9"/>
  <c r="AT131" i="9"/>
  <c r="AU131" i="9" s="1"/>
  <c r="AO131" i="9"/>
  <c r="AO98" i="9"/>
  <c r="AT98" i="9"/>
  <c r="AU98" i="9" s="1"/>
  <c r="AO142" i="9"/>
  <c r="AT142" i="9"/>
  <c r="AU142" i="9" s="1"/>
  <c r="AT186" i="9"/>
  <c r="AU186" i="9" s="1"/>
  <c r="AO186" i="9"/>
  <c r="AO109" i="9"/>
  <c r="AT109" i="9"/>
  <c r="AU109" i="9" s="1"/>
  <c r="AO31" i="9"/>
  <c r="AT31" i="9"/>
  <c r="AU31" i="9" s="1"/>
  <c r="AO32" i="9"/>
  <c r="AT32" i="9"/>
  <c r="AU32" i="9" s="1"/>
  <c r="AO161" i="9"/>
  <c r="AT161" i="9"/>
  <c r="AU161" i="9" s="1"/>
  <c r="AO185" i="9"/>
  <c r="AT185" i="9"/>
  <c r="AU185" i="9" s="1"/>
  <c r="AN220" i="9"/>
  <c r="AI220" i="9"/>
  <c r="AN40" i="9"/>
  <c r="AI40" i="9"/>
  <c r="AI76" i="9"/>
  <c r="AN76" i="9"/>
  <c r="AI218" i="9"/>
  <c r="AN218" i="9"/>
  <c r="AN121" i="9"/>
  <c r="AI121" i="9"/>
  <c r="AN170" i="9"/>
  <c r="AI170" i="9"/>
  <c r="AO143" i="9"/>
  <c r="AT143" i="9"/>
  <c r="AN177" i="9"/>
  <c r="AI177" i="9"/>
  <c r="AN99" i="9"/>
  <c r="AI99" i="9"/>
  <c r="AN90" i="9"/>
  <c r="AI90" i="9"/>
  <c r="AI155" i="9"/>
  <c r="AN155" i="9"/>
  <c r="AN209" i="9"/>
  <c r="AI209" i="9"/>
  <c r="AI33" i="9"/>
  <c r="AN33" i="9"/>
  <c r="AN196" i="9"/>
  <c r="AI196" i="9"/>
  <c r="AN74" i="9"/>
  <c r="AI74" i="9"/>
  <c r="AN14" i="9"/>
  <c r="AI14" i="9"/>
  <c r="AI27" i="9"/>
  <c r="AN27" i="9"/>
  <c r="AN148" i="9"/>
  <c r="AI148" i="9"/>
  <c r="AI36" i="9"/>
  <c r="AN36" i="9"/>
  <c r="AN62" i="9"/>
  <c r="AI62" i="9"/>
  <c r="AN13" i="9"/>
  <c r="AI13" i="9"/>
  <c r="AN138" i="9"/>
  <c r="AI138" i="9"/>
  <c r="AN63" i="9"/>
  <c r="AI63" i="9"/>
  <c r="AN174" i="9"/>
  <c r="AI174" i="9"/>
  <c r="AN181" i="9"/>
  <c r="AI181" i="9"/>
  <c r="AN167" i="9"/>
  <c r="AI167" i="9"/>
  <c r="AN115" i="9"/>
  <c r="AI115" i="9"/>
  <c r="AN91" i="9"/>
  <c r="AI91" i="9"/>
  <c r="AI110" i="9"/>
  <c r="AN110" i="9"/>
  <c r="AN200" i="9"/>
  <c r="AI200" i="9"/>
  <c r="AN128" i="9"/>
  <c r="AI128" i="9"/>
  <c r="AN164" i="9"/>
  <c r="AI164" i="9"/>
  <c r="AN88" i="9"/>
  <c r="AI88" i="9"/>
  <c r="AN101" i="9"/>
  <c r="AI101" i="9"/>
  <c r="AN102" i="9"/>
  <c r="AI102" i="9"/>
  <c r="AN64" i="9"/>
  <c r="AI64" i="9"/>
  <c r="AN199" i="9"/>
  <c r="AI199" i="9"/>
  <c r="AN85" i="9"/>
  <c r="AI85" i="9"/>
  <c r="AN122" i="9"/>
  <c r="AI122" i="9"/>
  <c r="AN194" i="9"/>
  <c r="AI194" i="9"/>
  <c r="AN216" i="9"/>
  <c r="AI216" i="9"/>
  <c r="AN94" i="9"/>
  <c r="AI94" i="9"/>
  <c r="AN15" i="9"/>
  <c r="AI15" i="9"/>
  <c r="AN198" i="9"/>
  <c r="AI198" i="9"/>
  <c r="AI67" i="9"/>
  <c r="AN67" i="9"/>
  <c r="AN204" i="9"/>
  <c r="AI204" i="9"/>
  <c r="AN8" i="9"/>
  <c r="AI8" i="9"/>
  <c r="AN30" i="9"/>
  <c r="AI30" i="9"/>
  <c r="AN144" i="9"/>
  <c r="AI144" i="9"/>
  <c r="AN178" i="9"/>
  <c r="AI178" i="9"/>
  <c r="AZ140" i="9"/>
  <c r="AO179" i="9"/>
  <c r="AT179" i="9"/>
  <c r="AU179" i="9" s="1"/>
  <c r="AT108" i="9"/>
  <c r="AU108" i="9" s="1"/>
  <c r="AO108" i="9"/>
  <c r="AO39" i="9"/>
  <c r="AT39" i="9"/>
  <c r="AU39" i="9" s="1"/>
  <c r="AO69" i="9"/>
  <c r="AT69" i="9"/>
  <c r="AU69" i="9" s="1"/>
  <c r="AO219" i="9"/>
  <c r="AT219" i="9"/>
  <c r="AU219" i="9" s="1"/>
  <c r="AO23" i="9"/>
  <c r="AT23" i="9"/>
  <c r="AU23" i="9" s="1"/>
  <c r="AO214" i="9"/>
  <c r="AT214" i="9"/>
  <c r="AO113" i="9"/>
  <c r="AT113" i="9"/>
  <c r="AU113" i="9" s="1"/>
  <c r="AO68" i="9"/>
  <c r="AT68" i="9"/>
  <c r="AU68" i="9" s="1"/>
  <c r="AO145" i="9"/>
  <c r="AT145" i="9"/>
  <c r="AU145" i="9" s="1"/>
  <c r="AN112" i="9"/>
  <c r="AI112" i="9"/>
  <c r="AN96" i="9"/>
  <c r="AI96" i="9"/>
  <c r="AN211" i="9"/>
  <c r="AI211" i="9"/>
  <c r="AN139" i="9"/>
  <c r="AI139" i="9"/>
  <c r="AN129" i="9"/>
  <c r="AI129" i="9"/>
  <c r="AN169" i="9"/>
  <c r="AI169" i="9"/>
  <c r="AN133" i="9"/>
  <c r="AI133" i="9"/>
  <c r="AN213" i="9"/>
  <c r="AI213" i="9"/>
  <c r="AN192" i="9"/>
  <c r="AI192" i="9"/>
  <c r="AN46" i="9"/>
  <c r="AI46" i="9"/>
  <c r="AN184" i="9"/>
  <c r="AI184" i="9"/>
  <c r="AN134" i="9"/>
  <c r="AI134" i="9"/>
  <c r="AN187" i="9"/>
  <c r="AI187" i="9"/>
  <c r="AN203" i="9"/>
  <c r="AI203" i="9"/>
  <c r="AN207" i="9"/>
  <c r="AI207" i="9"/>
  <c r="AI20" i="9"/>
  <c r="AN20" i="9"/>
  <c r="AN136" i="9"/>
  <c r="AI136" i="9"/>
  <c r="AN57" i="9"/>
  <c r="AI57" i="9"/>
  <c r="AI206" i="9"/>
  <c r="AN206" i="9"/>
  <c r="AN26" i="9"/>
  <c r="AI26" i="9"/>
  <c r="AN81" i="9"/>
  <c r="AI81" i="9"/>
  <c r="AN156" i="9"/>
  <c r="AI156" i="9"/>
  <c r="AI49" i="9"/>
  <c r="AN49" i="9"/>
  <c r="AN97" i="9"/>
  <c r="AI97" i="9"/>
  <c r="AN168" i="9"/>
  <c r="AI168" i="9"/>
  <c r="AN162" i="9"/>
  <c r="AI162" i="9"/>
  <c r="AN123" i="9"/>
  <c r="AI123" i="9"/>
  <c r="AN120" i="9"/>
  <c r="AI120" i="9"/>
  <c r="AN84" i="9"/>
  <c r="AI84" i="9"/>
  <c r="AN86" i="9"/>
  <c r="AI86" i="9"/>
  <c r="AO59" i="9"/>
  <c r="AT59" i="9"/>
  <c r="AU59" i="9" s="1"/>
  <c r="AI21" i="9"/>
  <c r="AN21" i="9"/>
  <c r="AN53" i="9"/>
  <c r="AI53" i="9"/>
  <c r="AI60" i="9"/>
  <c r="AN60" i="9"/>
  <c r="AI127" i="9"/>
  <c r="AN127" i="9"/>
  <c r="AU103" i="9"/>
  <c r="AZ103" i="9"/>
  <c r="BF103" i="9" s="1"/>
  <c r="BG103" i="9" s="1"/>
  <c r="AN7" i="9"/>
  <c r="AI7" i="9"/>
  <c r="AN202" i="9"/>
  <c r="AI202" i="9"/>
  <c r="AN165" i="9"/>
  <c r="AI165" i="9"/>
  <c r="AI51" i="9"/>
  <c r="AN51" i="9"/>
  <c r="AI52" i="9"/>
  <c r="AN52" i="9"/>
  <c r="AO35" i="9"/>
  <c r="AT35" i="9"/>
  <c r="AU35" i="9" s="1"/>
  <c r="AI22" i="9"/>
  <c r="AN22" i="9"/>
  <c r="AN16" i="9"/>
  <c r="AI16" i="9"/>
  <c r="AT158" i="9"/>
  <c r="AU158" i="9" s="1"/>
  <c r="AO158" i="9"/>
  <c r="AT79" i="9"/>
  <c r="AU79" i="9" s="1"/>
  <c r="AO79" i="9"/>
  <c r="AO34" i="9"/>
  <c r="AT34" i="9"/>
  <c r="AU34" i="9" s="1"/>
  <c r="AT87" i="9"/>
  <c r="AU87" i="9" s="1"/>
  <c r="AO87" i="9"/>
  <c r="AT160" i="9"/>
  <c r="AU160" i="9" s="1"/>
  <c r="AO160" i="9"/>
  <c r="AO175" i="9"/>
  <c r="AT175" i="9"/>
  <c r="AU175" i="9" s="1"/>
  <c r="AO166" i="9"/>
  <c r="AT166" i="9"/>
  <c r="AU166" i="9" s="1"/>
  <c r="AO157" i="9"/>
  <c r="AT157" i="9"/>
  <c r="AU157" i="9" s="1"/>
  <c r="AO159" i="9"/>
  <c r="AT159" i="9"/>
  <c r="AU159" i="9" s="1"/>
  <c r="AO9" i="9"/>
  <c r="AT9" i="9"/>
  <c r="AU9" i="9" s="1"/>
  <c r="AT105" i="9"/>
  <c r="AU105" i="9" s="1"/>
  <c r="AO105" i="9"/>
  <c r="AO188" i="9"/>
  <c r="AT188" i="9"/>
  <c r="AN208" i="9"/>
  <c r="AI208" i="9"/>
  <c r="AN111" i="9"/>
  <c r="AI111" i="9"/>
  <c r="AN89" i="9"/>
  <c r="AI89" i="9"/>
  <c r="AI17" i="9"/>
  <c r="AN17" i="9"/>
  <c r="AN210" i="9"/>
  <c r="AI210" i="9"/>
  <c r="AN152" i="9"/>
  <c r="AI152" i="9"/>
  <c r="AN137" i="9"/>
  <c r="AI137" i="9"/>
  <c r="AN71" i="9"/>
  <c r="AI71" i="9"/>
  <c r="AN193" i="9"/>
  <c r="AI193" i="9"/>
  <c r="AN100" i="9"/>
  <c r="AI100" i="9"/>
  <c r="AN48" i="9"/>
  <c r="AI48" i="9"/>
  <c r="AI44" i="9"/>
  <c r="AN44" i="9"/>
  <c r="AN153" i="9"/>
  <c r="AI153" i="9"/>
  <c r="AN146" i="9"/>
  <c r="AI146" i="9"/>
  <c r="AN135" i="9"/>
  <c r="AI135" i="9"/>
  <c r="AN151" i="9"/>
  <c r="AI151" i="9"/>
  <c r="AN130" i="9"/>
  <c r="AI130" i="9"/>
  <c r="AN117" i="9"/>
  <c r="AI117" i="9"/>
  <c r="AN201" i="9"/>
  <c r="AI201" i="9"/>
  <c r="AN182" i="9"/>
  <c r="AI182" i="9"/>
  <c r="AN66" i="9"/>
  <c r="AI66" i="9"/>
  <c r="AN80" i="9"/>
  <c r="AI80" i="9"/>
  <c r="AN106" i="9"/>
  <c r="AI106" i="9"/>
  <c r="AN24" i="9"/>
  <c r="AI24" i="9"/>
  <c r="AN176" i="9"/>
  <c r="AI176" i="9"/>
  <c r="AI70" i="9"/>
  <c r="AN70" i="9"/>
  <c r="AN78" i="9"/>
  <c r="AI78" i="9"/>
  <c r="AN42" i="9"/>
  <c r="AI42" i="9"/>
  <c r="AI6" i="9"/>
  <c r="AN6" i="9"/>
  <c r="AI82" i="9"/>
  <c r="AN82" i="9"/>
  <c r="AN92" i="9"/>
  <c r="AI92" i="9"/>
  <c r="AN65" i="9"/>
  <c r="AI65" i="9"/>
  <c r="AI171" i="9"/>
  <c r="AN171" i="9"/>
  <c r="AN126" i="9"/>
  <c r="AI126" i="9"/>
  <c r="AN56" i="9"/>
  <c r="AI56" i="9"/>
  <c r="AN25" i="9"/>
  <c r="AI25" i="9"/>
  <c r="AN163" i="9"/>
  <c r="AI163" i="9"/>
  <c r="AI54" i="9"/>
  <c r="AN54" i="9"/>
  <c r="AI28" i="9"/>
  <c r="AN28" i="9"/>
  <c r="AI93" i="9"/>
  <c r="AN93" i="9"/>
  <c r="AN173" i="9"/>
  <c r="AI173" i="9"/>
  <c r="AN29" i="9"/>
  <c r="AI29" i="9"/>
  <c r="AN125" i="9"/>
  <c r="AI125" i="9"/>
  <c r="AN18" i="9"/>
  <c r="AI18" i="9"/>
  <c r="AI11" i="9"/>
  <c r="AN11" i="9"/>
  <c r="AN147" i="9"/>
  <c r="AI147" i="9"/>
  <c r="AI19" i="9"/>
  <c r="AN19" i="9"/>
  <c r="AN124" i="9"/>
  <c r="AI124" i="9"/>
  <c r="AN116" i="9"/>
  <c r="AI116" i="9"/>
  <c r="AI38" i="9"/>
  <c r="AN38" i="9"/>
  <c r="AI37" i="9"/>
  <c r="AN37" i="9"/>
  <c r="AN55" i="9"/>
  <c r="AI55" i="9"/>
  <c r="AT119" i="9"/>
  <c r="AU119" i="9" s="1"/>
  <c r="AO119" i="9"/>
  <c r="AT215" i="9"/>
  <c r="AU215" i="9" s="1"/>
  <c r="AO215" i="9"/>
  <c r="AO95" i="9"/>
  <c r="AT95" i="9"/>
  <c r="AU95" i="9" s="1"/>
  <c r="AO83" i="9"/>
  <c r="AT83" i="9"/>
  <c r="AU83" i="9" s="1"/>
  <c r="AO47" i="9"/>
  <c r="AT47" i="9"/>
  <c r="AU47" i="9" s="1"/>
  <c r="AO190" i="9"/>
  <c r="AT190" i="9"/>
  <c r="AU190" i="9" s="1"/>
  <c r="AO154" i="9"/>
  <c r="AT154" i="9"/>
  <c r="AU154" i="9" s="1"/>
  <c r="AT205" i="9"/>
  <c r="AU205" i="9" s="1"/>
  <c r="AO205" i="9"/>
  <c r="BS224" i="9"/>
  <c r="BX224" i="9"/>
  <c r="BR222" i="9"/>
  <c r="BM222" i="9"/>
  <c r="BR228" i="9"/>
  <c r="BM228" i="9"/>
  <c r="BR227" i="9"/>
  <c r="BM227" i="9"/>
  <c r="BR226" i="9"/>
  <c r="BM226" i="9"/>
  <c r="BX225" i="9"/>
  <c r="BS225" i="9"/>
  <c r="BR223" i="9"/>
  <c r="BM223" i="9"/>
  <c r="BF221" i="9"/>
  <c r="BA221" i="9"/>
  <c r="W234" i="9"/>
  <c r="AA237" i="9" s="1"/>
  <c r="AI4" i="9"/>
  <c r="BA140" i="9" l="1"/>
  <c r="BF140" i="9"/>
  <c r="BG140" i="9" s="1"/>
  <c r="AO55" i="9"/>
  <c r="AT55" i="9"/>
  <c r="AU55" i="9" s="1"/>
  <c r="AT42" i="9"/>
  <c r="AU42" i="9" s="1"/>
  <c r="AO42" i="9"/>
  <c r="AO151" i="9"/>
  <c r="AT151" i="9"/>
  <c r="AU151" i="9" s="1"/>
  <c r="AO120" i="9"/>
  <c r="AT120" i="9"/>
  <c r="AU120" i="9" s="1"/>
  <c r="AO139" i="9"/>
  <c r="AT139" i="9"/>
  <c r="AU139" i="9" s="1"/>
  <c r="AO37" i="9"/>
  <c r="AT37" i="9"/>
  <c r="AU37" i="9" s="1"/>
  <c r="AT22" i="9"/>
  <c r="AU22" i="9" s="1"/>
  <c r="AO22" i="9"/>
  <c r="AO127" i="9"/>
  <c r="AT127" i="9"/>
  <c r="AU127" i="9" s="1"/>
  <c r="AO49" i="9"/>
  <c r="AT49" i="9"/>
  <c r="AU49" i="9" s="1"/>
  <c r="AO206" i="9"/>
  <c r="AT206" i="9"/>
  <c r="AU206" i="9" s="1"/>
  <c r="AO30" i="9"/>
  <c r="AT30" i="9"/>
  <c r="AU30" i="9" s="1"/>
  <c r="AO198" i="9"/>
  <c r="AT198" i="9"/>
  <c r="AU198" i="9" s="1"/>
  <c r="AO194" i="9"/>
  <c r="AT194" i="9"/>
  <c r="AU194" i="9" s="1"/>
  <c r="AT64" i="9"/>
  <c r="AU64" i="9" s="1"/>
  <c r="AO64" i="9"/>
  <c r="AT164" i="9"/>
  <c r="AU164" i="9" s="1"/>
  <c r="AO164" i="9"/>
  <c r="AT91" i="9"/>
  <c r="AU91" i="9" s="1"/>
  <c r="AO91" i="9"/>
  <c r="AT174" i="9"/>
  <c r="AU174" i="9" s="1"/>
  <c r="AO174" i="9"/>
  <c r="AO62" i="9"/>
  <c r="AT62" i="9"/>
  <c r="AU62" i="9" s="1"/>
  <c r="AT14" i="9"/>
  <c r="AU14" i="9" s="1"/>
  <c r="AO14" i="9"/>
  <c r="AO209" i="9"/>
  <c r="AT209" i="9"/>
  <c r="AU209" i="9" s="1"/>
  <c r="AO177" i="9"/>
  <c r="AT177" i="9"/>
  <c r="AU177" i="9" s="1"/>
  <c r="AU188" i="9"/>
  <c r="AZ188" i="9"/>
  <c r="BF188" i="9" s="1"/>
  <c r="BG188" i="9" s="1"/>
  <c r="AO124" i="9"/>
  <c r="AT124" i="9"/>
  <c r="AU124" i="9" s="1"/>
  <c r="AO25" i="9"/>
  <c r="AT25" i="9"/>
  <c r="AU25" i="9" s="1"/>
  <c r="AT24" i="9"/>
  <c r="AU24" i="9" s="1"/>
  <c r="AO24" i="9"/>
  <c r="AO71" i="9"/>
  <c r="AT71" i="9"/>
  <c r="AU71" i="9" s="1"/>
  <c r="AT97" i="9"/>
  <c r="AU97" i="9" s="1"/>
  <c r="AO97" i="9"/>
  <c r="AT213" i="9"/>
  <c r="AO213" i="9"/>
  <c r="AO218" i="9"/>
  <c r="AT218" i="9"/>
  <c r="AO19" i="9"/>
  <c r="AT19" i="9"/>
  <c r="AU19" i="9" s="1"/>
  <c r="AT28" i="9"/>
  <c r="AU28" i="9" s="1"/>
  <c r="AO28" i="9"/>
  <c r="AO125" i="9"/>
  <c r="AT125" i="9"/>
  <c r="AU125" i="9" s="1"/>
  <c r="AO56" i="9"/>
  <c r="AT56" i="9"/>
  <c r="AU56" i="9" s="1"/>
  <c r="AO92" i="9"/>
  <c r="AT92" i="9"/>
  <c r="AU92" i="9" s="1"/>
  <c r="AO78" i="9"/>
  <c r="AT78" i="9"/>
  <c r="AU78" i="9" s="1"/>
  <c r="AO106" i="9"/>
  <c r="AT106" i="9"/>
  <c r="AU106" i="9" s="1"/>
  <c r="AO201" i="9"/>
  <c r="AT201" i="9"/>
  <c r="AU201" i="9" s="1"/>
  <c r="AT135" i="9"/>
  <c r="AU135" i="9" s="1"/>
  <c r="AO135" i="9"/>
  <c r="AT48" i="9"/>
  <c r="AU48" i="9" s="1"/>
  <c r="AO48" i="9"/>
  <c r="AT137" i="9"/>
  <c r="AU137" i="9" s="1"/>
  <c r="AO137" i="9"/>
  <c r="AO89" i="9"/>
  <c r="AT89" i="9"/>
  <c r="AU89" i="9" s="1"/>
  <c r="AO165" i="9"/>
  <c r="AT165" i="9"/>
  <c r="AU165" i="9" s="1"/>
  <c r="AO123" i="9"/>
  <c r="AT123" i="9"/>
  <c r="AU123" i="9" s="1"/>
  <c r="AO207" i="9"/>
  <c r="AT207" i="9"/>
  <c r="AU207" i="9" s="1"/>
  <c r="AT184" i="9"/>
  <c r="AU184" i="9" s="1"/>
  <c r="AO184" i="9"/>
  <c r="AT133" i="9"/>
  <c r="AU133" i="9" s="1"/>
  <c r="AO133" i="9"/>
  <c r="AT211" i="9"/>
  <c r="AO211" i="9"/>
  <c r="AO36" i="9"/>
  <c r="AT36" i="9"/>
  <c r="AU36" i="9" s="1"/>
  <c r="AO155" i="9"/>
  <c r="AT155" i="9"/>
  <c r="AU155" i="9" s="1"/>
  <c r="AU143" i="9"/>
  <c r="AZ143" i="9"/>
  <c r="AO76" i="9"/>
  <c r="AT76" i="9"/>
  <c r="AU76" i="9" s="1"/>
  <c r="AO17" i="9"/>
  <c r="AT17" i="9"/>
  <c r="AU17" i="9" s="1"/>
  <c r="AT20" i="9"/>
  <c r="AU20" i="9" s="1"/>
  <c r="AO20" i="9"/>
  <c r="AO18" i="9"/>
  <c r="AT18" i="9"/>
  <c r="AU18" i="9" s="1"/>
  <c r="AO65" i="9"/>
  <c r="AT65" i="9"/>
  <c r="AU65" i="9" s="1"/>
  <c r="AO182" i="9"/>
  <c r="AT182" i="9"/>
  <c r="AU182" i="9" s="1"/>
  <c r="AT16" i="9"/>
  <c r="AU16" i="9" s="1"/>
  <c r="AO16" i="9"/>
  <c r="AT26" i="9"/>
  <c r="AU26" i="9" s="1"/>
  <c r="AO26" i="9"/>
  <c r="AO134" i="9"/>
  <c r="AT134" i="9"/>
  <c r="AU134" i="9" s="1"/>
  <c r="AT38" i="9"/>
  <c r="AU38" i="9" s="1"/>
  <c r="AO38" i="9"/>
  <c r="AT54" i="9"/>
  <c r="AU54" i="9" s="1"/>
  <c r="AO54" i="9"/>
  <c r="AO82" i="9"/>
  <c r="AT82" i="9"/>
  <c r="AU82" i="9" s="1"/>
  <c r="AO70" i="9"/>
  <c r="AT70" i="9"/>
  <c r="AU70" i="9" s="1"/>
  <c r="AO60" i="9"/>
  <c r="AT60" i="9"/>
  <c r="AU60" i="9" s="1"/>
  <c r="AT8" i="9"/>
  <c r="AU8" i="9" s="1"/>
  <c r="AO8" i="9"/>
  <c r="AO15" i="9"/>
  <c r="AT15" i="9"/>
  <c r="AU15" i="9" s="1"/>
  <c r="AO122" i="9"/>
  <c r="AT122" i="9"/>
  <c r="AU122" i="9" s="1"/>
  <c r="AO102" i="9"/>
  <c r="AT102" i="9"/>
  <c r="AU102" i="9" s="1"/>
  <c r="AO128" i="9"/>
  <c r="AT128" i="9"/>
  <c r="AU128" i="9" s="1"/>
  <c r="AO115" i="9"/>
  <c r="AT115" i="9"/>
  <c r="AU115" i="9" s="1"/>
  <c r="AO63" i="9"/>
  <c r="AT63" i="9"/>
  <c r="AU63" i="9" s="1"/>
  <c r="AT74" i="9"/>
  <c r="AU74" i="9" s="1"/>
  <c r="AO74" i="9"/>
  <c r="AO51" i="9"/>
  <c r="AT51" i="9"/>
  <c r="AU51" i="9" s="1"/>
  <c r="AT147" i="9"/>
  <c r="AU147" i="9" s="1"/>
  <c r="AO147" i="9"/>
  <c r="AO146" i="9"/>
  <c r="AT146" i="9"/>
  <c r="AU146" i="9" s="1"/>
  <c r="AT162" i="9"/>
  <c r="AU162" i="9" s="1"/>
  <c r="AO162" i="9"/>
  <c r="AO21" i="9"/>
  <c r="AT21" i="9"/>
  <c r="AU21" i="9" s="1"/>
  <c r="AO126" i="9"/>
  <c r="AT126" i="9"/>
  <c r="AU126" i="9" s="1"/>
  <c r="AO80" i="9"/>
  <c r="AT80" i="9"/>
  <c r="AU80" i="9" s="1"/>
  <c r="AO100" i="9"/>
  <c r="AT100" i="9"/>
  <c r="AU100" i="9" s="1"/>
  <c r="AO111" i="9"/>
  <c r="AT111" i="9"/>
  <c r="AU111" i="9" s="1"/>
  <c r="AO86" i="9"/>
  <c r="AT86" i="9"/>
  <c r="AU86" i="9" s="1"/>
  <c r="AO57" i="9"/>
  <c r="AT57" i="9"/>
  <c r="AU57" i="9" s="1"/>
  <c r="AO46" i="9"/>
  <c r="AT46" i="9"/>
  <c r="AU46" i="9" s="1"/>
  <c r="AO96" i="9"/>
  <c r="AT96" i="9"/>
  <c r="AU96" i="9" s="1"/>
  <c r="AO11" i="9"/>
  <c r="AT11" i="9"/>
  <c r="AU11" i="9" s="1"/>
  <c r="AO171" i="9"/>
  <c r="AT171" i="9"/>
  <c r="AU171" i="9" s="1"/>
  <c r="AT6" i="9"/>
  <c r="AU6" i="9" s="1"/>
  <c r="AO6" i="9"/>
  <c r="AT52" i="9"/>
  <c r="AU52" i="9" s="1"/>
  <c r="AO52" i="9"/>
  <c r="AZ214" i="9"/>
  <c r="BA214" i="9" s="1"/>
  <c r="AU214" i="9"/>
  <c r="AO178" i="9"/>
  <c r="AT178" i="9"/>
  <c r="AU178" i="9" s="1"/>
  <c r="AO204" i="9"/>
  <c r="AT204" i="9"/>
  <c r="AU204" i="9" s="1"/>
  <c r="AO94" i="9"/>
  <c r="AT94" i="9"/>
  <c r="AU94" i="9" s="1"/>
  <c r="AT85" i="9"/>
  <c r="AU85" i="9" s="1"/>
  <c r="AO85" i="9"/>
  <c r="AO101" i="9"/>
  <c r="AT101" i="9"/>
  <c r="AU101" i="9" s="1"/>
  <c r="AO200" i="9"/>
  <c r="AT200" i="9"/>
  <c r="AU200" i="9" s="1"/>
  <c r="AO167" i="9"/>
  <c r="AT167" i="9"/>
  <c r="AU167" i="9" s="1"/>
  <c r="AO138" i="9"/>
  <c r="AT138" i="9"/>
  <c r="AU138" i="9" s="1"/>
  <c r="AO148" i="9"/>
  <c r="AT148" i="9"/>
  <c r="AU148" i="9" s="1"/>
  <c r="AO196" i="9"/>
  <c r="AT196" i="9"/>
  <c r="AU196" i="9" s="1"/>
  <c r="AO90" i="9"/>
  <c r="AT90" i="9"/>
  <c r="AU90" i="9" s="1"/>
  <c r="AT170" i="9"/>
  <c r="AU170" i="9" s="1"/>
  <c r="AO170" i="9"/>
  <c r="AO40" i="9"/>
  <c r="AT40" i="9"/>
  <c r="AU40" i="9" s="1"/>
  <c r="AO44" i="9"/>
  <c r="AT44" i="9"/>
  <c r="AU44" i="9" s="1"/>
  <c r="AO29" i="9"/>
  <c r="AT29" i="9"/>
  <c r="AU29" i="9" s="1"/>
  <c r="AO117" i="9"/>
  <c r="AT117" i="9"/>
  <c r="AU117" i="9" s="1"/>
  <c r="AO152" i="9"/>
  <c r="AT152" i="9"/>
  <c r="AU152" i="9" s="1"/>
  <c r="AO202" i="9"/>
  <c r="AT202" i="9"/>
  <c r="AU202" i="9" s="1"/>
  <c r="AO156" i="9"/>
  <c r="AT156" i="9"/>
  <c r="AU156" i="9" s="1"/>
  <c r="AO203" i="9"/>
  <c r="AT203" i="9"/>
  <c r="AU203" i="9" s="1"/>
  <c r="AO169" i="9"/>
  <c r="AT169" i="9"/>
  <c r="AU169" i="9" s="1"/>
  <c r="AO116" i="9"/>
  <c r="AT116" i="9"/>
  <c r="AU116" i="9" s="1"/>
  <c r="AO173" i="9"/>
  <c r="AT173" i="9"/>
  <c r="AU173" i="9" s="1"/>
  <c r="AO163" i="9"/>
  <c r="AT163" i="9"/>
  <c r="AU163" i="9" s="1"/>
  <c r="AT176" i="9"/>
  <c r="AU176" i="9" s="1"/>
  <c r="AO176" i="9"/>
  <c r="AO66" i="9"/>
  <c r="AT66" i="9"/>
  <c r="AU66" i="9" s="1"/>
  <c r="AO130" i="9"/>
  <c r="AT130" i="9"/>
  <c r="AU130" i="9" s="1"/>
  <c r="AO153" i="9"/>
  <c r="AT153" i="9"/>
  <c r="AU153" i="9" s="1"/>
  <c r="AT193" i="9"/>
  <c r="AU193" i="9" s="1"/>
  <c r="AO193" i="9"/>
  <c r="AO210" i="9"/>
  <c r="AT210" i="9"/>
  <c r="AU210" i="9" s="1"/>
  <c r="AO208" i="9"/>
  <c r="AT208" i="9"/>
  <c r="AU208" i="9" s="1"/>
  <c r="AO7" i="9"/>
  <c r="AT7" i="9"/>
  <c r="AU7" i="9" s="1"/>
  <c r="AO53" i="9"/>
  <c r="AT53" i="9"/>
  <c r="AU53" i="9" s="1"/>
  <c r="AO84" i="9"/>
  <c r="AT84" i="9"/>
  <c r="AU84" i="9" s="1"/>
  <c r="AT168" i="9"/>
  <c r="AU168" i="9" s="1"/>
  <c r="AO168" i="9"/>
  <c r="AT81" i="9"/>
  <c r="AU81" i="9" s="1"/>
  <c r="AO81" i="9"/>
  <c r="AO136" i="9"/>
  <c r="AT136" i="9"/>
  <c r="AU136" i="9" s="1"/>
  <c r="AO187" i="9"/>
  <c r="AT187" i="9"/>
  <c r="AU187" i="9" s="1"/>
  <c r="AO192" i="9"/>
  <c r="AT192" i="9"/>
  <c r="AU192" i="9" s="1"/>
  <c r="AO129" i="9"/>
  <c r="AT129" i="9"/>
  <c r="AU129" i="9" s="1"/>
  <c r="AT112" i="9"/>
  <c r="AU112" i="9" s="1"/>
  <c r="AO112" i="9"/>
  <c r="AO67" i="9"/>
  <c r="AT67" i="9"/>
  <c r="AU67" i="9" s="1"/>
  <c r="AO110" i="9"/>
  <c r="AT110" i="9"/>
  <c r="AU110" i="9" s="1"/>
  <c r="AO27" i="9"/>
  <c r="AT27" i="9"/>
  <c r="AU27" i="9" s="1"/>
  <c r="AO33" i="9"/>
  <c r="AT33" i="9"/>
  <c r="AU33" i="9" s="1"/>
  <c r="AO93" i="9"/>
  <c r="AT93" i="9"/>
  <c r="AU93" i="9" s="1"/>
  <c r="AO144" i="9"/>
  <c r="AT144" i="9"/>
  <c r="AU144" i="9" s="1"/>
  <c r="AO216" i="9"/>
  <c r="AT216" i="9"/>
  <c r="AU216" i="9" s="1"/>
  <c r="AT199" i="9"/>
  <c r="AU199" i="9" s="1"/>
  <c r="AO199" i="9"/>
  <c r="AO88" i="9"/>
  <c r="AT88" i="9"/>
  <c r="AU88" i="9" s="1"/>
  <c r="AO181" i="9"/>
  <c r="AT181" i="9"/>
  <c r="AU181" i="9" s="1"/>
  <c r="AO13" i="9"/>
  <c r="AT13" i="9"/>
  <c r="AU13" i="9" s="1"/>
  <c r="AO99" i="9"/>
  <c r="AT99" i="9"/>
  <c r="AU99" i="9" s="1"/>
  <c r="AT121" i="9"/>
  <c r="AU121" i="9" s="1"/>
  <c r="AO121" i="9"/>
  <c r="AT220" i="9"/>
  <c r="AU220" i="9" s="1"/>
  <c r="AO220" i="9"/>
  <c r="BS223" i="9"/>
  <c r="BX223" i="9"/>
  <c r="BX228" i="9"/>
  <c r="BS228" i="9"/>
  <c r="BY225" i="9"/>
  <c r="CD225" i="9"/>
  <c r="BX226" i="9"/>
  <c r="BS226" i="9"/>
  <c r="CD224" i="9"/>
  <c r="BY224" i="9"/>
  <c r="BS222" i="9"/>
  <c r="BX222" i="9"/>
  <c r="BX227" i="9"/>
  <c r="BS227" i="9"/>
  <c r="BG221" i="9"/>
  <c r="BL221" i="9"/>
  <c r="AZ119" i="9"/>
  <c r="AZ167" i="9"/>
  <c r="AZ194" i="9"/>
  <c r="AZ186" i="9"/>
  <c r="AZ177" i="9"/>
  <c r="AZ181" i="9"/>
  <c r="AC234" i="9"/>
  <c r="AG237" i="9" s="1"/>
  <c r="AO4" i="9"/>
  <c r="AT4" i="9"/>
  <c r="AZ193" i="9" l="1"/>
  <c r="BA193" i="9" s="1"/>
  <c r="AZ173" i="9"/>
  <c r="AZ168" i="9"/>
  <c r="BA168" i="9" s="1"/>
  <c r="AZ203" i="9"/>
  <c r="BA203" i="9" s="1"/>
  <c r="BA143" i="9"/>
  <c r="BF143" i="9"/>
  <c r="BG143" i="9" s="1"/>
  <c r="AZ163" i="9"/>
  <c r="BA163" i="9" s="1"/>
  <c r="AZ117" i="9"/>
  <c r="BA117" i="9" s="1"/>
  <c r="AZ171" i="9"/>
  <c r="BA171" i="9" s="1"/>
  <c r="AZ187" i="9"/>
  <c r="BF187" i="9" s="1"/>
  <c r="AZ199" i="9"/>
  <c r="BA199" i="9" s="1"/>
  <c r="AU213" i="9"/>
  <c r="AZ213" i="9"/>
  <c r="AU211" i="9"/>
  <c r="AZ211" i="9"/>
  <c r="AZ200" i="9"/>
  <c r="BA200" i="9" s="1"/>
  <c r="AZ182" i="9"/>
  <c r="BF182" i="9" s="1"/>
  <c r="AU218" i="9"/>
  <c r="AZ218" i="9"/>
  <c r="AZ207" i="9"/>
  <c r="BF207" i="9" s="1"/>
  <c r="AZ156" i="9"/>
  <c r="BF156" i="9" s="1"/>
  <c r="AZ204" i="9"/>
  <c r="BF204" i="9" s="1"/>
  <c r="BY226" i="9"/>
  <c r="CD226" i="9"/>
  <c r="BY227" i="9"/>
  <c r="CD227" i="9"/>
  <c r="CD222" i="9"/>
  <c r="BY222" i="9"/>
  <c r="CD228" i="9"/>
  <c r="BY228" i="9"/>
  <c r="CD223" i="9"/>
  <c r="BY223" i="9"/>
  <c r="BR221" i="9"/>
  <c r="BM221" i="9"/>
  <c r="AZ148" i="9"/>
  <c r="AZ208" i="9"/>
  <c r="AZ158" i="9"/>
  <c r="AZ159" i="9"/>
  <c r="AZ157" i="9"/>
  <c r="AZ161" i="9"/>
  <c r="BF161" i="9" s="1"/>
  <c r="AZ160" i="9"/>
  <c r="AZ57" i="9"/>
  <c r="AZ185" i="9"/>
  <c r="BA186" i="9"/>
  <c r="BF186" i="9"/>
  <c r="BA156" i="9"/>
  <c r="AZ216" i="9"/>
  <c r="BA216" i="9" s="1"/>
  <c r="BA173" i="9"/>
  <c r="BF173" i="9"/>
  <c r="BA119" i="9"/>
  <c r="BF119" i="9"/>
  <c r="AZ144" i="9"/>
  <c r="AZ120" i="9"/>
  <c r="AZ201" i="9"/>
  <c r="BA167" i="9"/>
  <c r="BF167" i="9"/>
  <c r="AZ169" i="9"/>
  <c r="AZ68" i="9"/>
  <c r="BA181" i="9"/>
  <c r="BF181" i="9"/>
  <c r="BF163" i="9"/>
  <c r="AZ178" i="9"/>
  <c r="AZ209" i="9"/>
  <c r="BA209" i="9" s="1"/>
  <c r="AZ28" i="9"/>
  <c r="AZ83" i="9"/>
  <c r="BA177" i="9"/>
  <c r="BF177" i="9"/>
  <c r="AZ176" i="9"/>
  <c r="AZ190" i="9"/>
  <c r="AZ72" i="9"/>
  <c r="AZ128" i="9"/>
  <c r="AZ219" i="9"/>
  <c r="BA194" i="9"/>
  <c r="BF194" i="9"/>
  <c r="AZ65" i="9"/>
  <c r="AZ105" i="9"/>
  <c r="AZ91" i="9"/>
  <c r="AI234" i="9"/>
  <c r="AM237" i="9" s="1"/>
  <c r="AZ4" i="9"/>
  <c r="AU4" i="9"/>
  <c r="BA182" i="9" l="1"/>
  <c r="BF193" i="9"/>
  <c r="BG193" i="9" s="1"/>
  <c r="BF117" i="9"/>
  <c r="BL117" i="9" s="1"/>
  <c r="BF203" i="9"/>
  <c r="BL203" i="9" s="1"/>
  <c r="BF168" i="9"/>
  <c r="BG168" i="9" s="1"/>
  <c r="BF171" i="9"/>
  <c r="BL171" i="9" s="1"/>
  <c r="BA187" i="9"/>
  <c r="BA204" i="9"/>
  <c r="BF199" i="9"/>
  <c r="BL199" i="9" s="1"/>
  <c r="BF200" i="9"/>
  <c r="BG200" i="9" s="1"/>
  <c r="BA207" i="9"/>
  <c r="BA218" i="9"/>
  <c r="BF218" i="9"/>
  <c r="BA211" i="9"/>
  <c r="BF211" i="9"/>
  <c r="BA213" i="9"/>
  <c r="BF213" i="9"/>
  <c r="AZ110" i="9"/>
  <c r="BA110" i="9" s="1"/>
  <c r="BS221" i="9"/>
  <c r="BX221" i="9"/>
  <c r="BA208" i="9"/>
  <c r="BF208" i="9"/>
  <c r="BF158" i="9"/>
  <c r="BA158" i="9"/>
  <c r="AZ39" i="9"/>
  <c r="BF39" i="9" s="1"/>
  <c r="BA157" i="9"/>
  <c r="BF157" i="9"/>
  <c r="BA159" i="9"/>
  <c r="BF159" i="9"/>
  <c r="BF160" i="9"/>
  <c r="BA160" i="9"/>
  <c r="BL161" i="9"/>
  <c r="BG161" i="9"/>
  <c r="AZ82" i="9"/>
  <c r="AZ44" i="9"/>
  <c r="AZ8" i="9"/>
  <c r="AZ70" i="9"/>
  <c r="AZ7" i="9"/>
  <c r="AZ52" i="9"/>
  <c r="AZ71" i="9"/>
  <c r="AZ112" i="9"/>
  <c r="AZ109" i="9"/>
  <c r="AZ101" i="9"/>
  <c r="AZ147" i="9"/>
  <c r="AZ25" i="9"/>
  <c r="AZ13" i="9"/>
  <c r="AZ93" i="9"/>
  <c r="AZ97" i="9"/>
  <c r="AZ76" i="9"/>
  <c r="AZ18" i="9"/>
  <c r="AZ37" i="9"/>
  <c r="AZ136" i="9"/>
  <c r="AZ108" i="9"/>
  <c r="AZ47" i="9"/>
  <c r="AZ139" i="9"/>
  <c r="AZ98" i="9"/>
  <c r="AZ26" i="9"/>
  <c r="AZ151" i="9"/>
  <c r="AZ90" i="9"/>
  <c r="AZ29" i="9"/>
  <c r="AZ94" i="9"/>
  <c r="AZ155" i="9"/>
  <c r="AZ146" i="9"/>
  <c r="AZ63" i="9"/>
  <c r="AZ17" i="9"/>
  <c r="AZ135" i="9"/>
  <c r="AZ62" i="9"/>
  <c r="AZ81" i="9"/>
  <c r="AZ56" i="9"/>
  <c r="AZ85" i="9"/>
  <c r="AZ127" i="9"/>
  <c r="AZ33" i="9"/>
  <c r="AZ66" i="9"/>
  <c r="AZ130" i="9"/>
  <c r="AZ21" i="9"/>
  <c r="AZ34" i="9"/>
  <c r="AZ122" i="9"/>
  <c r="AZ53" i="9"/>
  <c r="AZ42" i="9"/>
  <c r="AZ131" i="9"/>
  <c r="AZ210" i="9"/>
  <c r="AZ174" i="9"/>
  <c r="AZ165" i="9"/>
  <c r="AZ115" i="9"/>
  <c r="AZ95" i="9"/>
  <c r="AZ79" i="9"/>
  <c r="AZ138" i="9"/>
  <c r="BF57" i="9"/>
  <c r="BA57" i="9"/>
  <c r="AZ24" i="9"/>
  <c r="AZ121" i="9"/>
  <c r="AZ20" i="9"/>
  <c r="AZ92" i="9"/>
  <c r="AZ129" i="9"/>
  <c r="AZ116" i="9"/>
  <c r="AZ87" i="9"/>
  <c r="AZ184" i="9"/>
  <c r="AZ22" i="9"/>
  <c r="AZ134" i="9"/>
  <c r="AZ84" i="9"/>
  <c r="AZ96" i="9"/>
  <c r="AZ153" i="9"/>
  <c r="AZ78" i="9"/>
  <c r="AZ152" i="9"/>
  <c r="AZ111" i="9"/>
  <c r="AZ150" i="9"/>
  <c r="AZ175" i="9"/>
  <c r="AZ162" i="9"/>
  <c r="AZ205" i="9"/>
  <c r="AZ206" i="9"/>
  <c r="AZ60" i="9"/>
  <c r="AZ196" i="9"/>
  <c r="BF196" i="9" s="1"/>
  <c r="AZ89" i="9"/>
  <c r="AZ123" i="9"/>
  <c r="AZ164" i="9"/>
  <c r="AZ142" i="9"/>
  <c r="AZ124" i="9"/>
  <c r="AZ198" i="9"/>
  <c r="AZ40" i="9"/>
  <c r="AZ126" i="9"/>
  <c r="AZ215" i="9"/>
  <c r="BA215" i="9" s="1"/>
  <c r="AZ100" i="9"/>
  <c r="AZ202" i="9"/>
  <c r="AZ192" i="9"/>
  <c r="AZ179" i="9"/>
  <c r="AZ166" i="9"/>
  <c r="AZ220" i="9"/>
  <c r="AZ36" i="9"/>
  <c r="AZ74" i="9"/>
  <c r="AZ55" i="9"/>
  <c r="AZ14" i="9"/>
  <c r="AZ30" i="9"/>
  <c r="AZ67" i="9"/>
  <c r="AZ113" i="9"/>
  <c r="AZ23" i="9"/>
  <c r="AZ48" i="9"/>
  <c r="AZ38" i="9"/>
  <c r="AZ46" i="9"/>
  <c r="AZ170" i="9"/>
  <c r="AZ86" i="9"/>
  <c r="AZ11" i="9"/>
  <c r="AZ102" i="9"/>
  <c r="AZ80" i="9"/>
  <c r="AZ6" i="9"/>
  <c r="AZ154" i="9"/>
  <c r="AZ59" i="9"/>
  <c r="AZ133" i="9"/>
  <c r="BA105" i="9"/>
  <c r="BF105" i="9"/>
  <c r="BG187" i="9"/>
  <c r="BL187" i="9"/>
  <c r="BG194" i="9"/>
  <c r="BL194" i="9"/>
  <c r="BA72" i="9"/>
  <c r="BF72" i="9"/>
  <c r="BA148" i="9"/>
  <c r="BF148" i="9"/>
  <c r="BG177" i="9"/>
  <c r="BL177" i="9"/>
  <c r="BF68" i="9"/>
  <c r="BA68" i="9"/>
  <c r="AZ31" i="9"/>
  <c r="BF216" i="9"/>
  <c r="AZ64" i="9"/>
  <c r="AZ88" i="9"/>
  <c r="AZ125" i="9"/>
  <c r="AZ45" i="9"/>
  <c r="AZ54" i="9"/>
  <c r="AZ32" i="9"/>
  <c r="BA219" i="9"/>
  <c r="BF219" i="9"/>
  <c r="BA128" i="9"/>
  <c r="BF128" i="9"/>
  <c r="AZ35" i="9"/>
  <c r="AZ15" i="9"/>
  <c r="BA190" i="9"/>
  <c r="BF190" i="9"/>
  <c r="BF209" i="9"/>
  <c r="BG181" i="9"/>
  <c r="BL181" i="9"/>
  <c r="BA169" i="9"/>
  <c r="BF169" i="9"/>
  <c r="BG119" i="9"/>
  <c r="BL119" i="9"/>
  <c r="BG156" i="9"/>
  <c r="BL156" i="9"/>
  <c r="BG186" i="9"/>
  <c r="BL186" i="9"/>
  <c r="BA91" i="9"/>
  <c r="BF91" i="9"/>
  <c r="BA185" i="9"/>
  <c r="BF185" i="9"/>
  <c r="BG182" i="9"/>
  <c r="BL182" i="9"/>
  <c r="BA176" i="9"/>
  <c r="BF176" i="9"/>
  <c r="BF83" i="9"/>
  <c r="BA83" i="9"/>
  <c r="BG163" i="9"/>
  <c r="BL163" i="9"/>
  <c r="BG199" i="9"/>
  <c r="BG167" i="9"/>
  <c r="BL167" i="9"/>
  <c r="BA144" i="9"/>
  <c r="BF144" i="9"/>
  <c r="BG207" i="9"/>
  <c r="BL207" i="9"/>
  <c r="AZ49" i="9"/>
  <c r="AZ69" i="9"/>
  <c r="AZ27" i="9"/>
  <c r="AZ19" i="9"/>
  <c r="BF28" i="9"/>
  <c r="BA28" i="9"/>
  <c r="AZ106" i="9"/>
  <c r="AZ145" i="9"/>
  <c r="BL168" i="9"/>
  <c r="BA178" i="9"/>
  <c r="BF178" i="9"/>
  <c r="BG204" i="9"/>
  <c r="BL204" i="9"/>
  <c r="BA201" i="9"/>
  <c r="BF201" i="9"/>
  <c r="AZ16" i="9"/>
  <c r="BA120" i="9"/>
  <c r="BF120" i="9"/>
  <c r="BG173" i="9"/>
  <c r="BL173" i="9"/>
  <c r="AZ137" i="9"/>
  <c r="AZ99" i="9"/>
  <c r="BF65" i="9"/>
  <c r="BA65" i="9"/>
  <c r="AZ9" i="9"/>
  <c r="AZ51" i="9"/>
  <c r="AO234" i="9"/>
  <c r="AS237" i="9" s="1"/>
  <c r="BA4" i="9"/>
  <c r="BF4" i="9"/>
  <c r="BG171" i="9" l="1"/>
  <c r="BG117" i="9"/>
  <c r="BL193" i="9"/>
  <c r="BM193" i="9" s="1"/>
  <c r="BL200" i="9"/>
  <c r="BG203" i="9"/>
  <c r="BF210" i="9"/>
  <c r="BA210" i="9"/>
  <c r="BG213" i="9"/>
  <c r="BL213" i="9"/>
  <c r="BG211" i="9"/>
  <c r="BL211" i="9"/>
  <c r="BG218" i="9"/>
  <c r="BL218" i="9"/>
  <c r="BF110" i="9"/>
  <c r="BG110" i="9" s="1"/>
  <c r="BA39" i="9"/>
  <c r="CD221" i="9"/>
  <c r="CE221" i="9" s="1"/>
  <c r="BY221" i="9"/>
  <c r="BL208" i="9"/>
  <c r="BG208" i="9"/>
  <c r="BG158" i="9"/>
  <c r="BL158" i="9"/>
  <c r="BG160" i="9"/>
  <c r="BL160" i="9"/>
  <c r="BG159" i="9"/>
  <c r="BL159" i="9"/>
  <c r="BG157" i="9"/>
  <c r="BL157" i="9"/>
  <c r="BM161" i="9"/>
  <c r="BR161" i="9"/>
  <c r="BF70" i="9"/>
  <c r="BA70" i="9"/>
  <c r="BF8" i="9"/>
  <c r="BA8" i="9"/>
  <c r="BF44" i="9"/>
  <c r="BA44" i="9"/>
  <c r="BF82" i="9"/>
  <c r="BA82" i="9"/>
  <c r="BF17" i="9"/>
  <c r="BA17" i="9"/>
  <c r="BF26" i="9"/>
  <c r="BA26" i="9"/>
  <c r="BA108" i="9"/>
  <c r="BF108" i="9"/>
  <c r="BA112" i="9"/>
  <c r="BF112" i="9"/>
  <c r="BA122" i="9"/>
  <c r="BF122" i="9"/>
  <c r="BA66" i="9"/>
  <c r="BF66" i="9"/>
  <c r="BA56" i="9"/>
  <c r="BF56" i="9"/>
  <c r="BA94" i="9"/>
  <c r="BF94" i="9"/>
  <c r="BA76" i="9"/>
  <c r="BF76" i="9"/>
  <c r="BF25" i="9"/>
  <c r="BA25" i="9"/>
  <c r="BF131" i="9"/>
  <c r="BA131" i="9"/>
  <c r="BF34" i="9"/>
  <c r="BA34" i="9"/>
  <c r="BF81" i="9"/>
  <c r="BA81" i="9"/>
  <c r="BA29" i="9"/>
  <c r="BF29" i="9"/>
  <c r="BA98" i="9"/>
  <c r="BF98" i="9"/>
  <c r="BF136" i="9"/>
  <c r="BA136" i="9"/>
  <c r="BA97" i="9"/>
  <c r="BF97" i="9"/>
  <c r="BF147" i="9"/>
  <c r="BA147" i="9"/>
  <c r="BF71" i="9"/>
  <c r="BA71" i="9"/>
  <c r="BF33" i="9"/>
  <c r="BA33" i="9"/>
  <c r="BF63" i="9"/>
  <c r="BA63" i="9"/>
  <c r="BA42" i="9"/>
  <c r="BF42" i="9"/>
  <c r="BA139" i="9"/>
  <c r="BF139" i="9"/>
  <c r="BA93" i="9"/>
  <c r="BF93" i="9"/>
  <c r="BA101" i="9"/>
  <c r="BF101" i="9"/>
  <c r="BF52" i="9"/>
  <c r="BA52" i="9"/>
  <c r="BA21" i="9"/>
  <c r="BF21" i="9"/>
  <c r="BA127" i="9"/>
  <c r="BF127" i="9"/>
  <c r="BF62" i="9"/>
  <c r="BA62" i="9"/>
  <c r="BA146" i="9"/>
  <c r="BF146" i="9"/>
  <c r="BF90" i="9"/>
  <c r="BA90" i="9"/>
  <c r="BF37" i="9"/>
  <c r="BA37" i="9"/>
  <c r="BA53" i="9"/>
  <c r="BF53" i="9"/>
  <c r="BF85" i="9"/>
  <c r="BA85" i="9"/>
  <c r="BA135" i="9"/>
  <c r="BF135" i="9"/>
  <c r="BF47" i="9"/>
  <c r="BA47" i="9"/>
  <c r="BA13" i="9"/>
  <c r="BF13" i="9"/>
  <c r="BA109" i="9"/>
  <c r="BF109" i="9"/>
  <c r="BF7" i="9"/>
  <c r="BA7" i="9"/>
  <c r="BA130" i="9"/>
  <c r="BF130" i="9"/>
  <c r="BA155" i="9"/>
  <c r="BF155" i="9"/>
  <c r="BA151" i="9"/>
  <c r="BF151" i="9"/>
  <c r="BF18" i="9"/>
  <c r="BA18" i="9"/>
  <c r="BA174" i="9"/>
  <c r="BF174" i="9"/>
  <c r="BA165" i="9"/>
  <c r="BF165" i="9"/>
  <c r="BA115" i="9"/>
  <c r="BF115" i="9"/>
  <c r="BA95" i="9"/>
  <c r="BF95" i="9"/>
  <c r="BA79" i="9"/>
  <c r="BF79" i="9"/>
  <c r="BA138" i="9"/>
  <c r="BF138" i="9"/>
  <c r="BG57" i="9"/>
  <c r="BL57" i="9"/>
  <c r="BF24" i="9"/>
  <c r="BA24" i="9"/>
  <c r="BA121" i="9"/>
  <c r="BF121" i="9"/>
  <c r="BF20" i="9"/>
  <c r="BA20" i="9"/>
  <c r="BA92" i="9"/>
  <c r="BF92" i="9"/>
  <c r="BA129" i="9"/>
  <c r="BF129" i="9"/>
  <c r="BA116" i="9"/>
  <c r="BF116" i="9"/>
  <c r="BA87" i="9"/>
  <c r="BF87" i="9"/>
  <c r="BF84" i="9"/>
  <c r="BA84" i="9"/>
  <c r="BA96" i="9"/>
  <c r="BF96" i="9"/>
  <c r="BF153" i="9"/>
  <c r="BA153" i="9"/>
  <c r="BA134" i="9"/>
  <c r="BF134" i="9"/>
  <c r="BA184" i="9"/>
  <c r="BF184" i="9"/>
  <c r="BA22" i="9"/>
  <c r="BF22" i="9"/>
  <c r="BA78" i="9"/>
  <c r="BF78" i="9"/>
  <c r="BF152" i="9"/>
  <c r="BA152" i="9"/>
  <c r="BA111" i="9"/>
  <c r="BF111" i="9"/>
  <c r="BA150" i="9"/>
  <c r="BF150" i="9"/>
  <c r="BA175" i="9"/>
  <c r="BF175" i="9"/>
  <c r="BG175" i="9" s="1"/>
  <c r="BA162" i="9"/>
  <c r="BF162" i="9"/>
  <c r="BA205" i="9"/>
  <c r="BF205" i="9"/>
  <c r="BA206" i="9"/>
  <c r="BF206" i="9"/>
  <c r="BL206" i="9" s="1"/>
  <c r="BA60" i="9"/>
  <c r="BF60" i="9"/>
  <c r="BA196" i="9"/>
  <c r="BA40" i="9"/>
  <c r="BF40" i="9"/>
  <c r="BF89" i="9"/>
  <c r="BA89" i="9"/>
  <c r="BF123" i="9"/>
  <c r="BA123" i="9"/>
  <c r="BF164" i="9"/>
  <c r="BA164" i="9"/>
  <c r="BF142" i="9"/>
  <c r="BA142" i="9"/>
  <c r="BA124" i="9"/>
  <c r="BF124" i="9"/>
  <c r="BA198" i="9"/>
  <c r="BF198" i="9"/>
  <c r="BG198" i="9" s="1"/>
  <c r="BF214" i="9"/>
  <c r="BF215" i="9"/>
  <c r="BA100" i="9"/>
  <c r="BF100" i="9"/>
  <c r="BA202" i="9"/>
  <c r="BF202" i="9"/>
  <c r="BA192" i="9"/>
  <c r="BF192" i="9"/>
  <c r="BA179" i="9"/>
  <c r="BF179" i="9"/>
  <c r="BA166" i="9"/>
  <c r="BF166" i="9"/>
  <c r="BF36" i="9"/>
  <c r="BA36" i="9"/>
  <c r="BA74" i="9"/>
  <c r="BF74" i="9"/>
  <c r="BF126" i="9"/>
  <c r="BA126" i="9"/>
  <c r="BA220" i="9"/>
  <c r="BF220" i="9"/>
  <c r="BF55" i="9"/>
  <c r="BA55" i="9"/>
  <c r="BA14" i="9"/>
  <c r="BF14" i="9"/>
  <c r="BF30" i="9"/>
  <c r="BA30" i="9"/>
  <c r="BF67" i="9"/>
  <c r="BA67" i="9"/>
  <c r="BF113" i="9"/>
  <c r="BA113" i="9"/>
  <c r="BF23" i="9"/>
  <c r="BA23" i="9"/>
  <c r="BF46" i="9"/>
  <c r="BA46" i="9"/>
  <c r="BA170" i="9"/>
  <c r="BF170" i="9"/>
  <c r="BF11" i="9"/>
  <c r="BA11" i="9"/>
  <c r="BF59" i="9"/>
  <c r="BA59" i="9"/>
  <c r="BF48" i="9"/>
  <c r="BA48" i="9"/>
  <c r="BF38" i="9"/>
  <c r="BA38" i="9"/>
  <c r="BA86" i="9"/>
  <c r="BF86" i="9"/>
  <c r="BF102" i="9"/>
  <c r="BA102" i="9"/>
  <c r="BF80" i="9"/>
  <c r="BA80" i="9"/>
  <c r="BF6" i="9"/>
  <c r="BA6" i="9"/>
  <c r="BA154" i="9"/>
  <c r="BF154" i="9"/>
  <c r="BA133" i="9"/>
  <c r="BF133" i="9"/>
  <c r="BG120" i="9"/>
  <c r="BL120" i="9"/>
  <c r="BM117" i="9"/>
  <c r="BR117" i="9"/>
  <c r="BX117" i="9" s="1"/>
  <c r="BY117" i="9" s="1"/>
  <c r="BA145" i="9"/>
  <c r="BF145" i="9"/>
  <c r="BA19" i="9"/>
  <c r="BF19" i="9"/>
  <c r="BM207" i="9"/>
  <c r="BR207" i="9"/>
  <c r="BX207" i="9" s="1"/>
  <c r="BY207" i="9" s="1"/>
  <c r="BM182" i="9"/>
  <c r="BR182" i="9"/>
  <c r="BX182" i="9" s="1"/>
  <c r="BY182" i="9" s="1"/>
  <c r="BM119" i="9"/>
  <c r="BR119" i="9"/>
  <c r="BM181" i="9"/>
  <c r="BR181" i="9"/>
  <c r="BG219" i="9"/>
  <c r="BL219" i="9"/>
  <c r="BF54" i="9"/>
  <c r="BA54" i="9"/>
  <c r="BF45" i="9"/>
  <c r="BA45" i="9"/>
  <c r="BF64" i="9"/>
  <c r="BA64" i="9"/>
  <c r="BG216" i="9"/>
  <c r="BL216" i="9"/>
  <c r="BM203" i="9"/>
  <c r="BR203" i="9"/>
  <c r="BX203" i="9" s="1"/>
  <c r="BY203" i="9" s="1"/>
  <c r="BG65" i="9"/>
  <c r="BL65" i="9"/>
  <c r="BA9" i="9"/>
  <c r="BF9" i="9"/>
  <c r="BA99" i="9"/>
  <c r="BF99" i="9"/>
  <c r="BF69" i="9"/>
  <c r="BA69" i="9"/>
  <c r="BG144" i="9"/>
  <c r="BL144" i="9"/>
  <c r="BM167" i="9"/>
  <c r="BR167" i="9"/>
  <c r="BM200" i="9"/>
  <c r="BR200" i="9"/>
  <c r="BG91" i="9"/>
  <c r="BL91" i="9"/>
  <c r="BM156" i="9"/>
  <c r="BR156" i="9"/>
  <c r="BF35" i="9"/>
  <c r="BA35" i="9"/>
  <c r="BA125" i="9"/>
  <c r="BF125" i="9"/>
  <c r="BM177" i="9"/>
  <c r="BR177" i="9"/>
  <c r="BG148" i="9"/>
  <c r="BL148" i="9"/>
  <c r="BM187" i="9"/>
  <c r="BR187" i="9"/>
  <c r="BX187" i="9" s="1"/>
  <c r="BY187" i="9" s="1"/>
  <c r="BF16" i="9"/>
  <c r="BA16" i="9"/>
  <c r="BG83" i="9"/>
  <c r="BL83" i="9"/>
  <c r="BG68" i="9"/>
  <c r="BL68" i="9"/>
  <c r="BA137" i="9"/>
  <c r="BF137" i="9"/>
  <c r="BG201" i="9"/>
  <c r="BL201" i="9"/>
  <c r="BG178" i="9"/>
  <c r="BL178" i="9"/>
  <c r="BA106" i="9"/>
  <c r="BF106" i="9"/>
  <c r="BF27" i="9"/>
  <c r="BA27" i="9"/>
  <c r="BF49" i="9"/>
  <c r="BA49" i="9"/>
  <c r="BM199" i="9"/>
  <c r="BR199" i="9"/>
  <c r="BX199" i="9" s="1"/>
  <c r="BY199" i="9" s="1"/>
  <c r="BG190" i="9"/>
  <c r="BL190" i="9"/>
  <c r="BG128" i="9"/>
  <c r="BL128" i="9"/>
  <c r="BF31" i="9"/>
  <c r="BA31" i="9"/>
  <c r="BG72" i="9"/>
  <c r="BL72" i="9"/>
  <c r="BF32" i="9"/>
  <c r="BA32" i="9"/>
  <c r="BF51" i="9"/>
  <c r="BA51" i="9"/>
  <c r="BR173" i="9"/>
  <c r="BM173" i="9"/>
  <c r="BR204" i="9"/>
  <c r="BX204" i="9" s="1"/>
  <c r="BY204" i="9" s="1"/>
  <c r="BM204" i="9"/>
  <c r="BM168" i="9"/>
  <c r="BR168" i="9"/>
  <c r="BM163" i="9"/>
  <c r="BR163" i="9"/>
  <c r="BG176" i="9"/>
  <c r="BL176" i="9"/>
  <c r="BG185" i="9"/>
  <c r="BL185" i="9"/>
  <c r="BM186" i="9"/>
  <c r="BR186" i="9"/>
  <c r="BX186" i="9" s="1"/>
  <c r="BY186" i="9" s="1"/>
  <c r="BG169" i="9"/>
  <c r="BL169" i="9"/>
  <c r="BG209" i="9"/>
  <c r="BL209" i="9"/>
  <c r="BA15" i="9"/>
  <c r="BF15" i="9"/>
  <c r="BM171" i="9"/>
  <c r="BR171" i="9"/>
  <c r="BX171" i="9" s="1"/>
  <c r="BY171" i="9" s="1"/>
  <c r="BA88" i="9"/>
  <c r="BF88" i="9"/>
  <c r="BR193" i="9"/>
  <c r="BX193" i="9" s="1"/>
  <c r="BY193" i="9" s="1"/>
  <c r="BR194" i="9"/>
  <c r="BX194" i="9" s="1"/>
  <c r="BY194" i="9" s="1"/>
  <c r="BM194" i="9"/>
  <c r="BG105" i="9"/>
  <c r="BL105" i="9"/>
  <c r="BG28" i="9"/>
  <c r="BL28" i="9"/>
  <c r="BG39" i="9"/>
  <c r="BL39" i="9"/>
  <c r="AU234" i="9"/>
  <c r="AY237" i="9" s="1"/>
  <c r="BL4" i="9"/>
  <c r="BG4" i="9"/>
  <c r="BL110" i="9" l="1"/>
  <c r="BM110" i="9" s="1"/>
  <c r="BM218" i="9"/>
  <c r="BR218" i="9"/>
  <c r="BR211" i="9"/>
  <c r="BM211" i="9"/>
  <c r="BM213" i="9"/>
  <c r="BR213" i="9"/>
  <c r="BL215" i="9"/>
  <c r="BM215" i="9" s="1"/>
  <c r="BG215" i="9"/>
  <c r="BL214" i="9"/>
  <c r="BG214" i="9"/>
  <c r="BG210" i="9"/>
  <c r="BL210" i="9"/>
  <c r="BL175" i="9"/>
  <c r="BR175" i="9" s="1"/>
  <c r="BR208" i="9"/>
  <c r="BM208" i="9"/>
  <c r="BR158" i="9"/>
  <c r="BM158" i="9"/>
  <c r="BR157" i="9"/>
  <c r="BM157" i="9"/>
  <c r="BM159" i="9"/>
  <c r="BR159" i="9"/>
  <c r="BR160" i="9"/>
  <c r="BM160" i="9"/>
  <c r="BX161" i="9"/>
  <c r="CD161" i="9" s="1"/>
  <c r="BS161" i="9"/>
  <c r="BG206" i="9"/>
  <c r="BL198" i="9"/>
  <c r="BR198" i="9" s="1"/>
  <c r="BG8" i="9"/>
  <c r="BL8" i="9"/>
  <c r="BG70" i="9"/>
  <c r="BL70" i="9"/>
  <c r="BG82" i="9"/>
  <c r="BL82" i="9"/>
  <c r="BG44" i="9"/>
  <c r="BL44" i="9"/>
  <c r="BG29" i="9"/>
  <c r="BL29" i="9"/>
  <c r="BG130" i="9"/>
  <c r="BL130" i="9"/>
  <c r="BG127" i="9"/>
  <c r="BL127" i="9"/>
  <c r="BL93" i="9"/>
  <c r="BG93" i="9"/>
  <c r="BG94" i="9"/>
  <c r="BL94" i="9"/>
  <c r="BG112" i="9"/>
  <c r="BL112" i="9"/>
  <c r="BL47" i="9"/>
  <c r="BG47" i="9"/>
  <c r="BG37" i="9"/>
  <c r="BL37" i="9"/>
  <c r="BG33" i="9"/>
  <c r="BL33" i="9"/>
  <c r="BG136" i="9"/>
  <c r="BL136" i="9"/>
  <c r="BG34" i="9"/>
  <c r="BL34" i="9"/>
  <c r="BG151" i="9"/>
  <c r="BL151" i="9"/>
  <c r="BG135" i="9"/>
  <c r="BL135" i="9"/>
  <c r="BG21" i="9"/>
  <c r="BL21" i="9"/>
  <c r="BG139" i="9"/>
  <c r="BL139" i="9"/>
  <c r="BG98" i="9"/>
  <c r="BL98" i="9"/>
  <c r="BG56" i="9"/>
  <c r="BL56" i="9"/>
  <c r="BG108" i="9"/>
  <c r="BL108" i="9"/>
  <c r="BG42" i="9"/>
  <c r="BL42" i="9"/>
  <c r="BG18" i="9"/>
  <c r="BL18" i="9"/>
  <c r="BG7" i="9"/>
  <c r="BL7" i="9"/>
  <c r="BG90" i="9"/>
  <c r="BL90" i="9"/>
  <c r="BG71" i="9"/>
  <c r="BL71" i="9"/>
  <c r="BG131" i="9"/>
  <c r="BL131" i="9"/>
  <c r="BG146" i="9"/>
  <c r="BL146" i="9"/>
  <c r="BG66" i="9"/>
  <c r="BL66" i="9"/>
  <c r="BG52" i="9"/>
  <c r="BL52" i="9"/>
  <c r="BG147" i="9"/>
  <c r="BL147" i="9"/>
  <c r="BG25" i="9"/>
  <c r="BL25" i="9"/>
  <c r="BG155" i="9"/>
  <c r="BL155" i="9"/>
  <c r="BG13" i="9"/>
  <c r="BL13" i="9"/>
  <c r="BG53" i="9"/>
  <c r="BL53" i="9"/>
  <c r="BG101" i="9"/>
  <c r="BL101" i="9"/>
  <c r="BG97" i="9"/>
  <c r="BL97" i="9"/>
  <c r="BG76" i="9"/>
  <c r="BL76" i="9"/>
  <c r="BG122" i="9"/>
  <c r="BL122" i="9"/>
  <c r="BG109" i="9"/>
  <c r="BL109" i="9"/>
  <c r="BG85" i="9"/>
  <c r="BL85" i="9"/>
  <c r="BL26" i="9"/>
  <c r="BG26" i="9"/>
  <c r="BG62" i="9"/>
  <c r="BL62" i="9"/>
  <c r="BG63" i="9"/>
  <c r="BL63" i="9"/>
  <c r="BG81" i="9"/>
  <c r="BL81" i="9"/>
  <c r="BG17" i="9"/>
  <c r="BL17" i="9"/>
  <c r="BG174" i="9"/>
  <c r="BL174" i="9"/>
  <c r="BM174" i="9" s="1"/>
  <c r="BG184" i="9"/>
  <c r="BL184" i="9"/>
  <c r="BG165" i="9"/>
  <c r="BL165" i="9"/>
  <c r="BG116" i="9"/>
  <c r="BL116" i="9"/>
  <c r="BG115" i="9"/>
  <c r="BL115" i="9"/>
  <c r="BG95" i="9"/>
  <c r="BL95" i="9"/>
  <c r="BG79" i="9"/>
  <c r="BL79" i="9"/>
  <c r="BG138" i="9"/>
  <c r="BL138" i="9"/>
  <c r="BM57" i="9"/>
  <c r="BR57" i="9"/>
  <c r="BG24" i="9"/>
  <c r="BL24" i="9"/>
  <c r="BL121" i="9"/>
  <c r="BG121" i="9"/>
  <c r="BG20" i="9"/>
  <c r="BL20" i="9"/>
  <c r="BG92" i="9"/>
  <c r="BL92" i="9"/>
  <c r="BG129" i="9"/>
  <c r="BL129" i="9"/>
  <c r="BG87" i="9"/>
  <c r="BL87" i="9"/>
  <c r="BG84" i="9"/>
  <c r="BL84" i="9"/>
  <c r="BG96" i="9"/>
  <c r="BL96" i="9"/>
  <c r="BG153" i="9"/>
  <c r="BL153" i="9"/>
  <c r="BG134" i="9"/>
  <c r="BL134" i="9"/>
  <c r="BG150" i="9"/>
  <c r="BL150" i="9"/>
  <c r="BM150" i="9" s="1"/>
  <c r="BL22" i="9"/>
  <c r="BG22" i="9"/>
  <c r="BG162" i="9"/>
  <c r="BL162" i="9"/>
  <c r="BL60" i="9"/>
  <c r="BG60" i="9"/>
  <c r="BG196" i="9"/>
  <c r="BL196" i="9"/>
  <c r="BG100" i="9"/>
  <c r="BL100" i="9"/>
  <c r="BG202" i="9"/>
  <c r="BL202" i="9"/>
  <c r="BL78" i="9"/>
  <c r="BG78" i="9"/>
  <c r="BG111" i="9"/>
  <c r="BL111" i="9"/>
  <c r="BG205" i="9"/>
  <c r="BL205" i="9"/>
  <c r="BL152" i="9"/>
  <c r="BG152" i="9"/>
  <c r="BG40" i="9"/>
  <c r="BL40" i="9"/>
  <c r="BG124" i="9"/>
  <c r="BL124" i="9"/>
  <c r="BG192" i="9"/>
  <c r="BL192" i="9"/>
  <c r="BG179" i="9"/>
  <c r="BL179" i="9"/>
  <c r="BL89" i="9"/>
  <c r="BG89" i="9"/>
  <c r="BL123" i="9"/>
  <c r="BG123" i="9"/>
  <c r="BL164" i="9"/>
  <c r="BG164" i="9"/>
  <c r="BL142" i="9"/>
  <c r="BG166" i="9"/>
  <c r="BL166" i="9"/>
  <c r="BG36" i="9"/>
  <c r="BL36" i="9"/>
  <c r="BG74" i="9"/>
  <c r="BL74" i="9"/>
  <c r="BL220" i="9"/>
  <c r="BG220" i="9"/>
  <c r="BL126" i="9"/>
  <c r="BG126" i="9"/>
  <c r="BG55" i="9"/>
  <c r="BL55" i="9"/>
  <c r="BG23" i="9"/>
  <c r="BL23" i="9"/>
  <c r="BG46" i="9"/>
  <c r="BL46" i="9"/>
  <c r="BG170" i="9"/>
  <c r="BL170" i="9"/>
  <c r="BL59" i="9"/>
  <c r="BG59" i="9"/>
  <c r="BG154" i="9"/>
  <c r="BL154" i="9"/>
  <c r="BL14" i="9"/>
  <c r="BG14" i="9"/>
  <c r="BL30" i="9"/>
  <c r="BG30" i="9"/>
  <c r="BL67" i="9"/>
  <c r="BG67" i="9"/>
  <c r="BL113" i="9"/>
  <c r="BG113" i="9"/>
  <c r="BG11" i="9"/>
  <c r="BL11" i="9"/>
  <c r="BG80" i="9"/>
  <c r="BL80" i="9"/>
  <c r="BG48" i="9"/>
  <c r="BL48" i="9"/>
  <c r="BL38" i="9"/>
  <c r="BG38" i="9"/>
  <c r="BS119" i="9"/>
  <c r="BX119" i="9"/>
  <c r="BY119" i="9" s="1"/>
  <c r="BS167" i="9"/>
  <c r="BX167" i="9"/>
  <c r="BY167" i="9" s="1"/>
  <c r="BS200" i="9"/>
  <c r="BX200" i="9"/>
  <c r="BY200" i="9" s="1"/>
  <c r="BS156" i="9"/>
  <c r="BX156" i="9"/>
  <c r="BY156" i="9" s="1"/>
  <c r="BS168" i="9"/>
  <c r="BX168" i="9"/>
  <c r="BY168" i="9" s="1"/>
  <c r="BS163" i="9"/>
  <c r="BX163" i="9"/>
  <c r="BY163" i="9" s="1"/>
  <c r="BS177" i="9"/>
  <c r="BX177" i="9"/>
  <c r="BY177" i="9" s="1"/>
  <c r="BL86" i="9"/>
  <c r="BG86" i="9"/>
  <c r="BG6" i="9"/>
  <c r="BL6" i="9"/>
  <c r="BS181" i="9"/>
  <c r="BX181" i="9"/>
  <c r="BY181" i="9" s="1"/>
  <c r="BL102" i="9"/>
  <c r="BG102" i="9"/>
  <c r="BS173" i="9"/>
  <c r="BX173" i="9"/>
  <c r="BY173" i="9" s="1"/>
  <c r="BL133" i="9"/>
  <c r="BG133" i="9"/>
  <c r="BM105" i="9"/>
  <c r="BR105" i="9"/>
  <c r="BG15" i="9"/>
  <c r="BL15" i="9"/>
  <c r="BM185" i="9"/>
  <c r="BR185" i="9"/>
  <c r="BM190" i="9"/>
  <c r="BR190" i="9"/>
  <c r="BS199" i="9"/>
  <c r="BG106" i="9"/>
  <c r="BL106" i="9"/>
  <c r="BM148" i="9"/>
  <c r="BR148" i="9"/>
  <c r="BM91" i="9"/>
  <c r="BR91" i="9"/>
  <c r="BS207" i="9"/>
  <c r="BG51" i="9"/>
  <c r="BL51" i="9"/>
  <c r="BG45" i="9"/>
  <c r="BL45" i="9"/>
  <c r="BM39" i="9"/>
  <c r="BR39" i="9"/>
  <c r="BS193" i="9"/>
  <c r="BM209" i="9"/>
  <c r="BR209" i="9"/>
  <c r="BS186" i="9"/>
  <c r="BM206" i="9"/>
  <c r="BR206" i="9"/>
  <c r="BX206" i="9" s="1"/>
  <c r="BY206" i="9" s="1"/>
  <c r="BM178" i="9"/>
  <c r="BR178" i="9"/>
  <c r="BX178" i="9" s="1"/>
  <c r="BY178" i="9" s="1"/>
  <c r="BG137" i="9"/>
  <c r="BL137" i="9"/>
  <c r="BG125" i="9"/>
  <c r="BL125" i="9"/>
  <c r="BM144" i="9"/>
  <c r="BR144" i="9"/>
  <c r="BM216" i="9"/>
  <c r="BR216" i="9"/>
  <c r="BX216" i="9" s="1"/>
  <c r="BY216" i="9" s="1"/>
  <c r="BS194" i="9"/>
  <c r="BS204" i="9"/>
  <c r="BG54" i="9"/>
  <c r="BL54" i="9"/>
  <c r="BM28" i="9"/>
  <c r="BR28" i="9"/>
  <c r="BG88" i="9"/>
  <c r="BL88" i="9"/>
  <c r="BS171" i="9"/>
  <c r="BM169" i="9"/>
  <c r="BR169" i="9"/>
  <c r="BX169" i="9" s="1"/>
  <c r="BY169" i="9" s="1"/>
  <c r="BM72" i="9"/>
  <c r="BR72" i="9"/>
  <c r="BX72" i="9" s="1"/>
  <c r="BY72" i="9" s="1"/>
  <c r="BM201" i="9"/>
  <c r="BR201" i="9"/>
  <c r="BM68" i="9"/>
  <c r="BR68" i="9"/>
  <c r="BG9" i="9"/>
  <c r="BL9" i="9"/>
  <c r="BM65" i="9"/>
  <c r="BR65" i="9"/>
  <c r="BX65" i="9" s="1"/>
  <c r="BY65" i="9" s="1"/>
  <c r="BG19" i="9"/>
  <c r="BL19" i="9"/>
  <c r="BS117" i="9"/>
  <c r="BG32" i="9"/>
  <c r="BL32" i="9"/>
  <c r="BG31" i="9"/>
  <c r="BL31" i="9"/>
  <c r="BG49" i="9"/>
  <c r="BL49" i="9"/>
  <c r="BG16" i="9"/>
  <c r="BL16" i="9"/>
  <c r="BG64" i="9"/>
  <c r="BL64" i="9"/>
  <c r="BM176" i="9"/>
  <c r="BR176" i="9"/>
  <c r="BX176" i="9" s="1"/>
  <c r="BY176" i="9" s="1"/>
  <c r="BM128" i="9"/>
  <c r="BR128" i="9"/>
  <c r="BM83" i="9"/>
  <c r="BR83" i="9"/>
  <c r="BS187" i="9"/>
  <c r="BG99" i="9"/>
  <c r="BL99" i="9"/>
  <c r="BS203" i="9"/>
  <c r="BM219" i="9"/>
  <c r="BR219" i="9"/>
  <c r="BX219" i="9" s="1"/>
  <c r="BY219" i="9" s="1"/>
  <c r="BS182" i="9"/>
  <c r="BG145" i="9"/>
  <c r="BL145" i="9"/>
  <c r="BM120" i="9"/>
  <c r="BR120" i="9"/>
  <c r="BG27" i="9"/>
  <c r="BL27" i="9"/>
  <c r="BG35" i="9"/>
  <c r="BL35" i="9"/>
  <c r="BG69" i="9"/>
  <c r="BL69" i="9"/>
  <c r="BA234" i="9"/>
  <c r="BE237" i="9" s="1"/>
  <c r="BR4" i="9"/>
  <c r="BM4" i="9"/>
  <c r="BR110" i="9" l="1"/>
  <c r="BX110" i="9" s="1"/>
  <c r="BY110" i="9" s="1"/>
  <c r="BX213" i="9"/>
  <c r="BS213" i="9"/>
  <c r="BR210" i="9"/>
  <c r="BM210" i="9"/>
  <c r="BX218" i="9"/>
  <c r="BS218" i="9"/>
  <c r="BS211" i="9"/>
  <c r="BX211" i="9"/>
  <c r="BM214" i="9"/>
  <c r="BR214" i="9"/>
  <c r="BM175" i="9"/>
  <c r="BX208" i="9"/>
  <c r="BS208" i="9"/>
  <c r="BS158" i="9"/>
  <c r="BX158" i="9"/>
  <c r="BS160" i="9"/>
  <c r="BX160" i="9"/>
  <c r="BS159" i="9"/>
  <c r="BX159" i="9"/>
  <c r="BS157" i="9"/>
  <c r="BX157" i="9"/>
  <c r="BM198" i="9"/>
  <c r="BR174" i="9"/>
  <c r="BS174" i="9" s="1"/>
  <c r="BM44" i="9"/>
  <c r="BR44" i="9"/>
  <c r="BR70" i="9"/>
  <c r="BM70" i="9"/>
  <c r="BR82" i="9"/>
  <c r="BM82" i="9"/>
  <c r="BM8" i="9"/>
  <c r="BR8" i="9"/>
  <c r="BM62" i="9"/>
  <c r="BR62" i="9"/>
  <c r="BM122" i="9"/>
  <c r="BR122" i="9"/>
  <c r="BM53" i="9"/>
  <c r="BR53" i="9"/>
  <c r="BM147" i="9"/>
  <c r="BR147" i="9"/>
  <c r="BM131" i="9"/>
  <c r="BR131" i="9"/>
  <c r="BM18" i="9"/>
  <c r="BR18" i="9"/>
  <c r="BR98" i="9"/>
  <c r="BM98" i="9"/>
  <c r="BM151" i="9"/>
  <c r="BR151" i="9"/>
  <c r="BM37" i="9"/>
  <c r="BR37" i="9"/>
  <c r="BM93" i="9"/>
  <c r="BR93" i="9"/>
  <c r="BM17" i="9"/>
  <c r="BR17" i="9"/>
  <c r="BM76" i="9"/>
  <c r="BR76" i="9"/>
  <c r="BM13" i="9"/>
  <c r="BR13" i="9"/>
  <c r="BM52" i="9"/>
  <c r="BR52" i="9"/>
  <c r="BM71" i="9"/>
  <c r="BR71" i="9"/>
  <c r="BR42" i="9"/>
  <c r="BM42" i="9"/>
  <c r="BM139" i="9"/>
  <c r="BR139" i="9"/>
  <c r="BM34" i="9"/>
  <c r="BR34" i="9"/>
  <c r="BM127" i="9"/>
  <c r="BR127" i="9"/>
  <c r="BR26" i="9"/>
  <c r="BM26" i="9"/>
  <c r="BM47" i="9"/>
  <c r="BR47" i="9"/>
  <c r="BM81" i="9"/>
  <c r="BR81" i="9"/>
  <c r="BM85" i="9"/>
  <c r="BR85" i="9"/>
  <c r="BR97" i="9"/>
  <c r="BM97" i="9"/>
  <c r="BM155" i="9"/>
  <c r="BR155" i="9"/>
  <c r="BR66" i="9"/>
  <c r="BM66" i="9"/>
  <c r="BM90" i="9"/>
  <c r="BR90" i="9"/>
  <c r="BM108" i="9"/>
  <c r="BR108" i="9"/>
  <c r="BM21" i="9"/>
  <c r="BR21" i="9"/>
  <c r="BM136" i="9"/>
  <c r="BR136" i="9"/>
  <c r="BM112" i="9"/>
  <c r="BR112" i="9"/>
  <c r="BM130" i="9"/>
  <c r="BR130" i="9"/>
  <c r="BM63" i="9"/>
  <c r="BR63" i="9"/>
  <c r="BR109" i="9"/>
  <c r="BM109" i="9"/>
  <c r="BM101" i="9"/>
  <c r="BR101" i="9"/>
  <c r="BM25" i="9"/>
  <c r="BR25" i="9"/>
  <c r="BM146" i="9"/>
  <c r="BR146" i="9"/>
  <c r="BM7" i="9"/>
  <c r="BR7" i="9"/>
  <c r="BM56" i="9"/>
  <c r="BR56" i="9"/>
  <c r="BM135" i="9"/>
  <c r="BR135" i="9"/>
  <c r="BM33" i="9"/>
  <c r="BR33" i="9"/>
  <c r="BM94" i="9"/>
  <c r="BR94" i="9"/>
  <c r="BM29" i="9"/>
  <c r="BR29" i="9"/>
  <c r="BM162" i="9"/>
  <c r="BR162" i="9"/>
  <c r="BM184" i="9"/>
  <c r="BR184" i="9"/>
  <c r="BM165" i="9"/>
  <c r="BR165" i="9"/>
  <c r="BR116" i="9"/>
  <c r="BM116" i="9"/>
  <c r="BR115" i="9"/>
  <c r="BM115" i="9"/>
  <c r="BR95" i="9"/>
  <c r="BM95" i="9"/>
  <c r="BM79" i="9"/>
  <c r="BR79" i="9"/>
  <c r="BM138" i="9"/>
  <c r="BR138" i="9"/>
  <c r="BS57" i="9"/>
  <c r="BX57" i="9"/>
  <c r="BR24" i="9"/>
  <c r="BM24" i="9"/>
  <c r="BM121" i="9"/>
  <c r="BR121" i="9"/>
  <c r="BR20" i="9"/>
  <c r="BM20" i="9"/>
  <c r="BM92" i="9"/>
  <c r="BR92" i="9"/>
  <c r="BR129" i="9"/>
  <c r="BM129" i="9"/>
  <c r="BM87" i="9"/>
  <c r="BR87" i="9"/>
  <c r="BM84" i="9"/>
  <c r="BR84" i="9"/>
  <c r="BM96" i="9"/>
  <c r="BR96" i="9"/>
  <c r="BR134" i="9"/>
  <c r="BM134" i="9"/>
  <c r="BR150" i="9"/>
  <c r="BS150" i="9" s="1"/>
  <c r="BM153" i="9"/>
  <c r="BR153" i="9"/>
  <c r="BM60" i="9"/>
  <c r="BR60" i="9"/>
  <c r="BR22" i="9"/>
  <c r="BM22" i="9"/>
  <c r="BM196" i="9"/>
  <c r="BR196" i="9"/>
  <c r="BS196" i="9" s="1"/>
  <c r="BM100" i="9"/>
  <c r="BR100" i="9"/>
  <c r="BM202" i="9"/>
  <c r="BR202" i="9"/>
  <c r="BM111" i="9"/>
  <c r="BR111" i="9"/>
  <c r="BM205" i="9"/>
  <c r="BR205" i="9"/>
  <c r="BX205" i="9" s="1"/>
  <c r="BY205" i="9" s="1"/>
  <c r="BR40" i="9"/>
  <c r="BM40" i="9"/>
  <c r="BM124" i="9"/>
  <c r="BR124" i="9"/>
  <c r="BR215" i="9"/>
  <c r="BX215" i="9" s="1"/>
  <c r="BY215" i="9" s="1"/>
  <c r="BM192" i="9"/>
  <c r="BR192" i="9"/>
  <c r="BM179" i="9"/>
  <c r="BR179" i="9"/>
  <c r="BR78" i="9"/>
  <c r="BM78" i="9"/>
  <c r="BR152" i="9"/>
  <c r="BM152" i="9"/>
  <c r="BR89" i="9"/>
  <c r="BM89" i="9"/>
  <c r="BM123" i="9"/>
  <c r="BR123" i="9"/>
  <c r="BM164" i="9"/>
  <c r="BR164" i="9"/>
  <c r="BM142" i="9"/>
  <c r="BR142" i="9"/>
  <c r="BR166" i="9"/>
  <c r="BM166" i="9"/>
  <c r="BM36" i="9"/>
  <c r="BR36" i="9"/>
  <c r="BM74" i="9"/>
  <c r="BR74" i="9"/>
  <c r="BR220" i="9"/>
  <c r="BM220" i="9"/>
  <c r="BR55" i="9"/>
  <c r="BM55" i="9"/>
  <c r="BR59" i="9"/>
  <c r="BM59" i="9"/>
  <c r="BR154" i="9"/>
  <c r="BM154" i="9"/>
  <c r="BR80" i="9"/>
  <c r="BM80" i="9"/>
  <c r="BM126" i="9"/>
  <c r="BR126" i="9"/>
  <c r="BM23" i="9"/>
  <c r="BR23" i="9"/>
  <c r="BR46" i="9"/>
  <c r="BM46" i="9"/>
  <c r="BM170" i="9"/>
  <c r="BR170" i="9"/>
  <c r="BR14" i="9"/>
  <c r="BM14" i="9"/>
  <c r="BR30" i="9"/>
  <c r="BM30" i="9"/>
  <c r="BM67" i="9"/>
  <c r="BR67" i="9"/>
  <c r="BR113" i="9"/>
  <c r="BM113" i="9"/>
  <c r="BM11" i="9"/>
  <c r="BR11" i="9"/>
  <c r="BM48" i="9"/>
  <c r="BR48" i="9"/>
  <c r="BR38" i="9"/>
  <c r="BM38" i="9"/>
  <c r="BS185" i="9"/>
  <c r="BX185" i="9"/>
  <c r="BY185" i="9" s="1"/>
  <c r="BS148" i="9"/>
  <c r="BX148" i="9"/>
  <c r="BY148" i="9" s="1"/>
  <c r="BS91" i="9"/>
  <c r="BX91" i="9"/>
  <c r="BY91" i="9" s="1"/>
  <c r="BS39" i="9"/>
  <c r="BX39" i="9"/>
  <c r="BY39" i="9" s="1"/>
  <c r="BS209" i="9"/>
  <c r="BX209" i="9"/>
  <c r="BY209" i="9" s="1"/>
  <c r="BS175" i="9"/>
  <c r="BX175" i="9"/>
  <c r="BY175" i="9" s="1"/>
  <c r="BS28" i="9"/>
  <c r="BX28" i="9"/>
  <c r="BY28" i="9" s="1"/>
  <c r="BS201" i="9"/>
  <c r="BX201" i="9"/>
  <c r="BY201" i="9" s="1"/>
  <c r="BS83" i="9"/>
  <c r="BX83" i="9"/>
  <c r="BY83" i="9" s="1"/>
  <c r="BS120" i="9"/>
  <c r="BX120" i="9"/>
  <c r="BY120" i="9" s="1"/>
  <c r="BR86" i="9"/>
  <c r="BM86" i="9"/>
  <c r="BM6" i="9"/>
  <c r="BR6" i="9"/>
  <c r="BS68" i="9"/>
  <c r="BX68" i="9"/>
  <c r="BY68" i="9" s="1"/>
  <c r="BM102" i="9"/>
  <c r="BR102" i="9"/>
  <c r="BS128" i="9"/>
  <c r="BX128" i="9"/>
  <c r="BY128" i="9" s="1"/>
  <c r="BS216" i="9"/>
  <c r="BS198" i="9"/>
  <c r="BX198" i="9"/>
  <c r="BY198" i="9" s="1"/>
  <c r="BS105" i="9"/>
  <c r="BX105" i="9"/>
  <c r="BY105" i="9" s="1"/>
  <c r="BS144" i="9"/>
  <c r="BX144" i="9"/>
  <c r="BY144" i="9" s="1"/>
  <c r="BM133" i="9"/>
  <c r="BR133" i="9"/>
  <c r="BS190" i="9"/>
  <c r="BX190" i="9"/>
  <c r="BY190" i="9" s="1"/>
  <c r="BR69" i="9"/>
  <c r="BX69" i="9" s="1"/>
  <c r="BY69" i="9" s="1"/>
  <c r="BM69" i="9"/>
  <c r="BM49" i="9"/>
  <c r="BR49" i="9"/>
  <c r="BX49" i="9" s="1"/>
  <c r="BY49" i="9" s="1"/>
  <c r="CD117" i="9"/>
  <c r="CE117" i="9" s="1"/>
  <c r="BR88" i="9"/>
  <c r="BM88" i="9"/>
  <c r="CD204" i="9"/>
  <c r="CE204" i="9" s="1"/>
  <c r="BM137" i="9"/>
  <c r="BR137" i="9"/>
  <c r="BM45" i="9"/>
  <c r="BR45" i="9"/>
  <c r="CD207" i="9"/>
  <c r="CE207" i="9" s="1"/>
  <c r="BM15" i="9"/>
  <c r="BR15" i="9"/>
  <c r="CD182" i="9"/>
  <c r="CE182" i="9" s="1"/>
  <c r="BM64" i="9"/>
  <c r="BR64" i="9"/>
  <c r="BX64" i="9" s="1"/>
  <c r="BY64" i="9" s="1"/>
  <c r="BM31" i="9"/>
  <c r="BR31" i="9"/>
  <c r="BM19" i="9"/>
  <c r="BR19" i="9"/>
  <c r="BM9" i="9"/>
  <c r="BR9" i="9"/>
  <c r="BX9" i="9" s="1"/>
  <c r="BY9" i="9" s="1"/>
  <c r="CD194" i="9"/>
  <c r="CE194" i="9" s="1"/>
  <c r="BS178" i="9"/>
  <c r="BS206" i="9"/>
  <c r="CD193" i="9"/>
  <c r="CE193" i="9" s="1"/>
  <c r="BR51" i="9"/>
  <c r="BX51" i="9" s="1"/>
  <c r="BY51" i="9" s="1"/>
  <c r="BM51" i="9"/>
  <c r="BR106" i="9"/>
  <c r="BX106" i="9" s="1"/>
  <c r="BY106" i="9" s="1"/>
  <c r="BM106" i="9"/>
  <c r="BM35" i="9"/>
  <c r="BR35" i="9"/>
  <c r="BS219" i="9"/>
  <c r="CD187" i="9"/>
  <c r="CE187" i="9" s="1"/>
  <c r="BR32" i="9"/>
  <c r="BM32" i="9"/>
  <c r="BS72" i="9"/>
  <c r="BS169" i="9"/>
  <c r="BM54" i="9"/>
  <c r="BR54" i="9"/>
  <c r="BX54" i="9" s="1"/>
  <c r="BY54" i="9" s="1"/>
  <c r="CD186" i="9"/>
  <c r="CE186" i="9" s="1"/>
  <c r="CD199" i="9"/>
  <c r="CE199" i="9" s="1"/>
  <c r="BM27" i="9"/>
  <c r="BR27" i="9"/>
  <c r="BR145" i="9"/>
  <c r="BX145" i="9" s="1"/>
  <c r="BY145" i="9" s="1"/>
  <c r="BM145" i="9"/>
  <c r="CD203" i="9"/>
  <c r="CE203" i="9" s="1"/>
  <c r="BM99" i="9"/>
  <c r="BR99" i="9"/>
  <c r="BS176" i="9"/>
  <c r="BM16" i="9"/>
  <c r="BR16" i="9"/>
  <c r="BX16" i="9" s="1"/>
  <c r="BY16" i="9" s="1"/>
  <c r="BS65" i="9"/>
  <c r="CD171" i="9"/>
  <c r="CE171" i="9" s="1"/>
  <c r="BR125" i="9"/>
  <c r="BX125" i="9" s="1"/>
  <c r="BY125" i="9" s="1"/>
  <c r="BM125" i="9"/>
  <c r="BG234" i="9"/>
  <c r="BK237" i="9" s="1"/>
  <c r="CD163" i="9"/>
  <c r="CE163" i="9" s="1"/>
  <c r="CD173" i="9"/>
  <c r="CE173" i="9" s="1"/>
  <c r="BX4" i="9"/>
  <c r="BY4" i="9" s="1"/>
  <c r="BS4" i="9"/>
  <c r="BS110" i="9" l="1"/>
  <c r="BY218" i="9"/>
  <c r="CD218" i="9"/>
  <c r="CE218" i="9" s="1"/>
  <c r="BY213" i="9"/>
  <c r="CD213" i="9"/>
  <c r="CE213" i="9" s="1"/>
  <c r="BY211" i="9"/>
  <c r="CD211" i="9"/>
  <c r="CE211" i="9" s="1"/>
  <c r="BS210" i="9"/>
  <c r="BX210" i="9"/>
  <c r="BS214" i="9"/>
  <c r="BX214" i="9"/>
  <c r="BY208" i="9"/>
  <c r="CD208" i="9"/>
  <c r="CE208" i="9" s="1"/>
  <c r="BY158" i="9"/>
  <c r="CD158" i="9"/>
  <c r="BY157" i="9"/>
  <c r="CD157" i="9"/>
  <c r="CD159" i="9"/>
  <c r="BY159" i="9"/>
  <c r="BY160" i="9"/>
  <c r="CD160" i="9"/>
  <c r="BX174" i="9"/>
  <c r="BY174" i="9" s="1"/>
  <c r="BX196" i="9"/>
  <c r="BY196" i="9" s="1"/>
  <c r="BS44" i="9"/>
  <c r="BX44" i="9"/>
  <c r="BY44" i="9" s="1"/>
  <c r="BX8" i="9"/>
  <c r="BY8" i="9" s="1"/>
  <c r="BS8" i="9"/>
  <c r="BX82" i="9"/>
  <c r="BY82" i="9" s="1"/>
  <c r="BS82" i="9"/>
  <c r="BS70" i="9"/>
  <c r="BX70" i="9"/>
  <c r="BY70" i="9" s="1"/>
  <c r="BS135" i="9"/>
  <c r="BX135" i="9"/>
  <c r="BY135" i="9" s="1"/>
  <c r="BS25" i="9"/>
  <c r="BX25" i="9"/>
  <c r="BS130" i="9"/>
  <c r="BX130" i="9"/>
  <c r="BY130" i="9" s="1"/>
  <c r="BS108" i="9"/>
  <c r="BX108" i="9"/>
  <c r="BY108" i="9" s="1"/>
  <c r="BS76" i="9"/>
  <c r="BX76" i="9"/>
  <c r="BY76" i="9" s="1"/>
  <c r="BS151" i="9"/>
  <c r="BX151" i="9"/>
  <c r="BY151" i="9" s="1"/>
  <c r="BS147" i="9"/>
  <c r="BX147" i="9"/>
  <c r="BY147" i="9" s="1"/>
  <c r="BS97" i="9"/>
  <c r="BX97" i="9"/>
  <c r="BY97" i="9" s="1"/>
  <c r="BS42" i="9"/>
  <c r="BX42" i="9"/>
  <c r="BS29" i="9"/>
  <c r="BX29" i="9"/>
  <c r="BX56" i="9"/>
  <c r="BS56" i="9"/>
  <c r="BX101" i="9"/>
  <c r="BS101" i="9"/>
  <c r="BX112" i="9"/>
  <c r="BY112" i="9" s="1"/>
  <c r="BS112" i="9"/>
  <c r="BX90" i="9"/>
  <c r="BS90" i="9"/>
  <c r="BS85" i="9"/>
  <c r="BX85" i="9"/>
  <c r="BY85" i="9" s="1"/>
  <c r="BS127" i="9"/>
  <c r="BX127" i="9"/>
  <c r="BY127" i="9" s="1"/>
  <c r="BS71" i="9"/>
  <c r="BX71" i="9"/>
  <c r="BS17" i="9"/>
  <c r="BX17" i="9"/>
  <c r="BY17" i="9" s="1"/>
  <c r="BS53" i="9"/>
  <c r="BX53" i="9"/>
  <c r="BS26" i="9"/>
  <c r="BX26" i="9"/>
  <c r="BY26" i="9" s="1"/>
  <c r="BS98" i="9"/>
  <c r="BX98" i="9"/>
  <c r="BS94" i="9"/>
  <c r="BX94" i="9"/>
  <c r="BY94" i="9" s="1"/>
  <c r="BX7" i="9"/>
  <c r="BS7" i="9"/>
  <c r="BX136" i="9"/>
  <c r="BS136" i="9"/>
  <c r="BX81" i="9"/>
  <c r="BS81" i="9"/>
  <c r="BS34" i="9"/>
  <c r="BX34" i="9"/>
  <c r="BY34" i="9" s="1"/>
  <c r="BX52" i="9"/>
  <c r="BS52" i="9"/>
  <c r="BS93" i="9"/>
  <c r="BX93" i="9"/>
  <c r="BY93" i="9" s="1"/>
  <c r="BS18" i="9"/>
  <c r="BX18" i="9"/>
  <c r="BS122" i="9"/>
  <c r="BX122" i="9"/>
  <c r="BY122" i="9" s="1"/>
  <c r="BS109" i="9"/>
  <c r="BX109" i="9"/>
  <c r="BY109" i="9" s="1"/>
  <c r="BS66" i="9"/>
  <c r="BX66" i="9"/>
  <c r="BY66" i="9" s="1"/>
  <c r="BS33" i="9"/>
  <c r="BX33" i="9"/>
  <c r="BS146" i="9"/>
  <c r="BX146" i="9"/>
  <c r="BY146" i="9" s="1"/>
  <c r="BS63" i="9"/>
  <c r="BX63" i="9"/>
  <c r="BS21" i="9"/>
  <c r="BX21" i="9"/>
  <c r="BS155" i="9"/>
  <c r="BX155" i="9"/>
  <c r="BY155" i="9" s="1"/>
  <c r="BX47" i="9"/>
  <c r="BS47" i="9"/>
  <c r="BX139" i="9"/>
  <c r="BS139" i="9"/>
  <c r="BS13" i="9"/>
  <c r="BX13" i="9"/>
  <c r="BX37" i="9"/>
  <c r="BY37" i="9" s="1"/>
  <c r="BS37" i="9"/>
  <c r="BS131" i="9"/>
  <c r="BX131" i="9"/>
  <c r="BY131" i="9" s="1"/>
  <c r="BS62" i="9"/>
  <c r="BX62" i="9"/>
  <c r="BY62" i="9" s="1"/>
  <c r="BS202" i="9"/>
  <c r="BX202" i="9"/>
  <c r="BY202" i="9" s="1"/>
  <c r="BS162" i="9"/>
  <c r="BX162" i="9"/>
  <c r="BY162" i="9" s="1"/>
  <c r="BS116" i="9"/>
  <c r="BX116" i="9"/>
  <c r="BY116" i="9" s="1"/>
  <c r="BS138" i="9"/>
  <c r="BX138" i="9"/>
  <c r="BY138" i="9" s="1"/>
  <c r="BX184" i="9"/>
  <c r="BY184" i="9" s="1"/>
  <c r="BS184" i="9"/>
  <c r="BS165" i="9"/>
  <c r="BX165" i="9"/>
  <c r="BY165" i="9" s="1"/>
  <c r="BS115" i="9"/>
  <c r="BX115" i="9"/>
  <c r="BS95" i="9"/>
  <c r="BX95" i="9"/>
  <c r="BX79" i="9"/>
  <c r="BS79" i="9"/>
  <c r="BY57" i="9"/>
  <c r="CD57" i="9"/>
  <c r="CE57" i="9" s="1"/>
  <c r="BS24" i="9"/>
  <c r="BX24" i="9"/>
  <c r="BY24" i="9" s="1"/>
  <c r="BS121" i="9"/>
  <c r="BX121" i="9"/>
  <c r="BY121" i="9" s="1"/>
  <c r="BS20" i="9"/>
  <c r="BX20" i="9"/>
  <c r="BS92" i="9"/>
  <c r="BX92" i="9"/>
  <c r="BX129" i="9"/>
  <c r="BS129" i="9"/>
  <c r="BX87" i="9"/>
  <c r="BS87" i="9"/>
  <c r="BS84" i="9"/>
  <c r="BX84" i="9"/>
  <c r="BY84" i="9" s="1"/>
  <c r="BS96" i="9"/>
  <c r="BX96" i="9"/>
  <c r="BS134" i="9"/>
  <c r="BX134" i="9"/>
  <c r="BY134" i="9" s="1"/>
  <c r="BX153" i="9"/>
  <c r="BS153" i="9"/>
  <c r="BS100" i="9"/>
  <c r="BX100" i="9"/>
  <c r="BS40" i="9"/>
  <c r="BX40" i="9"/>
  <c r="BY40" i="9" s="1"/>
  <c r="BS111" i="9"/>
  <c r="BX111" i="9"/>
  <c r="BS205" i="9"/>
  <c r="BX150" i="9"/>
  <c r="BY150" i="9" s="1"/>
  <c r="BX124" i="9"/>
  <c r="BS124" i="9"/>
  <c r="BX60" i="9"/>
  <c r="BS60" i="9"/>
  <c r="BX22" i="9"/>
  <c r="BS22" i="9"/>
  <c r="BS215" i="9"/>
  <c r="BX192" i="9"/>
  <c r="BS192" i="9"/>
  <c r="BX179" i="9"/>
  <c r="BY179" i="9" s="1"/>
  <c r="BS179" i="9"/>
  <c r="BX78" i="9"/>
  <c r="BY78" i="9" s="1"/>
  <c r="BS78" i="9"/>
  <c r="BS166" i="9"/>
  <c r="BX166" i="9"/>
  <c r="BX36" i="9"/>
  <c r="BY36" i="9" s="1"/>
  <c r="BS36" i="9"/>
  <c r="BS74" i="9"/>
  <c r="BX74" i="9"/>
  <c r="BY74" i="9" s="1"/>
  <c r="BX55" i="9"/>
  <c r="BY55" i="9" s="1"/>
  <c r="BS55" i="9"/>
  <c r="BX59" i="9"/>
  <c r="BS59" i="9"/>
  <c r="BS154" i="9"/>
  <c r="BX154" i="9"/>
  <c r="BX80" i="9"/>
  <c r="BY80" i="9" s="1"/>
  <c r="BS80" i="9"/>
  <c r="BS152" i="9"/>
  <c r="BX152" i="9"/>
  <c r="BS46" i="9"/>
  <c r="BX46" i="9"/>
  <c r="BX89" i="9"/>
  <c r="BS89" i="9"/>
  <c r="BX123" i="9"/>
  <c r="BS123" i="9"/>
  <c r="BX164" i="9"/>
  <c r="BY164" i="9" s="1"/>
  <c r="BS164" i="9"/>
  <c r="BS142" i="9"/>
  <c r="BX142" i="9"/>
  <c r="BX220" i="9"/>
  <c r="BS220" i="9"/>
  <c r="BS126" i="9"/>
  <c r="BX126" i="9"/>
  <c r="BY126" i="9" s="1"/>
  <c r="BS23" i="9"/>
  <c r="BX23" i="9"/>
  <c r="BY23" i="9" s="1"/>
  <c r="BX170" i="9"/>
  <c r="BS170" i="9"/>
  <c r="BX11" i="9"/>
  <c r="BS11" i="9"/>
  <c r="BX14" i="9"/>
  <c r="BS14" i="9"/>
  <c r="BX30" i="9"/>
  <c r="BS30" i="9"/>
  <c r="BS67" i="9"/>
  <c r="BX67" i="9"/>
  <c r="BS113" i="9"/>
  <c r="BX113" i="9"/>
  <c r="BX48" i="9"/>
  <c r="BY48" i="9" s="1"/>
  <c r="BS48" i="9"/>
  <c r="BX38" i="9"/>
  <c r="BS38" i="9"/>
  <c r="BS88" i="9"/>
  <c r="BX88" i="9"/>
  <c r="BS137" i="9"/>
  <c r="BX137" i="9"/>
  <c r="BS45" i="9"/>
  <c r="BX45" i="9"/>
  <c r="BS31" i="9"/>
  <c r="BX31" i="9"/>
  <c r="BY31" i="9" s="1"/>
  <c r="BS19" i="9"/>
  <c r="BX19" i="9"/>
  <c r="BY19" i="9" s="1"/>
  <c r="BS32" i="9"/>
  <c r="BX32" i="9"/>
  <c r="BY32" i="9" s="1"/>
  <c r="BS27" i="9"/>
  <c r="BX27" i="9"/>
  <c r="BS99" i="9"/>
  <c r="BX99" i="9"/>
  <c r="BY99" i="9" s="1"/>
  <c r="BX86" i="9"/>
  <c r="BS86" i="9"/>
  <c r="BX6" i="9"/>
  <c r="BS6" i="9"/>
  <c r="BS102" i="9"/>
  <c r="BX102" i="9"/>
  <c r="BS15" i="9"/>
  <c r="BX15" i="9"/>
  <c r="BS35" i="9"/>
  <c r="BX35" i="9"/>
  <c r="BX133" i="9"/>
  <c r="BS133" i="9"/>
  <c r="BS54" i="9"/>
  <c r="CD219" i="9"/>
  <c r="CE219" i="9" s="1"/>
  <c r="CD206" i="9"/>
  <c r="CE206" i="9" s="1"/>
  <c r="BS9" i="9"/>
  <c r="CD176" i="9"/>
  <c r="CE176" i="9" s="1"/>
  <c r="CD169" i="9"/>
  <c r="CE169" i="9" s="1"/>
  <c r="CD205" i="9"/>
  <c r="CE205" i="9" s="1"/>
  <c r="CD178" i="9"/>
  <c r="CE178" i="9" s="1"/>
  <c r="BS125" i="9"/>
  <c r="BS145" i="9"/>
  <c r="CD65" i="9"/>
  <c r="CE65" i="9" s="1"/>
  <c r="CD72" i="9"/>
  <c r="CE72" i="9" s="1"/>
  <c r="BS49" i="9"/>
  <c r="BS51" i="9"/>
  <c r="BS16" i="9"/>
  <c r="CD110" i="9"/>
  <c r="CE110" i="9" s="1"/>
  <c r="BS64" i="9"/>
  <c r="BS106" i="9"/>
  <c r="BS69" i="9"/>
  <c r="CD175" i="9"/>
  <c r="CE175" i="9" s="1"/>
  <c r="BM234" i="9"/>
  <c r="BQ237" i="9" s="1"/>
  <c r="CD181" i="9"/>
  <c r="CE181" i="9" s="1"/>
  <c r="CD177" i="9"/>
  <c r="CE177" i="9" s="1"/>
  <c r="CD119" i="9"/>
  <c r="CE119" i="9" s="1"/>
  <c r="CD91" i="9"/>
  <c r="CE91" i="9" s="1"/>
  <c r="CD200" i="9"/>
  <c r="CE200" i="9" s="1"/>
  <c r="CD209" i="9"/>
  <c r="CE209" i="9" s="1"/>
  <c r="CD68" i="9"/>
  <c r="CE68" i="9" s="1"/>
  <c r="CD201" i="9"/>
  <c r="CE201" i="9" s="1"/>
  <c r="CD39" i="9"/>
  <c r="CE39" i="9" s="1"/>
  <c r="CD216" i="9"/>
  <c r="CE216" i="9" s="1"/>
  <c r="CD167" i="9"/>
  <c r="CE167" i="9" s="1"/>
  <c r="CD28" i="9"/>
  <c r="CE28" i="9" s="1"/>
  <c r="CD148" i="9"/>
  <c r="CE148" i="9" s="1"/>
  <c r="CD83" i="9"/>
  <c r="CE83" i="9" s="1"/>
  <c r="CD156" i="9"/>
  <c r="CE156" i="9" s="1"/>
  <c r="CD190" i="9"/>
  <c r="CE190" i="9" s="1"/>
  <c r="CD210" i="9" l="1"/>
  <c r="CE210" i="9" s="1"/>
  <c r="BY210" i="9"/>
  <c r="BY214" i="9"/>
  <c r="CD214" i="9"/>
  <c r="CE214" i="9" s="1"/>
  <c r="CD82" i="9"/>
  <c r="CE82" i="9" s="1"/>
  <c r="CD151" i="9"/>
  <c r="CE151" i="9" s="1"/>
  <c r="CD202" i="9"/>
  <c r="CE202" i="9" s="1"/>
  <c r="CD184" i="9"/>
  <c r="CE184" i="9" s="1"/>
  <c r="CD37" i="9"/>
  <c r="CE37" i="9" s="1"/>
  <c r="CD131" i="9"/>
  <c r="CE131" i="9" s="1"/>
  <c r="CD93" i="9"/>
  <c r="CE93" i="9" s="1"/>
  <c r="CD44" i="9"/>
  <c r="CE44" i="9" s="1"/>
  <c r="CD162" i="9"/>
  <c r="CE162" i="9" s="1"/>
  <c r="CD76" i="9"/>
  <c r="CE76" i="9" s="1"/>
  <c r="CD85" i="9"/>
  <c r="CE85" i="9" s="1"/>
  <c r="BY13" i="9"/>
  <c r="CD13" i="9"/>
  <c r="CE13" i="9" s="1"/>
  <c r="BY21" i="9"/>
  <c r="CD21" i="9"/>
  <c r="CE21" i="9" s="1"/>
  <c r="BY63" i="9"/>
  <c r="CD63" i="9"/>
  <c r="CE63" i="9" s="1"/>
  <c r="CD53" i="9"/>
  <c r="CE53" i="9" s="1"/>
  <c r="BY53" i="9"/>
  <c r="BY139" i="9"/>
  <c r="CD139" i="9"/>
  <c r="CE139" i="9" s="1"/>
  <c r="BY52" i="9"/>
  <c r="CD52" i="9"/>
  <c r="CE52" i="9" s="1"/>
  <c r="BY7" i="9"/>
  <c r="CD7" i="9"/>
  <c r="CE7" i="9" s="1"/>
  <c r="BY56" i="9"/>
  <c r="CD56" i="9"/>
  <c r="CE56" i="9" s="1"/>
  <c r="BY29" i="9"/>
  <c r="CD29" i="9"/>
  <c r="CE29" i="9" s="1"/>
  <c r="BY25" i="9"/>
  <c r="CD25" i="9"/>
  <c r="CE25" i="9" s="1"/>
  <c r="BY101" i="9"/>
  <c r="CD101" i="9"/>
  <c r="CE101" i="9" s="1"/>
  <c r="BY47" i="9"/>
  <c r="CD47" i="9"/>
  <c r="CE47" i="9" s="1"/>
  <c r="BY90" i="9"/>
  <c r="CD90" i="9"/>
  <c r="CE90" i="9" s="1"/>
  <c r="BY136" i="9"/>
  <c r="CD136" i="9"/>
  <c r="CE136" i="9" s="1"/>
  <c r="BY33" i="9"/>
  <c r="CD33" i="9"/>
  <c r="CE33" i="9" s="1"/>
  <c r="BY18" i="9"/>
  <c r="CD18" i="9"/>
  <c r="CE18" i="9" s="1"/>
  <c r="BY98" i="9"/>
  <c r="CD98" i="9"/>
  <c r="CE98" i="9" s="1"/>
  <c r="BY71" i="9"/>
  <c r="CD71" i="9"/>
  <c r="CE71" i="9" s="1"/>
  <c r="BY42" i="9"/>
  <c r="CD42" i="9"/>
  <c r="CE42" i="9" s="1"/>
  <c r="CD62" i="9"/>
  <c r="CE62" i="9" s="1"/>
  <c r="CD26" i="9"/>
  <c r="CE26" i="9" s="1"/>
  <c r="CD179" i="9"/>
  <c r="CE179" i="9" s="1"/>
  <c r="BY81" i="9"/>
  <c r="CD81" i="9"/>
  <c r="CE81" i="9" s="1"/>
  <c r="CD138" i="9"/>
  <c r="CE138" i="9" s="1"/>
  <c r="BY192" i="9"/>
  <c r="CD192" i="9"/>
  <c r="CE192" i="9" s="1"/>
  <c r="BY115" i="9"/>
  <c r="CD115" i="9"/>
  <c r="CE115" i="9" s="1"/>
  <c r="CD215" i="9"/>
  <c r="CE215" i="9" s="1"/>
  <c r="BY20" i="9"/>
  <c r="CD20" i="9"/>
  <c r="CE20" i="9" s="1"/>
  <c r="BY79" i="9"/>
  <c r="CD79" i="9"/>
  <c r="CE79" i="9" s="1"/>
  <c r="BY129" i="9"/>
  <c r="CD129" i="9"/>
  <c r="CE129" i="9" s="1"/>
  <c r="BY87" i="9"/>
  <c r="CD87" i="9"/>
  <c r="CE87" i="9" s="1"/>
  <c r="BY153" i="9"/>
  <c r="CD153" i="9"/>
  <c r="CE153" i="9" s="1"/>
  <c r="BY100" i="9"/>
  <c r="CD100" i="9"/>
  <c r="CE100" i="9" s="1"/>
  <c r="BY111" i="9"/>
  <c r="CD111" i="9"/>
  <c r="CE111" i="9" s="1"/>
  <c r="BY124" i="9"/>
  <c r="CD124" i="9"/>
  <c r="CE124" i="9" s="1"/>
  <c r="BY60" i="9"/>
  <c r="CD60" i="9"/>
  <c r="CE60" i="9" s="1"/>
  <c r="BY59" i="9"/>
  <c r="CD59" i="9"/>
  <c r="CE59" i="9" s="1"/>
  <c r="BY95" i="9"/>
  <c r="CD95" i="9"/>
  <c r="CE95" i="9" s="1"/>
  <c r="BY92" i="9"/>
  <c r="CD92" i="9"/>
  <c r="CE92" i="9" s="1"/>
  <c r="BY96" i="9"/>
  <c r="CD96" i="9"/>
  <c r="CE96" i="9" s="1"/>
  <c r="BY22" i="9"/>
  <c r="CD22" i="9"/>
  <c r="CE22" i="9" s="1"/>
  <c r="BY46" i="9"/>
  <c r="CD46" i="9"/>
  <c r="CE46" i="9" s="1"/>
  <c r="CD55" i="9"/>
  <c r="CE55" i="9" s="1"/>
  <c r="CD78" i="9"/>
  <c r="CE78" i="9" s="1"/>
  <c r="CD80" i="9"/>
  <c r="CE80" i="9" s="1"/>
  <c r="BY220" i="9"/>
  <c r="CD220" i="9"/>
  <c r="CE220" i="9" s="1"/>
  <c r="BY166" i="9"/>
  <c r="CD166" i="9"/>
  <c r="CE166" i="9" s="1"/>
  <c r="BY154" i="9"/>
  <c r="CD154" i="9"/>
  <c r="CE154" i="9" s="1"/>
  <c r="CD152" i="9"/>
  <c r="CE152" i="9" s="1"/>
  <c r="BY152" i="9"/>
  <c r="CD89" i="9"/>
  <c r="CE89" i="9" s="1"/>
  <c r="BY89" i="9"/>
  <c r="CD142" i="9"/>
  <c r="CE142" i="9" s="1"/>
  <c r="BY142" i="9"/>
  <c r="BY123" i="9"/>
  <c r="CD123" i="9"/>
  <c r="CE123" i="9" s="1"/>
  <c r="BY170" i="9"/>
  <c r="CD170" i="9"/>
  <c r="CE170" i="9" s="1"/>
  <c r="BY11" i="9"/>
  <c r="CD11" i="9"/>
  <c r="CE11" i="9" s="1"/>
  <c r="BY27" i="9"/>
  <c r="CD27" i="9"/>
  <c r="CE27" i="9" s="1"/>
  <c r="BY133" i="9"/>
  <c r="CD133" i="9"/>
  <c r="CE133" i="9" s="1"/>
  <c r="BY6" i="9"/>
  <c r="CD6" i="9"/>
  <c r="CE6" i="9" s="1"/>
  <c r="BY45" i="9"/>
  <c r="CD45" i="9"/>
  <c r="CE45" i="9" s="1"/>
  <c r="CD14" i="9"/>
  <c r="CE14" i="9" s="1"/>
  <c r="BY14" i="9"/>
  <c r="BY30" i="9"/>
  <c r="CD30" i="9"/>
  <c r="CE30" i="9" s="1"/>
  <c r="BY67" i="9"/>
  <c r="CD67" i="9"/>
  <c r="CE67" i="9" s="1"/>
  <c r="BY38" i="9"/>
  <c r="CD38" i="9"/>
  <c r="CE38" i="9" s="1"/>
  <c r="CD113" i="9"/>
  <c r="CE113" i="9" s="1"/>
  <c r="BY113" i="9"/>
  <c r="BY88" i="9"/>
  <c r="CD88" i="9"/>
  <c r="CE88" i="9" s="1"/>
  <c r="BY137" i="9"/>
  <c r="CD137" i="9"/>
  <c r="CE137" i="9" s="1"/>
  <c r="BY35" i="9"/>
  <c r="CD35" i="9"/>
  <c r="CE35" i="9" s="1"/>
  <c r="CD86" i="9"/>
  <c r="CE86" i="9" s="1"/>
  <c r="BY86" i="9"/>
  <c r="CD102" i="9"/>
  <c r="CE102" i="9" s="1"/>
  <c r="BY102" i="9"/>
  <c r="BY15" i="9"/>
  <c r="CD15" i="9"/>
  <c r="CE15" i="9" s="1"/>
  <c r="CD145" i="9"/>
  <c r="CE145" i="9" s="1"/>
  <c r="CD69" i="9"/>
  <c r="CE69" i="9" s="1"/>
  <c r="CD64" i="9"/>
  <c r="CE64" i="9" s="1"/>
  <c r="CD51" i="9"/>
  <c r="CE51" i="9" s="1"/>
  <c r="CD125" i="9"/>
  <c r="CE125" i="9" s="1"/>
  <c r="CD9" i="9"/>
  <c r="CE9" i="9" s="1"/>
  <c r="CD54" i="9"/>
  <c r="CE54" i="9" s="1"/>
  <c r="CD106" i="9"/>
  <c r="CE106" i="9" s="1"/>
  <c r="CD49" i="9"/>
  <c r="CE49" i="9" s="1"/>
  <c r="CD16" i="9"/>
  <c r="CE16" i="9" s="1"/>
  <c r="CD48" i="9"/>
  <c r="CE48" i="9" s="1"/>
  <c r="CD66" i="9"/>
  <c r="CE66" i="9" s="1"/>
  <c r="CD34" i="9"/>
  <c r="CE34" i="9" s="1"/>
  <c r="CD128" i="9"/>
  <c r="CE128" i="9" s="1"/>
  <c r="CD19" i="9"/>
  <c r="CE19" i="9" s="1"/>
  <c r="CD198" i="9"/>
  <c r="CE198" i="9" s="1"/>
  <c r="BS234" i="9"/>
  <c r="BW237" i="9" s="1"/>
  <c r="CD8" i="9"/>
  <c r="CD105" i="9"/>
  <c r="CE105" i="9" s="1"/>
  <c r="CD108" i="9"/>
  <c r="CE108" i="9" s="1"/>
  <c r="CD155" i="9"/>
  <c r="CE155" i="9" s="1"/>
  <c r="CD84" i="9"/>
  <c r="CE84" i="9" s="1"/>
  <c r="CD168" i="9"/>
  <c r="CE168" i="9" s="1"/>
  <c r="CD147" i="9"/>
  <c r="CE147" i="9" s="1"/>
  <c r="CD126" i="9"/>
  <c r="CE126" i="9" s="1"/>
  <c r="CD31" i="9"/>
  <c r="CE31" i="9" s="1"/>
  <c r="CD97" i="9"/>
  <c r="CE97" i="9" s="1"/>
  <c r="CD127" i="9"/>
  <c r="CE127" i="9" s="1"/>
  <c r="CD174" i="9"/>
  <c r="CE174" i="9" s="1"/>
  <c r="CD144" i="9"/>
  <c r="CE144" i="9" s="1"/>
  <c r="CD196" i="9"/>
  <c r="CE196" i="9" s="1"/>
  <c r="CD70" i="9"/>
  <c r="CE70" i="9" s="1"/>
  <c r="CD17" i="9"/>
  <c r="CD36" i="9"/>
  <c r="CE36" i="9" s="1"/>
  <c r="CD185" i="9"/>
  <c r="CE185" i="9" s="1"/>
  <c r="CD134" i="9"/>
  <c r="CE134" i="9" s="1"/>
  <c r="CD32" i="9"/>
  <c r="CE32" i="9" s="1"/>
  <c r="CD165" i="9"/>
  <c r="CE165" i="9" s="1"/>
  <c r="CD99" i="9"/>
  <c r="CE99" i="9" s="1"/>
  <c r="CD120" i="9"/>
  <c r="CE120" i="9" s="1"/>
  <c r="CD24" i="9"/>
  <c r="CE24" i="9" s="1"/>
  <c r="CD116" i="9"/>
  <c r="CE116" i="9" s="1"/>
  <c r="CD122" i="9"/>
  <c r="CE122" i="9" s="1"/>
  <c r="CD74" i="9"/>
  <c r="CE74" i="9" s="1"/>
  <c r="CD164" i="9"/>
  <c r="CE164" i="9" s="1"/>
  <c r="CD130" i="9"/>
  <c r="CE130" i="9" s="1"/>
  <c r="CD23" i="9"/>
  <c r="CE23" i="9" s="1"/>
  <c r="CD121" i="9"/>
  <c r="CE121" i="9" s="1"/>
  <c r="CD94" i="9"/>
  <c r="CE94" i="9" s="1"/>
  <c r="CD135" i="9"/>
  <c r="CE135" i="9" s="1"/>
  <c r="CD112" i="9"/>
  <c r="CE112" i="9" s="1"/>
  <c r="CD146" i="9"/>
  <c r="CE146" i="9" s="1"/>
  <c r="CD109" i="9"/>
  <c r="CE109" i="9" s="1"/>
  <c r="CD150" i="9"/>
  <c r="CE150" i="9" s="1"/>
  <c r="CD40" i="9"/>
  <c r="CE40" i="9" s="1"/>
  <c r="CE8" i="9" l="1"/>
  <c r="CD235" i="9"/>
  <c r="BY234" i="9"/>
  <c r="CC237" i="9" s="1"/>
  <c r="CE17" i="9"/>
  <c r="CE234" i="9" l="1"/>
  <c r="I83" i="4" l="1"/>
  <c r="F7" i="8"/>
  <c r="E7" i="8"/>
  <c r="K10" i="7"/>
  <c r="K27" i="6"/>
  <c r="K59" i="5"/>
  <c r="J83" i="4"/>
  <c r="J10" i="7"/>
  <c r="J27" i="6"/>
  <c r="J5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ASM</author>
    <author>Windows User</author>
  </authors>
  <commentList>
    <comment ref="D108" authorId="0" shapeId="0" xr:uid="{5BFC317C-4079-46E2-A821-63F56DFC6467}">
      <text>
        <r>
          <rPr>
            <b/>
            <sz val="9"/>
            <color indexed="81"/>
            <rFont val="Tahoma"/>
            <family val="2"/>
          </rPr>
          <t>borang permohonan kerja lebih masa</t>
        </r>
      </text>
    </comment>
    <comment ref="D109" authorId="0" shapeId="0" xr:uid="{2FB4ED70-14CC-46C2-8D60-28FB94890A02}">
      <text>
        <r>
          <rPr>
            <b/>
            <sz val="9"/>
            <color indexed="81"/>
            <rFont val="Tahoma"/>
            <family val="2"/>
          </rPr>
          <t>ASM:</t>
        </r>
        <r>
          <rPr>
            <sz val="9"/>
            <color indexed="81"/>
            <rFont val="Tahoma"/>
            <family val="2"/>
          </rPr>
          <t xml:space="preserve">
borang wang pendahuluan </t>
        </r>
      </text>
    </comment>
    <comment ref="D110" authorId="1" shapeId="0" xr:uid="{EDBD2012-78ED-4968-9EC5-19603C634598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borang tempahan makanan</t>
        </r>
      </text>
    </comment>
    <comment ref="D111" authorId="1" shapeId="0" xr:uid="{C1AE2EA6-902F-4BC6-9D8F-4268E103F1C6}">
      <text>
        <r>
          <rPr>
            <b/>
            <sz val="9"/>
            <color rgb="FF000000"/>
            <rFont val="Tahoma"/>
            <family val="2"/>
          </rPr>
          <t xml:space="preserve">Windows User
</t>
        </r>
        <r>
          <rPr>
            <b/>
            <sz val="9"/>
            <color rgb="FF000000"/>
            <rFont val="Tahoma"/>
            <family val="2"/>
          </rPr>
          <t>borang keluar pejabat</t>
        </r>
      </text>
    </comment>
    <comment ref="D112" authorId="1" shapeId="0" xr:uid="{328602C1-5A3B-4639-B2B6-38A1D39E39BF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borang perjalanan / travel form</t>
        </r>
      </text>
    </comment>
    <comment ref="D115" authorId="1" shapeId="0" xr:uid="{AD3E95DE-4EB8-4C8B-B99F-99044F7F9AB0}">
      <text>
        <r>
          <rPr>
            <b/>
            <sz val="9"/>
            <color rgb="FF000000"/>
            <rFont val="Tahoma"/>
            <family val="2"/>
          </rPr>
          <t>Windows User:borang pembayaran</t>
        </r>
      </text>
    </comment>
    <comment ref="D116" authorId="1" shapeId="0" xr:uid="{1C10D55A-9449-4B13-AC61-830C8FE11A0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borang permnohonan alat tulis</t>
        </r>
      </text>
    </comment>
    <comment ref="D117" authorId="1" shapeId="0" xr:uid="{3A038402-EAD7-425D-8C28-28C464A4EB61}">
      <text>
        <r>
          <rPr>
            <b/>
            <sz val="9"/>
            <color rgb="FF000000"/>
            <rFont val="Tahoma"/>
            <family val="2"/>
          </rPr>
          <t>Windows 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borang boucher uka / payment voucher form</t>
        </r>
      </text>
    </comment>
    <comment ref="D118" authorId="1" shapeId="0" xr:uid="{C526AEF7-CFB7-4EDE-A3D9-05D3A2887F94}">
      <text>
        <r>
          <rPr>
            <b/>
            <sz val="9"/>
            <color rgb="FF000000"/>
            <rFont val="Tahoma"/>
            <family val="2"/>
          </rPr>
          <t>Windows 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borang boucher uka / payment voucher form</t>
        </r>
      </text>
    </comment>
    <comment ref="D119" authorId="1" shapeId="0" xr:uid="{76E310A0-16F2-4641-978E-830A8DFF5696}">
      <text>
        <r>
          <rPr>
            <b/>
            <sz val="9"/>
            <color rgb="FF000000"/>
            <rFont val="Tahoma"/>
            <family val="2"/>
          </rPr>
          <t>Windows 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borang klim hospital</t>
        </r>
      </text>
    </comment>
    <comment ref="D121" authorId="1" shapeId="0" xr:uid="{5F6A810F-BE8E-4844-91F5-3FC13F849D03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borang pemulangan wang panjar</t>
        </r>
      </text>
    </comment>
    <comment ref="D122" authorId="1" shapeId="0" xr:uid="{C42A3670-749C-4CEB-8E0C-3F5808F68130}">
      <text>
        <r>
          <rPr>
            <b/>
            <sz val="9"/>
            <color rgb="FF000000"/>
            <rFont val="Tahoma"/>
            <family val="2"/>
          </rPr>
          <t>Windows 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borang permohonan peralatan 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ASM</author>
    <author>Windows User</author>
  </authors>
  <commentList>
    <comment ref="B9" authorId="0" shapeId="0" xr:uid="{EC149014-F18D-489F-A887-233E4B46F415}">
      <text>
        <r>
          <rPr>
            <b/>
            <sz val="9"/>
            <color indexed="81"/>
            <rFont val="Tahoma"/>
            <family val="2"/>
          </rPr>
          <t>borang permohonan kerja lebih masa</t>
        </r>
      </text>
    </comment>
    <comment ref="B10" authorId="0" shapeId="0" xr:uid="{E3728149-5369-4BDB-9861-49480467D4CC}">
      <text>
        <r>
          <rPr>
            <b/>
            <sz val="9"/>
            <color indexed="81"/>
            <rFont val="Tahoma"/>
            <family val="2"/>
          </rPr>
          <t>ASM:</t>
        </r>
        <r>
          <rPr>
            <sz val="9"/>
            <color indexed="81"/>
            <rFont val="Tahoma"/>
            <family val="2"/>
          </rPr>
          <t xml:space="preserve">
borang wang pendahuluan </t>
        </r>
      </text>
    </comment>
    <comment ref="B11" authorId="1" shapeId="0" xr:uid="{7DB12743-B93D-4B53-B7D2-1556DC6C812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borang tempahan makanan</t>
        </r>
      </text>
    </comment>
    <comment ref="B12" authorId="1" shapeId="0" xr:uid="{D8A89E8A-E78E-4EA3-8A81-923B87212A4A}">
      <text>
        <r>
          <rPr>
            <b/>
            <sz val="9"/>
            <color indexed="81"/>
            <rFont val="Tahoma"/>
            <family val="2"/>
          </rPr>
          <t>Windows User
borang keluar pejabat</t>
        </r>
      </text>
    </comment>
    <comment ref="B13" authorId="1" shapeId="0" xr:uid="{4E56FE28-0F61-460A-875E-59954E29415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borang perjalanan / travel form</t>
        </r>
      </text>
    </comment>
    <comment ref="B14" authorId="1" shapeId="0" xr:uid="{474CCDAC-BC79-4AE6-9E50-06833F82437E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borang klim / claim form</t>
        </r>
      </text>
    </comment>
    <comment ref="B16" authorId="1" shapeId="0" xr:uid="{8A5C3683-DF33-4185-828B-2776B73A1B53}">
      <text>
        <r>
          <rPr>
            <b/>
            <sz val="9"/>
            <color indexed="81"/>
            <rFont val="Tahoma"/>
            <family val="2"/>
          </rPr>
          <t>Windows User:borang pembayaran</t>
        </r>
      </text>
    </comment>
    <comment ref="B17" authorId="1" shapeId="0" xr:uid="{89938A3A-D4D4-4B86-93A7-25C1BCD0C9F1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borang permnohonan alat tulis</t>
        </r>
      </text>
    </comment>
    <comment ref="B18" authorId="1" shapeId="0" xr:uid="{4158BC07-7C81-4D8B-A995-545C847C3D71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borang boucher uka / payment voucher form</t>
        </r>
      </text>
    </comment>
    <comment ref="B19" authorId="1" shapeId="0" xr:uid="{AE27C2BD-F05D-4A8D-84F4-A870F9CC1024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borang klim hospital</t>
        </r>
      </text>
    </comment>
    <comment ref="B21" authorId="1" shapeId="0" xr:uid="{0C06817F-69B2-4F18-A1C7-103695FA941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borang pemulangan peedahuluan wang tunai </t>
        </r>
      </text>
    </comment>
    <comment ref="B22" authorId="1" shapeId="0" xr:uid="{C5EB7886-D3F6-4E9C-8C74-6D27A73F2E22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borang pemulangan wang panjar</t>
        </r>
      </text>
    </comment>
    <comment ref="B23" authorId="1" shapeId="0" xr:uid="{D3A97BB1-4B80-49D3-9CDB-73831859B023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borang permohonan peralatan IT</t>
        </r>
      </text>
    </comment>
  </commentList>
</comments>
</file>

<file path=xl/sharedStrings.xml><?xml version="1.0" encoding="utf-8"?>
<sst xmlns="http://schemas.openxmlformats.org/spreadsheetml/2006/main" count="965" uniqueCount="480">
  <si>
    <t>LAMPIRAN 4</t>
  </si>
  <si>
    <t>Bil</t>
  </si>
  <si>
    <t>No.</t>
  </si>
  <si>
    <t>No.Kod</t>
  </si>
  <si>
    <t>Perihal Stok</t>
  </si>
  <si>
    <t xml:space="preserve">Paras Minimum
</t>
  </si>
  <si>
    <t>Paras Menokoh</t>
  </si>
  <si>
    <t>Paras Maximum</t>
  </si>
  <si>
    <t>Harga seunit</t>
  </si>
  <si>
    <t>JAN</t>
  </si>
  <si>
    <t>FEB</t>
  </si>
  <si>
    <t>MAC</t>
  </si>
  <si>
    <t>APR</t>
  </si>
  <si>
    <t>MEI</t>
  </si>
  <si>
    <t>JUN</t>
  </si>
  <si>
    <t>JUL</t>
  </si>
  <si>
    <t>OGOS</t>
  </si>
  <si>
    <t>SEPT</t>
  </si>
  <si>
    <t>OKT</t>
  </si>
  <si>
    <t>NOV</t>
  </si>
  <si>
    <t>DIS</t>
  </si>
  <si>
    <t>Baki</t>
  </si>
  <si>
    <t>Nilai Sedia Ada</t>
  </si>
  <si>
    <t>Keluar</t>
  </si>
  <si>
    <t>Masuk</t>
  </si>
  <si>
    <t>Nilai Masuk</t>
  </si>
  <si>
    <t xml:space="preserve">Nilai Pengeluaran </t>
  </si>
  <si>
    <t xml:space="preserve">Nilai Sedia Ada </t>
  </si>
  <si>
    <t>nilai sedia ada (a)</t>
  </si>
  <si>
    <t>nilai pengeluaran (b)</t>
  </si>
  <si>
    <t>A1</t>
  </si>
  <si>
    <t>Pentel Pen 1.0 Energel - Hitam</t>
  </si>
  <si>
    <t>A2</t>
  </si>
  <si>
    <t>Pentel Pen 1.0 Energel - Biru</t>
  </si>
  <si>
    <t>A3</t>
  </si>
  <si>
    <t>Pentel Pen 1.0 Energel - Merah</t>
  </si>
  <si>
    <t>A4</t>
  </si>
  <si>
    <t>Pentel Pen 0.7 Energel - Hitam</t>
  </si>
  <si>
    <t>A5</t>
  </si>
  <si>
    <t>Pen Pilot G3 1.0 (Biru)</t>
  </si>
  <si>
    <t>A6</t>
  </si>
  <si>
    <t>Pen Pilot G3 1.0 (Hitam)</t>
  </si>
  <si>
    <t>A7</t>
  </si>
  <si>
    <t xml:space="preserve">Refill Pen Pilot G2 0.7 (Biru) </t>
  </si>
  <si>
    <t>Refill Pen Pilot G2 0.7 (Biru) T</t>
  </si>
  <si>
    <t>A8</t>
  </si>
  <si>
    <t>Marker whiteboard (Biru)</t>
  </si>
  <si>
    <t>Marker whiteboard (Biru)T</t>
  </si>
  <si>
    <t>A9</t>
  </si>
  <si>
    <t>Marker whiteboard (Hitam)</t>
  </si>
  <si>
    <t>A10</t>
  </si>
  <si>
    <t>Marker whiteboard (Merah)</t>
  </si>
  <si>
    <t>A11</t>
  </si>
  <si>
    <t>Artline 5109A Big Nib Whiteboard Marker (Biru)</t>
  </si>
  <si>
    <t>Artline 5109A Big Nib Whiteboard Marker (Biru)(T)</t>
  </si>
  <si>
    <t>A12</t>
  </si>
  <si>
    <t>Artline 5109A Big Nib Whiteboard Marker (Hitam)</t>
  </si>
  <si>
    <t>Artline 5109A Big Nib Whiteboard Marker (Hitam)(T)</t>
  </si>
  <si>
    <t>A13</t>
  </si>
  <si>
    <t>Artline 5109A Big Nib Whiteboard Marker (Merah)</t>
  </si>
  <si>
    <t>Artline 5109A Big Nib Whiteboard Marker (Merah)(T)</t>
  </si>
  <si>
    <t>A14</t>
  </si>
  <si>
    <t>Marker Permanent (Biru)</t>
  </si>
  <si>
    <t>Marker Permanent (Biru) (T)</t>
  </si>
  <si>
    <t>A15</t>
  </si>
  <si>
    <t>Marker Permanent (Hitam)</t>
  </si>
  <si>
    <t>Marker Permanent (Hitam) (T)</t>
  </si>
  <si>
    <t>A16</t>
  </si>
  <si>
    <t>Marker Permanent (Merah)</t>
  </si>
  <si>
    <t>Marker Permanent (Merah) (T)</t>
  </si>
  <si>
    <t>A17</t>
  </si>
  <si>
    <t>Highlighter (Biru) (T)</t>
  </si>
  <si>
    <t>A18</t>
  </si>
  <si>
    <t>Highlighter (Kuning)</t>
  </si>
  <si>
    <t>Highlighter (Kuning) (T)</t>
  </si>
  <si>
    <t>A19</t>
  </si>
  <si>
    <t>Highlighter (Hijau) (T)</t>
  </si>
  <si>
    <t>A20</t>
  </si>
  <si>
    <t xml:space="preserve">Highlighter (Pink) </t>
  </si>
  <si>
    <t>Highlighter (Pink) (T)</t>
  </si>
  <si>
    <t>A21</t>
  </si>
  <si>
    <t>Pensel 2B (T)</t>
  </si>
  <si>
    <t>A22</t>
  </si>
  <si>
    <t>Pemadam</t>
  </si>
  <si>
    <t>A23</t>
  </si>
  <si>
    <t>Gunting (T)</t>
  </si>
  <si>
    <t>A24</t>
  </si>
  <si>
    <t xml:space="preserve">Pembaris panjang (plastik) </t>
  </si>
  <si>
    <t>A25</t>
  </si>
  <si>
    <t>Correction Pen (T)</t>
  </si>
  <si>
    <t>A26</t>
  </si>
  <si>
    <t>Stapler HD-10(T)</t>
  </si>
  <si>
    <t>A27</t>
  </si>
  <si>
    <t>Stapless 5mm (T)</t>
  </si>
  <si>
    <t>A28</t>
  </si>
  <si>
    <t>Stapless 1/4"</t>
  </si>
  <si>
    <t>A29</t>
  </si>
  <si>
    <t>Staples Heavyduty 9/6"</t>
  </si>
  <si>
    <t>A30</t>
  </si>
  <si>
    <t>A31</t>
  </si>
  <si>
    <t xml:space="preserve">Opp Tape 2" </t>
  </si>
  <si>
    <t>A32</t>
  </si>
  <si>
    <t xml:space="preserve">Gam roller </t>
  </si>
  <si>
    <t>A33</t>
  </si>
  <si>
    <t>Gam Bovax</t>
  </si>
  <si>
    <t>A34</t>
  </si>
  <si>
    <t>Pisau Besar</t>
  </si>
  <si>
    <t>A35</t>
  </si>
  <si>
    <t>Mata Pisau (besar)</t>
  </si>
  <si>
    <t>A36</t>
  </si>
  <si>
    <t xml:space="preserve">Paper Punch D-Type </t>
  </si>
  <si>
    <t>A37</t>
  </si>
  <si>
    <t xml:space="preserve">Busines Card Holder CBE 240e </t>
  </si>
  <si>
    <t>A38</t>
  </si>
  <si>
    <t>Busines Card Holder CBE N160</t>
  </si>
  <si>
    <t>A39</t>
  </si>
  <si>
    <t xml:space="preserve">Bateri 2A </t>
  </si>
  <si>
    <t>Bateri 2A (T)</t>
  </si>
  <si>
    <t>A40</t>
  </si>
  <si>
    <t xml:space="preserve">Bateri 3A </t>
  </si>
  <si>
    <t>A41</t>
  </si>
  <si>
    <t>Bateri 9V (T)</t>
  </si>
  <si>
    <t>A42</t>
  </si>
  <si>
    <t>Bateri Heavyduty (Eveready)</t>
  </si>
  <si>
    <t>A43</t>
  </si>
  <si>
    <t xml:space="preserve">Book End </t>
  </si>
  <si>
    <t>A44</t>
  </si>
  <si>
    <t>Document Tray 3 Tier</t>
  </si>
  <si>
    <t>Document Tray 3 Tier (T)</t>
  </si>
  <si>
    <t>A45</t>
  </si>
  <si>
    <t>Double Clip 1/2" -15mm (T)</t>
  </si>
  <si>
    <t>A46</t>
  </si>
  <si>
    <t>Double Clip 1"- 25mm</t>
  </si>
  <si>
    <t>A47</t>
  </si>
  <si>
    <t>Double Clip 1 5/8" -41mm</t>
  </si>
  <si>
    <t>A48</t>
  </si>
  <si>
    <t>Double Clip 2" -51mm</t>
  </si>
  <si>
    <t>Double Clip 2" -51mm (T)</t>
  </si>
  <si>
    <t>A49</t>
  </si>
  <si>
    <t>Paper clip (small) (T)</t>
  </si>
  <si>
    <t>A50</t>
  </si>
  <si>
    <t xml:space="preserve">Paper clip (Jumbo) </t>
  </si>
  <si>
    <t>Paper clip (Jumbo) (T)</t>
  </si>
  <si>
    <t>A51</t>
  </si>
  <si>
    <t>Kalkulator (T)</t>
  </si>
  <si>
    <t>A52</t>
  </si>
  <si>
    <t>A53</t>
  </si>
  <si>
    <t xml:space="preserve">Pencil Sharpener </t>
  </si>
  <si>
    <t>A54</t>
  </si>
  <si>
    <t>Masking tape 2"</t>
  </si>
  <si>
    <t>A55</t>
  </si>
  <si>
    <t>Pemadam papan putih (duster)</t>
  </si>
  <si>
    <t>Pemadam papan putih (duster)(T)</t>
  </si>
  <si>
    <t>B1</t>
  </si>
  <si>
    <t>Letterhead ASM</t>
  </si>
  <si>
    <t>Letterhead ASM (T)</t>
  </si>
  <si>
    <t>B2</t>
  </si>
  <si>
    <t>Letterhead Presiden (kotak)</t>
  </si>
  <si>
    <t>B3</t>
  </si>
  <si>
    <t>Kertas A4 (kotak)</t>
  </si>
  <si>
    <t>B4</t>
  </si>
  <si>
    <t>Kertas A3/rim(T)</t>
  </si>
  <si>
    <t>B5</t>
  </si>
  <si>
    <t>Kertas warna (Cyber pink)</t>
  </si>
  <si>
    <t>B6</t>
  </si>
  <si>
    <t>Kertas warna (Pink)</t>
  </si>
  <si>
    <t>B7</t>
  </si>
  <si>
    <t>Kertas warna (Rose)</t>
  </si>
  <si>
    <t>B8</t>
  </si>
  <si>
    <t>Kertas warna (Purple)</t>
  </si>
  <si>
    <t>B9</t>
  </si>
  <si>
    <t>Kertas warna (Gold)</t>
  </si>
  <si>
    <t>B10</t>
  </si>
  <si>
    <t>Kertas warna (Peach)</t>
  </si>
  <si>
    <t>B11</t>
  </si>
  <si>
    <t>Kertas warna (Blue)</t>
  </si>
  <si>
    <t>B12</t>
  </si>
  <si>
    <t>Kertas warna (Dark Blue)</t>
  </si>
  <si>
    <t>B13</t>
  </si>
  <si>
    <t>Kertas warna (Ivory)</t>
  </si>
  <si>
    <t>B14</t>
  </si>
  <si>
    <t xml:space="preserve">Kertas warna (Yellow) </t>
  </si>
  <si>
    <t>Kertas warna (Yellow) T</t>
  </si>
  <si>
    <t>B15</t>
  </si>
  <si>
    <t>Kertas warna (Green)</t>
  </si>
  <si>
    <t>Kertas warna (Green) T</t>
  </si>
  <si>
    <t>B16</t>
  </si>
  <si>
    <t>Kertas warna (Cyber Green)</t>
  </si>
  <si>
    <t>B17</t>
  </si>
  <si>
    <t>Kertas Warna Lemon</t>
  </si>
  <si>
    <t>B18</t>
  </si>
  <si>
    <t>Kertas sijil artcard</t>
  </si>
  <si>
    <t>B19</t>
  </si>
  <si>
    <t xml:space="preserve">Kertas sijil (border-peach) </t>
  </si>
  <si>
    <t>B20</t>
  </si>
  <si>
    <t>Buku log</t>
  </si>
  <si>
    <t>B21</t>
  </si>
  <si>
    <t xml:space="preserve">Post it note Flag </t>
  </si>
  <si>
    <t>B22</t>
  </si>
  <si>
    <t xml:space="preserve">Post it note 1.5"x2" (small) </t>
  </si>
  <si>
    <t>B23</t>
  </si>
  <si>
    <t>Post it note 3"x3" (medium)</t>
  </si>
  <si>
    <t>B24</t>
  </si>
  <si>
    <t>Post it note 3"x3" (Neon)</t>
  </si>
  <si>
    <t>B25</t>
  </si>
  <si>
    <t>Post it note 3"x3" (Neon)-loose colour</t>
  </si>
  <si>
    <t>B26</t>
  </si>
  <si>
    <t>Post it note 3"x5"(large)</t>
  </si>
  <si>
    <t>Post it note 3"x5"(large) (T)</t>
  </si>
  <si>
    <t>B27</t>
  </si>
  <si>
    <t>Label sticker (14 petak)</t>
  </si>
  <si>
    <t>Label sticker (14 petak) T</t>
  </si>
  <si>
    <t>B28</t>
  </si>
  <si>
    <t>Label sticker (10 petak)</t>
  </si>
  <si>
    <t>B29</t>
  </si>
  <si>
    <t>Label sticker (A4)</t>
  </si>
  <si>
    <t>B30</t>
  </si>
  <si>
    <t>Label sticker -18mm Brother TZ Tape Black on White Tape</t>
  </si>
  <si>
    <t>B31</t>
  </si>
  <si>
    <t>Label sticker -24mm Brother TZ Tape Black on White Tape</t>
  </si>
  <si>
    <t>B32</t>
  </si>
  <si>
    <t>Index divider (10 item)</t>
  </si>
  <si>
    <t>B33</t>
  </si>
  <si>
    <t>Sampul surat bertingkap A5</t>
  </si>
  <si>
    <t>B34</t>
  </si>
  <si>
    <t>Sampul surat A4</t>
  </si>
  <si>
    <t>B35</t>
  </si>
  <si>
    <t>Sampul surat A3</t>
  </si>
  <si>
    <t>B36</t>
  </si>
  <si>
    <t xml:space="preserve">Kertas mahjong </t>
  </si>
  <si>
    <t>B37</t>
  </si>
  <si>
    <t>Common seal</t>
  </si>
  <si>
    <t>B38</t>
  </si>
  <si>
    <t>B39</t>
  </si>
  <si>
    <t xml:space="preserve">Plastik Liminate A3 </t>
  </si>
  <si>
    <t>B40</t>
  </si>
  <si>
    <t>Buku log Kenderaan</t>
  </si>
  <si>
    <t>B41</t>
  </si>
  <si>
    <t>Daftar Surat Menyurat</t>
  </si>
  <si>
    <t>Daftar Surat Menyurat (T)</t>
  </si>
  <si>
    <t>B42</t>
  </si>
  <si>
    <t>Buku Daftar Suratan Rahsia Rasmi</t>
  </si>
  <si>
    <t>B43</t>
  </si>
  <si>
    <t>Kulit Fail bewarna Hijau AM436 (SULIT)</t>
  </si>
  <si>
    <t>B44</t>
  </si>
  <si>
    <t>Kulit Fail berwarna Merah Jambu Berpalang Merah AM437 (RAHSIA)</t>
  </si>
  <si>
    <t>B45</t>
  </si>
  <si>
    <t>Kulit Fail berwarna Kuning Muda AM438 (RAHSIA BESAR)</t>
  </si>
  <si>
    <t>B46</t>
  </si>
  <si>
    <t>Art Cart Finishing- blue</t>
  </si>
  <si>
    <t>B47</t>
  </si>
  <si>
    <t>Art Cart Finishing- stone</t>
  </si>
  <si>
    <t>C1</t>
  </si>
  <si>
    <t>Magazine box (T)</t>
  </si>
  <si>
    <t>C2</t>
  </si>
  <si>
    <t>Fail Management (T)</t>
  </si>
  <si>
    <t>C3</t>
  </si>
  <si>
    <t>Fail kertas manila (poket)</t>
  </si>
  <si>
    <t>C4</t>
  </si>
  <si>
    <t>Fail ABBA 2" (406)</t>
  </si>
  <si>
    <t>C5</t>
  </si>
  <si>
    <t>Fail ABBA 3" (404) (T)</t>
  </si>
  <si>
    <t>C6</t>
  </si>
  <si>
    <t>Fail 2D (25mm)</t>
  </si>
  <si>
    <t>Fail 2D (25mm) (T)</t>
  </si>
  <si>
    <t>C7</t>
  </si>
  <si>
    <t>Fail 2D (40mm) (T)</t>
  </si>
  <si>
    <t>C8</t>
  </si>
  <si>
    <t>Fail 2D (50mm)</t>
  </si>
  <si>
    <t>C9</t>
  </si>
  <si>
    <t>Fail 2D (65mm)</t>
  </si>
  <si>
    <t>Fail 2D (65mm)(T)</t>
  </si>
  <si>
    <t>C10</t>
  </si>
  <si>
    <t>Transparent File CBE 9360 with ASM logo and tag line (BIRU)</t>
  </si>
  <si>
    <t>C11</t>
  </si>
  <si>
    <t>Rigid sheet (T)</t>
  </si>
  <si>
    <t>C12</t>
  </si>
  <si>
    <t>A4 sheet protector (T)</t>
  </si>
  <si>
    <t>C13</t>
  </si>
  <si>
    <t xml:space="preserve">Ring binder (8mm) </t>
  </si>
  <si>
    <t>C14</t>
  </si>
  <si>
    <t xml:space="preserve">Ring binder (10mm) </t>
  </si>
  <si>
    <t>C15</t>
  </si>
  <si>
    <t>Ring binder (16mm) (T)-Box</t>
  </si>
  <si>
    <t>C16</t>
  </si>
  <si>
    <t>Ring binder (20mm)</t>
  </si>
  <si>
    <t>C17</t>
  </si>
  <si>
    <t>Ring binder (28mm)</t>
  </si>
  <si>
    <t>C18</t>
  </si>
  <si>
    <t>Strecth Film - 500mm x 1kg x300gm</t>
  </si>
  <si>
    <t>C19</t>
  </si>
  <si>
    <t>Strecth Film - 500mm x 1.5kg x300gm</t>
  </si>
  <si>
    <t>D1</t>
  </si>
  <si>
    <t>DVD-R</t>
  </si>
  <si>
    <t>D2</t>
  </si>
  <si>
    <t>Toner Cartridge Fujixerox (CM115w) CT202264 (Black)</t>
  </si>
  <si>
    <t>D3</t>
  </si>
  <si>
    <t>Toner Cartridge Fujixerox  (CM115w) CT202265(Cyan) (T)</t>
  </si>
  <si>
    <t>D4</t>
  </si>
  <si>
    <t>D5</t>
  </si>
  <si>
    <t>Toner Cartridge Fujixerox (CM115w)  CT202267 (Yellow)(T)</t>
  </si>
  <si>
    <t>D6</t>
  </si>
  <si>
    <t>Colour Printer (CBG100CC)ID</t>
  </si>
  <si>
    <t>E1</t>
  </si>
  <si>
    <t>Mesh Bag</t>
  </si>
  <si>
    <t>E2</t>
  </si>
  <si>
    <t>Lanyard - ASM</t>
  </si>
  <si>
    <t>E3</t>
  </si>
  <si>
    <t>Card Holder - ASM</t>
  </si>
  <si>
    <t>q3</t>
  </si>
  <si>
    <t>Z</t>
  </si>
  <si>
    <t>Nilai stor alat tulis</t>
  </si>
  <si>
    <t>Nilai stok perkakasan</t>
  </si>
  <si>
    <t>Jumlah keseluruhan</t>
  </si>
  <si>
    <t>Pemadam (T)</t>
  </si>
  <si>
    <t>Loytape 1" (T)</t>
  </si>
  <si>
    <t>Gam roller (T)</t>
  </si>
  <si>
    <t>Bateri 3A (T)</t>
  </si>
  <si>
    <t>Double Clip 1 5/8" -41mm (T)</t>
  </si>
  <si>
    <t>Paper clip (Jumbo) T</t>
  </si>
  <si>
    <t>Tape Dispenser 3" (T)</t>
  </si>
  <si>
    <t>Pencil Sharpener (T)</t>
  </si>
  <si>
    <t>Kertas sijil (border-peach) T</t>
  </si>
  <si>
    <t>Post it note Flag (T)</t>
  </si>
  <si>
    <t>Post it note 3"x3" (medium)(T)</t>
  </si>
  <si>
    <t>Post it note 3"x3" (Neon)T</t>
  </si>
  <si>
    <t>Post it note 3"x3" (Neon)T-loose colour</t>
  </si>
  <si>
    <t>Kertas mahjong (T)</t>
  </si>
  <si>
    <t>Plastik Liminate A4 (T)</t>
  </si>
  <si>
    <t>Plastik Liminate A3 (T)</t>
  </si>
  <si>
    <t>Fail 2D (50mm) (T)</t>
  </si>
  <si>
    <t>Ring binder (8mm) T</t>
  </si>
  <si>
    <t>Ring binder (16mm) (T)</t>
  </si>
  <si>
    <t>Ring binder (20mm)(T)</t>
  </si>
  <si>
    <t>Toner Cartridge Fujixerox (CM115w) CT202264 (Black)T</t>
  </si>
  <si>
    <t>Toner Cartridge Fujixerox  (CM115w) CT202266 (Magenta)T</t>
  </si>
  <si>
    <t>Toner Cartridge Fujixerox (CM115w)  CT202267 (Yellow)T</t>
  </si>
  <si>
    <t>Colour Printer (CBG100CC)ID(T)</t>
  </si>
  <si>
    <t>B48</t>
  </si>
  <si>
    <t>Sampul Kecil (AM 435A)</t>
  </si>
  <si>
    <t>E4</t>
  </si>
  <si>
    <t>Ring binder (10mm) (T)-box</t>
  </si>
  <si>
    <t>C20</t>
  </si>
  <si>
    <t>Pentel Pen 0.7 Energel - Hitam(T)</t>
  </si>
  <si>
    <t>A56</t>
  </si>
  <si>
    <t>A57</t>
  </si>
  <si>
    <t>Refill marker whiteboard (artline 500A-2.0)-Biru</t>
  </si>
  <si>
    <t>Refill marker whiteboard (artline 500A-2.0)-Merah</t>
  </si>
  <si>
    <t>Refill marker whiteboard (artline 500A-2.0)-Hitam</t>
  </si>
  <si>
    <t>Index divider (10 item)-T</t>
  </si>
  <si>
    <t>ID Card ASM (EMS CARD)</t>
  </si>
  <si>
    <t>A58</t>
  </si>
  <si>
    <t>Toner Cartridge Fujixerox  (CM115w) CT202266 (Magenta)(T)</t>
  </si>
  <si>
    <t>Post it note 1.5"x2" (small) T</t>
  </si>
  <si>
    <t>Ring binder (14mm) Box-T</t>
  </si>
  <si>
    <t>E5</t>
  </si>
  <si>
    <t>E6</t>
  </si>
  <si>
    <t>E7</t>
  </si>
  <si>
    <t>E8</t>
  </si>
  <si>
    <t>Pelekat Reusable Faber Castell</t>
  </si>
  <si>
    <t>Transparent L-Shape A4 Folder</t>
  </si>
  <si>
    <t>Ballpen Faber Castell 0.7mm (Biru)</t>
  </si>
  <si>
    <t>Ballpen Faber Castell 0.7mm (Hitam)</t>
  </si>
  <si>
    <t>Label sticker -18mm Brother TZ Tape Black on White Tape (T)</t>
  </si>
  <si>
    <t>Label sticker -24mm Brother TZ Tape Black on White Tape (T)</t>
  </si>
  <si>
    <t>Toner Cartridge Fujixerox (CM115w) CT202264 (Black)(T)</t>
  </si>
  <si>
    <t>Stretch Film - 500mm x 1kg x300gm</t>
  </si>
  <si>
    <t>Stretch Film - 500mm x 1.5kg x300gm</t>
  </si>
  <si>
    <t>Transparent File CBE 9361 with ASM logo and button (T)/putih/biru/merah</t>
  </si>
  <si>
    <t>Pentel Pen 0.7 Energel - Merah (T)</t>
  </si>
  <si>
    <t xml:space="preserve">Paper clip (small) </t>
  </si>
  <si>
    <t xml:space="preserve">Pensel 2B </t>
  </si>
  <si>
    <t xml:space="preserve">Correction Pen </t>
  </si>
  <si>
    <t>Stapler HD-10</t>
  </si>
  <si>
    <t>Pentel Pen 0.7 Energel - Biru</t>
  </si>
  <si>
    <t>Highlighter (Biru)</t>
  </si>
  <si>
    <t>Gunting</t>
  </si>
  <si>
    <t xml:space="preserve">Loytape 1" </t>
  </si>
  <si>
    <t xml:space="preserve">Bateri 9V </t>
  </si>
  <si>
    <t xml:space="preserve">Kalkulator </t>
  </si>
  <si>
    <t xml:space="preserve">Tape Dispenser 3" </t>
  </si>
  <si>
    <t>Kertas A3/rim</t>
  </si>
  <si>
    <t>B49</t>
  </si>
  <si>
    <t>Individual Filling Pocket (50pcs/box)-410W x 250Hmm</t>
  </si>
  <si>
    <t xml:space="preserve">Pentel Pen 1.0 Energel - Hitam </t>
  </si>
  <si>
    <t>Highlighter (Hijau)</t>
  </si>
  <si>
    <t>Highlighter (Pink)</t>
  </si>
  <si>
    <t>Stapless 5mm</t>
  </si>
  <si>
    <t>Plastik Liminate A4</t>
  </si>
  <si>
    <t>Fail ABBA 3" (404)</t>
  </si>
  <si>
    <t>Fail 2D (40mm)</t>
  </si>
  <si>
    <t>Rigid sheet</t>
  </si>
  <si>
    <t>Toner Cartridge Fujixerox  (CM115w) CT202265(Cyan)</t>
  </si>
  <si>
    <t>Baki pada 2/1/2026</t>
  </si>
  <si>
    <t>Buku Daftar Suratan Rahsia Rasmi dibawah jadual Akta Rahsia Rasmi 1972 dan berhubung dengannya (AM-492)</t>
  </si>
  <si>
    <t>Buku Daftar Suratan Rahsia Rasmi diluar jadual Akta Rahsia Rasmi 1972 dan berhubung dengannya yang dikelaskan semula (AM-492B)</t>
  </si>
  <si>
    <t>B42A</t>
  </si>
  <si>
    <t>B42B</t>
  </si>
  <si>
    <t>Daftar Surat Menyurat (AM-10)</t>
  </si>
  <si>
    <t>Daftar Surat Menyurat (AM-10)(T)</t>
  </si>
  <si>
    <t>Buku Daftar Suratan Rahsia Rasmi diluar jadual Akta Rahsia Rasmi 1972 dan berhubung dengannya yang dikelaskan semula (AM-492B)(T)</t>
  </si>
  <si>
    <t>Buku Daftar Suratan Rahsia Rasmi dibawah jadual Akta Rahsia Rasmi 1972 dan berhubung dengannya (AM-492) (T)</t>
  </si>
  <si>
    <t xml:space="preserve">Buku Daftar Suratan Rahsia Rasmi diluar jadual Akta Rahsia Rasmi 1972 dan berhubung dengannya yang dikelaskan (AM-492A) </t>
  </si>
  <si>
    <t>PERINCIAN LAPORAN KEDUDUKAN SEMASA STOK ASM BAGI TAHUN 2026</t>
  </si>
  <si>
    <t>Fail 2D (40mm)(T)</t>
  </si>
  <si>
    <t>Post it note 3"x3" (Neon)(T)</t>
  </si>
  <si>
    <t>Bateri Heavyduty (Eveready)(T)</t>
  </si>
  <si>
    <t>Kertas warna (Peach) (T)</t>
  </si>
  <si>
    <t>B30A</t>
  </si>
  <si>
    <t>Label sticker -12mm Brother TZ Tape Black on White Tape (T)</t>
  </si>
  <si>
    <t>E9</t>
  </si>
  <si>
    <t>Catridge Portable Printer Brother DCP-T530DW-BT D100BK (Black)</t>
  </si>
  <si>
    <t>Catridge Portable Printer Brother DCP-T530DW-BT D100C(Cyan)</t>
  </si>
  <si>
    <t>Catridge Portable Printer Brother DCP-T530DW-BT D100M (Magenta)</t>
  </si>
  <si>
    <t>Catridge Portable Printer Brother DCP-T530DW-BT D100Y(Yellow)</t>
  </si>
  <si>
    <t>Catridge Portable Printer HP OfficeJet 9720-(938-Black)</t>
  </si>
  <si>
    <t>Catridge Portable Printer HP OfficeJet 9720-(938-Cyan)</t>
  </si>
  <si>
    <t>Catridge Portable Printer HP OfficeJet 9720-(938-Magenta)</t>
  </si>
  <si>
    <t>Catridge Portable Printer HP OfficeJet 9720-(938-Yellow)</t>
  </si>
  <si>
    <t>E10</t>
  </si>
  <si>
    <t>E11</t>
  </si>
  <si>
    <t>E12</t>
  </si>
  <si>
    <t>E13</t>
  </si>
  <si>
    <t>E14</t>
  </si>
  <si>
    <t>E15</t>
  </si>
  <si>
    <t>E16</t>
  </si>
  <si>
    <t>Pentel Pen 1.0 Energel - Hitam (T)</t>
  </si>
  <si>
    <t>Pentel Pen 0.7 Energel - Biru (T)</t>
  </si>
  <si>
    <t>Kertas A4 (kotak)(T)</t>
  </si>
  <si>
    <t>Opp Tape 2" (T)</t>
  </si>
  <si>
    <t>KEW.PS-20</t>
  </si>
  <si>
    <t>Tempoh simpanan</t>
  </si>
  <si>
    <t>Kuantiti</t>
  </si>
  <si>
    <t>Seunit</t>
  </si>
  <si>
    <t>Jumlah</t>
  </si>
  <si>
    <t>14 tahun</t>
  </si>
  <si>
    <t xml:space="preserve">Sampul surat A3
</t>
  </si>
  <si>
    <t>10 tahun</t>
  </si>
  <si>
    <t xml:space="preserve">
Tidak boleh digunakan kerana mempunyai cetakan logo 1 Malaysia</t>
  </si>
  <si>
    <t>1.Fail tidak digunakan kerana tidak bersesuaian dengan kapasiti perekodan.
2.Tiada tempoh pergerakan selama lebih 10 tahun</t>
  </si>
  <si>
    <t>9 tahun</t>
  </si>
  <si>
    <t>Tiada keperluan semasa</t>
  </si>
  <si>
    <t>Dilengkapkan oleh Pegawai Pemeriksa/Pemverifikasi</t>
  </si>
  <si>
    <t>Pegawai Pemeriksa 1:</t>
  </si>
  <si>
    <t>Pegawai Pemeriksa 2:</t>
  </si>
  <si>
    <t>Keputusan kuasa melulus:</t>
  </si>
  <si>
    <t>Diluluskan pelupusan stok yang disenaraikan
 mengikut kaedah berikut:-</t>
  </si>
  <si>
    <t>Tandatangan:</t>
  </si>
  <si>
    <t>Nama:</t>
  </si>
  <si>
    <t>Jawatan :</t>
  </si>
  <si>
    <t>Jawatan:</t>
  </si>
  <si>
    <t>Tarikh:</t>
  </si>
  <si>
    <t>JUMLAH (RM)</t>
  </si>
  <si>
    <t xml:space="preserve">Kertas warna (Green) </t>
  </si>
  <si>
    <t>12 tahun</t>
  </si>
  <si>
    <t>TP</t>
  </si>
  <si>
    <t>baki akhir tahun 2026</t>
  </si>
  <si>
    <t>1 tahun</t>
  </si>
  <si>
    <t>Lupus bersama printer FUJI XEROX CM115W</t>
  </si>
  <si>
    <t>KATEGORI STOR: STOR ALAT TULIS</t>
  </si>
  <si>
    <r>
      <t xml:space="preserve">KEMENTERIAN/JABATAN: </t>
    </r>
    <r>
      <rPr>
        <b/>
        <u/>
        <sz val="14"/>
        <color theme="1"/>
        <rFont val="Aptos Narrow"/>
        <family val="2"/>
        <scheme val="minor"/>
      </rPr>
      <t xml:space="preserve">AKADEMI SAINS MALAYSIA </t>
    </r>
  </si>
  <si>
    <t>BORANG PELUPUSAN STOK (TAHUN 2026)</t>
  </si>
  <si>
    <t>Unit Pengukuran</t>
  </si>
  <si>
    <t>Tarikh 
terima</t>
  </si>
  <si>
    <t>Nilai Perolehan Asal
(RM)</t>
  </si>
  <si>
    <t>Nyatakan Keadaan Stok Dengan Jelas</t>
  </si>
  <si>
    <t>Syor Kaedah 
Pelupusan</t>
  </si>
  <si>
    <t>Justifikasi</t>
  </si>
  <si>
    <t>Keputusan Kuasa
Melulus</t>
  </si>
  <si>
    <t xml:space="preserve">unit </t>
  </si>
  <si>
    <t xml:space="preserve">1.Stok dalam keadaan baik.
2.Tiada penggunaan untuk tempoh 14 tahun.
</t>
  </si>
  <si>
    <t>rim</t>
  </si>
  <si>
    <t>paket</t>
  </si>
  <si>
    <t>helai</t>
  </si>
  <si>
    <t>unit</t>
  </si>
  <si>
    <t>Badge PVC Card CBGC0030W 30mil (0.76mm)</t>
  </si>
  <si>
    <t>Sampul surat A3 (T)</t>
  </si>
  <si>
    <t>Kertas warna (Ivory) (T)</t>
  </si>
  <si>
    <t>Book End (T)</t>
  </si>
  <si>
    <t>Ring binder (20mm) (T)-Box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</si>
</sst>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;[Red]0"/>
    <numFmt numFmtId="165" formatCode="_-* #,##0.00_-;\-* #,##0.00_-;_-* &quot;-&quot;?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u/>
      <sz val="12"/>
      <color theme="1"/>
      <name val="Century Gothic"/>
      <family val="2"/>
    </font>
    <font>
      <sz val="12"/>
      <name val="Century Gothic"/>
      <family val="2"/>
    </font>
    <font>
      <b/>
      <sz val="12"/>
      <color rgb="FF000000"/>
      <name val="Century Gothic"/>
      <family val="2"/>
    </font>
    <font>
      <b/>
      <sz val="12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2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3" fontId="2" fillId="0" borderId="0" xfId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3" fontId="3" fillId="5" borderId="2" xfId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43" fontId="5" fillId="4" borderId="4" xfId="1" applyFont="1" applyFill="1" applyBorder="1" applyAlignment="1">
      <alignment horizontal="center" vertical="center"/>
    </xf>
    <xf numFmtId="43" fontId="5" fillId="5" borderId="3" xfId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43" fontId="5" fillId="5" borderId="2" xfId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43" fontId="5" fillId="4" borderId="2" xfId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43" fontId="5" fillId="4" borderId="2" xfId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165" fontId="5" fillId="4" borderId="2" xfId="1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left" vertical="center" wrapText="1"/>
    </xf>
    <xf numFmtId="43" fontId="3" fillId="0" borderId="0" xfId="1" applyFont="1" applyAlignment="1">
      <alignment horizontal="left" vertical="center"/>
    </xf>
    <xf numFmtId="43" fontId="3" fillId="0" borderId="0" xfId="1" applyFont="1" applyFill="1" applyAlignment="1">
      <alignment horizontal="left" vertical="center"/>
    </xf>
    <xf numFmtId="43" fontId="6" fillId="0" borderId="0" xfId="1" applyFont="1" applyFill="1" applyAlignment="1">
      <alignment horizontal="center" wrapText="1"/>
    </xf>
    <xf numFmtId="43" fontId="5" fillId="0" borderId="0" xfId="1" applyFont="1" applyFill="1" applyBorder="1" applyAlignment="1">
      <alignment horizontal="center"/>
    </xf>
    <xf numFmtId="43" fontId="3" fillId="0" borderId="3" xfId="1" applyFont="1" applyFill="1" applyBorder="1" applyAlignment="1">
      <alignment horizontal="center" vertical="center"/>
    </xf>
    <xf numFmtId="43" fontId="3" fillId="0" borderId="0" xfId="1" applyFont="1" applyFill="1" applyAlignment="1">
      <alignment horizontal="center" vertical="center"/>
    </xf>
    <xf numFmtId="43" fontId="7" fillId="0" borderId="0" xfId="1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43" fontId="3" fillId="0" borderId="0" xfId="1" applyFont="1" applyBorder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43" fontId="3" fillId="0" borderId="0" xfId="1" applyFont="1" applyFill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3" fontId="2" fillId="0" borderId="0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43" fontId="2" fillId="4" borderId="0" xfId="1" applyFont="1" applyFill="1" applyAlignment="1">
      <alignment horizontal="center" vertical="center"/>
    </xf>
    <xf numFmtId="43" fontId="2" fillId="5" borderId="0" xfId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0" fillId="0" borderId="0" xfId="0" applyAlignment="1">
      <alignment horizontal="right"/>
    </xf>
    <xf numFmtId="0" fontId="10" fillId="0" borderId="0" xfId="0" applyFont="1" applyAlignment="1">
      <alignment horizontal="center"/>
    </xf>
    <xf numFmtId="43" fontId="0" fillId="0" borderId="0" xfId="1" applyFont="1"/>
    <xf numFmtId="43" fontId="0" fillId="10" borderId="0" xfId="1" applyFont="1" applyFill="1"/>
    <xf numFmtId="0" fontId="0" fillId="0" borderId="0" xfId="0" applyAlignment="1">
      <alignment horizontal="center"/>
    </xf>
    <xf numFmtId="43" fontId="0" fillId="0" borderId="0" xfId="0" applyNumberFormat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wrapText="1"/>
    </xf>
    <xf numFmtId="43" fontId="5" fillId="4" borderId="3" xfId="1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left" vertical="center"/>
    </xf>
    <xf numFmtId="0" fontId="2" fillId="14" borderId="2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left" vertical="center"/>
    </xf>
    <xf numFmtId="0" fontId="2" fillId="15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43" fontId="5" fillId="15" borderId="2" xfId="1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4" fontId="0" fillId="8" borderId="2" xfId="0" applyNumberForma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16" fillId="0" borderId="11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9" fillId="8" borderId="2" xfId="0" applyFont="1" applyFill="1" applyBorder="1" applyAlignment="1">
      <alignment horizontal="center" vertical="center"/>
    </xf>
    <xf numFmtId="4" fontId="19" fillId="8" borderId="2" xfId="0" applyNumberFormat="1" applyFont="1" applyFill="1" applyBorder="1" applyAlignment="1">
      <alignment horizontal="center" vertical="center"/>
    </xf>
    <xf numFmtId="4" fontId="19" fillId="8" borderId="2" xfId="0" applyNumberFormat="1" applyFont="1" applyFill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8" borderId="2" xfId="0" applyFont="1" applyFill="1" applyBorder="1" applyAlignment="1">
      <alignment vertical="center"/>
    </xf>
    <xf numFmtId="0" fontId="19" fillId="9" borderId="2" xfId="0" applyFont="1" applyFill="1" applyBorder="1" applyAlignment="1">
      <alignment horizontal="left" vertical="center"/>
    </xf>
    <xf numFmtId="0" fontId="19" fillId="8" borderId="2" xfId="0" applyFont="1" applyFill="1" applyBorder="1" applyAlignment="1">
      <alignment horizontal="left" vertical="center" wrapText="1"/>
    </xf>
    <xf numFmtId="4" fontId="15" fillId="8" borderId="2" xfId="0" applyNumberFormat="1" applyFont="1" applyFill="1" applyBorder="1" applyAlignment="1">
      <alignment vertical="center"/>
    </xf>
    <xf numFmtId="0" fontId="3" fillId="14" borderId="4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vertical="center"/>
    </xf>
    <xf numFmtId="0" fontId="5" fillId="14" borderId="2" xfId="0" applyFont="1" applyFill="1" applyBorder="1" applyAlignment="1">
      <alignment horizontal="center" vertical="center"/>
    </xf>
    <xf numFmtId="43" fontId="5" fillId="14" borderId="2" xfId="1" applyFont="1" applyFill="1" applyBorder="1" applyAlignment="1">
      <alignment horizontal="center"/>
    </xf>
    <xf numFmtId="43" fontId="5" fillId="14" borderId="3" xfId="1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164" fontId="5" fillId="14" borderId="3" xfId="0" applyNumberFormat="1" applyFont="1" applyFill="1" applyBorder="1" applyAlignment="1">
      <alignment horizontal="center" vertical="center"/>
    </xf>
    <xf numFmtId="164" fontId="5" fillId="14" borderId="2" xfId="0" applyNumberFormat="1" applyFont="1" applyFill="1" applyBorder="1" applyAlignment="1">
      <alignment horizontal="center" vertical="center"/>
    </xf>
    <xf numFmtId="43" fontId="5" fillId="14" borderId="2" xfId="1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top" wrapText="1"/>
    </xf>
    <xf numFmtId="0" fontId="19" fillId="8" borderId="2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vertical="center" wrapText="1"/>
    </xf>
    <xf numFmtId="0" fontId="14" fillId="0" borderId="7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9" fillId="8" borderId="2" xfId="0" applyFont="1" applyFill="1" applyBorder="1" applyAlignment="1">
      <alignment horizontal="left" vertical="top" wrapText="1"/>
    </xf>
    <xf numFmtId="43" fontId="5" fillId="0" borderId="2" xfId="1" applyFont="1" applyFill="1" applyBorder="1" applyAlignment="1">
      <alignment horizontal="center"/>
    </xf>
    <xf numFmtId="43" fontId="5" fillId="0" borderId="3" xfId="1" applyFont="1" applyFill="1" applyBorder="1" applyAlignment="1">
      <alignment horizontal="center" vertical="center"/>
    </xf>
    <xf numFmtId="43" fontId="5" fillId="0" borderId="2" xfId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4" borderId="2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5" fillId="0" borderId="1" xfId="0" applyFont="1" applyBorder="1" applyAlignment="1">
      <alignment horizontal="right" vertical="center"/>
    </xf>
    <xf numFmtId="0" fontId="15" fillId="0" borderId="6" xfId="0" applyFont="1" applyBorder="1" applyAlignment="1">
      <alignment horizontal="right" vertical="center"/>
    </xf>
    <xf numFmtId="0" fontId="15" fillId="0" borderId="7" xfId="0" applyFont="1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DBD3-9974-4F54-A4EF-267242ECCF0E}">
  <sheetPr>
    <pageSetUpPr fitToPage="1"/>
  </sheetPr>
  <dimension ref="A1:CG755"/>
  <sheetViews>
    <sheetView tabSelected="1" topLeftCell="B1" zoomScale="82" zoomScaleNormal="82" zoomScaleSheetLayoutView="100" zoomScalePageLayoutView="115" workbookViewId="0">
      <pane xSplit="6" ySplit="7" topLeftCell="H8" activePane="bottomRight" state="frozen"/>
      <selection activeCell="B1" sqref="B1"/>
      <selection pane="topRight" activeCell="H1" sqref="H1"/>
      <selection pane="bottomLeft" activeCell="B7" sqref="B7"/>
      <selection pane="bottomRight" activeCell="AZ10" sqref="AZ10"/>
    </sheetView>
  </sheetViews>
  <sheetFormatPr defaultColWidth="9.109375" defaultRowHeight="15" x14ac:dyDescent="0.3"/>
  <cols>
    <col min="1" max="1" width="5" style="1" bestFit="1" customWidth="1"/>
    <col min="2" max="2" width="8.77734375" style="1" customWidth="1"/>
    <col min="3" max="3" width="10.77734375" style="1" customWidth="1"/>
    <col min="4" max="4" width="120.21875" style="6" customWidth="1"/>
    <col min="5" max="5" width="17.6640625" style="6" hidden="1" customWidth="1"/>
    <col min="6" max="6" width="11.109375" style="6" hidden="1" customWidth="1"/>
    <col min="7" max="7" width="24.6640625" style="6" hidden="1" customWidth="1"/>
    <col min="8" max="8" width="12" style="1" customWidth="1"/>
    <col min="9" max="9" width="10.77734375" style="59" customWidth="1"/>
    <col min="10" max="10" width="5.77734375" style="1" hidden="1" customWidth="1"/>
    <col min="11" max="11" width="18.44140625" style="60" hidden="1" customWidth="1"/>
    <col min="12" max="12" width="7.77734375" style="1" hidden="1" customWidth="1"/>
    <col min="13" max="13" width="8.109375" style="1" hidden="1" customWidth="1"/>
    <col min="14" max="14" width="12.109375" style="60" hidden="1" customWidth="1"/>
    <col min="15" max="15" width="14.44140625" style="60" hidden="1" customWidth="1"/>
    <col min="16" max="16" width="5.77734375" style="1" hidden="1" customWidth="1"/>
    <col min="17" max="17" width="18.44140625" style="60" hidden="1" customWidth="1"/>
    <col min="18" max="18" width="7.77734375" style="1" hidden="1" customWidth="1"/>
    <col min="19" max="19" width="8.109375" style="1" hidden="1" customWidth="1"/>
    <col min="20" max="20" width="10.109375" style="60" hidden="1" customWidth="1"/>
    <col min="21" max="21" width="14.44140625" style="60" hidden="1" customWidth="1"/>
    <col min="22" max="22" width="5.77734375" style="1" hidden="1" customWidth="1"/>
    <col min="23" max="23" width="13.44140625" style="60" hidden="1" customWidth="1"/>
    <col min="24" max="25" width="9.109375" style="1" hidden="1" customWidth="1"/>
    <col min="26" max="26" width="14.109375" style="60" hidden="1" customWidth="1"/>
    <col min="27" max="27" width="16.109375" style="60" hidden="1" customWidth="1"/>
    <col min="28" max="28" width="7.77734375" style="1" hidden="1" customWidth="1"/>
    <col min="29" max="29" width="17.77734375" style="60" hidden="1" customWidth="1"/>
    <col min="30" max="30" width="8.77734375" style="1" hidden="1" customWidth="1"/>
    <col min="31" max="31" width="9.44140625" style="1" hidden="1" customWidth="1"/>
    <col min="32" max="32" width="14.109375" style="60" hidden="1" customWidth="1"/>
    <col min="33" max="33" width="14.77734375" style="60" hidden="1" customWidth="1"/>
    <col min="34" max="34" width="7" style="1" hidden="1" customWidth="1"/>
    <col min="35" max="35" width="17.77734375" style="60" hidden="1" customWidth="1"/>
    <col min="36" max="36" width="9.77734375" style="1" hidden="1" customWidth="1"/>
    <col min="37" max="37" width="9.109375" style="1" hidden="1" customWidth="1"/>
    <col min="38" max="38" width="13.44140625" style="61" hidden="1" customWidth="1"/>
    <col min="39" max="39" width="14.77734375" style="61" hidden="1" customWidth="1"/>
    <col min="40" max="40" width="6.33203125" style="1" hidden="1" customWidth="1"/>
    <col min="41" max="41" width="16" style="61" hidden="1" customWidth="1"/>
    <col min="42" max="42" width="9.109375" style="1" hidden="1" customWidth="1"/>
    <col min="43" max="43" width="10" style="1" hidden="1" customWidth="1"/>
    <col min="44" max="44" width="13.44140625" style="61" hidden="1" customWidth="1"/>
    <col min="45" max="45" width="16" style="61" hidden="1" customWidth="1"/>
    <col min="46" max="46" width="6.44140625" style="1" hidden="1" customWidth="1"/>
    <col min="47" max="47" width="20.77734375" style="1" hidden="1" customWidth="1"/>
    <col min="48" max="48" width="9.109375" style="1" customWidth="1"/>
    <col min="49" max="49" width="8.109375" style="1" customWidth="1"/>
    <col min="50" max="50" width="13.44140625" style="1" customWidth="1"/>
    <col min="51" max="51" width="14.77734375" style="1" customWidth="1"/>
    <col min="52" max="52" width="7" style="1" customWidth="1"/>
    <col min="53" max="53" width="17.109375" style="1" customWidth="1"/>
    <col min="54" max="54" width="8.77734375" style="1" customWidth="1"/>
    <col min="55" max="55" width="8.109375" style="1" customWidth="1"/>
    <col min="56" max="56" width="13.44140625" style="1" customWidth="1"/>
    <col min="57" max="57" width="14.77734375" style="1" customWidth="1"/>
    <col min="58" max="58" width="7.109375" style="1" customWidth="1"/>
    <col min="59" max="59" width="17.109375" style="1" customWidth="1"/>
    <col min="60" max="60" width="9" style="1" customWidth="1"/>
    <col min="61" max="61" width="8.109375" style="1" customWidth="1"/>
    <col min="62" max="62" width="15.33203125" style="1" customWidth="1"/>
    <col min="63" max="63" width="14.77734375" style="1" customWidth="1"/>
    <col min="64" max="64" width="5.77734375" style="1" customWidth="1"/>
    <col min="65" max="65" width="17.109375" style="1" customWidth="1"/>
    <col min="66" max="66" width="7.77734375" style="1" customWidth="1"/>
    <col min="67" max="67" width="8.109375" style="1" customWidth="1"/>
    <col min="68" max="68" width="13.44140625" style="1" customWidth="1"/>
    <col min="69" max="69" width="14.77734375" style="1" customWidth="1"/>
    <col min="70" max="70" width="5.77734375" style="1" customWidth="1"/>
    <col min="71" max="71" width="17.109375" style="1" customWidth="1"/>
    <col min="72" max="72" width="7.77734375" style="1" customWidth="1"/>
    <col min="73" max="73" width="8.109375" style="1" customWidth="1"/>
    <col min="74" max="74" width="13.44140625" style="1" customWidth="1"/>
    <col min="75" max="75" width="14.77734375" style="1" customWidth="1"/>
    <col min="76" max="76" width="5.77734375" style="1" customWidth="1"/>
    <col min="77" max="77" width="20.77734375" style="1" customWidth="1"/>
    <col min="78" max="78" width="7.77734375" style="1" customWidth="1"/>
    <col min="79" max="79" width="8.109375" style="1" customWidth="1"/>
    <col min="80" max="80" width="15.109375" style="1" customWidth="1"/>
    <col min="81" max="81" width="17.109375" style="1" customWidth="1"/>
    <col min="82" max="82" width="13.109375" style="1" customWidth="1"/>
    <col min="83" max="83" width="21.44140625" style="1" customWidth="1"/>
    <col min="84" max="16384" width="9.109375" style="1"/>
  </cols>
  <sheetData>
    <row r="1" spans="1:85" ht="31.5" customHeight="1" x14ac:dyDescent="0.3">
      <c r="C1" s="2"/>
      <c r="D1" s="182" t="s">
        <v>403</v>
      </c>
      <c r="E1" s="182"/>
      <c r="F1" s="182"/>
      <c r="G1" s="182"/>
      <c r="H1" s="18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1"/>
      <c r="AO1" s="1"/>
      <c r="AP1" s="5"/>
      <c r="AQ1" s="5"/>
      <c r="AR1" s="183" t="s">
        <v>0</v>
      </c>
      <c r="AS1" s="183"/>
      <c r="BJ1" s="183" t="s">
        <v>0</v>
      </c>
      <c r="BK1" s="183"/>
    </row>
    <row r="2" spans="1:85" s="2" customFormat="1" ht="42" customHeight="1" x14ac:dyDescent="0.3">
      <c r="A2" s="8" t="s">
        <v>1</v>
      </c>
      <c r="B2" s="184" t="s">
        <v>2</v>
      </c>
      <c r="C2" s="184" t="s">
        <v>3</v>
      </c>
      <c r="D2" s="184" t="s">
        <v>4</v>
      </c>
      <c r="E2" s="185" t="s">
        <v>5</v>
      </c>
      <c r="F2" s="185" t="s">
        <v>6</v>
      </c>
      <c r="G2" s="185" t="s">
        <v>7</v>
      </c>
      <c r="H2" s="185" t="s">
        <v>393</v>
      </c>
      <c r="I2" s="189" t="s">
        <v>8</v>
      </c>
      <c r="J2" s="185" t="s">
        <v>9</v>
      </c>
      <c r="K2" s="185"/>
      <c r="L2" s="185"/>
      <c r="M2" s="185"/>
      <c r="N2" s="185"/>
      <c r="O2" s="185"/>
      <c r="P2" s="185" t="s">
        <v>10</v>
      </c>
      <c r="Q2" s="185"/>
      <c r="R2" s="185"/>
      <c r="S2" s="185"/>
      <c r="T2" s="185"/>
      <c r="U2" s="185"/>
      <c r="V2" s="185" t="s">
        <v>11</v>
      </c>
      <c r="W2" s="185"/>
      <c r="X2" s="185"/>
      <c r="Y2" s="185"/>
      <c r="Z2" s="185"/>
      <c r="AA2" s="185"/>
      <c r="AB2" s="187" t="s">
        <v>12</v>
      </c>
      <c r="AC2" s="187"/>
      <c r="AD2" s="187"/>
      <c r="AE2" s="187"/>
      <c r="AF2" s="187"/>
      <c r="AG2" s="187"/>
      <c r="AH2" s="187" t="s">
        <v>13</v>
      </c>
      <c r="AI2" s="187"/>
      <c r="AJ2" s="187"/>
      <c r="AK2" s="187"/>
      <c r="AL2" s="187"/>
      <c r="AM2" s="187"/>
      <c r="AN2" s="187" t="s">
        <v>14</v>
      </c>
      <c r="AO2" s="187"/>
      <c r="AP2" s="187"/>
      <c r="AQ2" s="187"/>
      <c r="AR2" s="187"/>
      <c r="AS2" s="187"/>
      <c r="AT2" s="187" t="s">
        <v>15</v>
      </c>
      <c r="AU2" s="187"/>
      <c r="AV2" s="187"/>
      <c r="AW2" s="187"/>
      <c r="AX2" s="187"/>
      <c r="AY2" s="187"/>
      <c r="AZ2" s="187" t="s">
        <v>16</v>
      </c>
      <c r="BA2" s="187"/>
      <c r="BB2" s="187"/>
      <c r="BC2" s="187"/>
      <c r="BD2" s="187"/>
      <c r="BE2" s="187"/>
      <c r="BF2" s="187" t="s">
        <v>17</v>
      </c>
      <c r="BG2" s="187"/>
      <c r="BH2" s="187"/>
      <c r="BI2" s="187"/>
      <c r="BJ2" s="187"/>
      <c r="BK2" s="187"/>
      <c r="BL2" s="187" t="s">
        <v>18</v>
      </c>
      <c r="BM2" s="187"/>
      <c r="BN2" s="187"/>
      <c r="BO2" s="187"/>
      <c r="BP2" s="187"/>
      <c r="BQ2" s="187"/>
      <c r="BR2" s="187" t="s">
        <v>19</v>
      </c>
      <c r="BS2" s="187"/>
      <c r="BT2" s="187"/>
      <c r="BU2" s="187"/>
      <c r="BV2" s="187"/>
      <c r="BW2" s="187"/>
      <c r="BX2" s="187" t="s">
        <v>20</v>
      </c>
      <c r="BY2" s="187"/>
      <c r="BZ2" s="187"/>
      <c r="CA2" s="187"/>
      <c r="CB2" s="187"/>
      <c r="CC2" s="187"/>
      <c r="CD2" s="188" t="s">
        <v>456</v>
      </c>
    </row>
    <row r="3" spans="1:85" s="2" customFormat="1" ht="45" x14ac:dyDescent="0.3">
      <c r="A3" s="8"/>
      <c r="B3" s="184"/>
      <c r="C3" s="184"/>
      <c r="D3" s="184"/>
      <c r="E3" s="185"/>
      <c r="F3" s="185"/>
      <c r="G3" s="185"/>
      <c r="H3" s="185"/>
      <c r="I3" s="189"/>
      <c r="J3" s="11" t="s">
        <v>21</v>
      </c>
      <c r="K3" s="9" t="s">
        <v>22</v>
      </c>
      <c r="L3" s="10" t="s">
        <v>23</v>
      </c>
      <c r="M3" s="10" t="s">
        <v>24</v>
      </c>
      <c r="N3" s="9" t="s">
        <v>25</v>
      </c>
      <c r="O3" s="9" t="s">
        <v>26</v>
      </c>
      <c r="P3" s="11" t="s">
        <v>21</v>
      </c>
      <c r="Q3" s="9" t="s">
        <v>27</v>
      </c>
      <c r="R3" s="10" t="s">
        <v>23</v>
      </c>
      <c r="S3" s="10" t="s">
        <v>24</v>
      </c>
      <c r="T3" s="9" t="s">
        <v>25</v>
      </c>
      <c r="U3" s="9" t="s">
        <v>26</v>
      </c>
      <c r="V3" s="11" t="s">
        <v>21</v>
      </c>
      <c r="W3" s="9" t="s">
        <v>27</v>
      </c>
      <c r="X3" s="10" t="s">
        <v>23</v>
      </c>
      <c r="Y3" s="10" t="s">
        <v>24</v>
      </c>
      <c r="Z3" s="9" t="s">
        <v>25</v>
      </c>
      <c r="AA3" s="9" t="s">
        <v>26</v>
      </c>
      <c r="AB3" s="11" t="s">
        <v>21</v>
      </c>
      <c r="AC3" s="9" t="s">
        <v>28</v>
      </c>
      <c r="AD3" s="10" t="s">
        <v>23</v>
      </c>
      <c r="AE3" s="10" t="s">
        <v>24</v>
      </c>
      <c r="AF3" s="9" t="s">
        <v>25</v>
      </c>
      <c r="AG3" s="9" t="s">
        <v>29</v>
      </c>
      <c r="AH3" s="11" t="s">
        <v>21</v>
      </c>
      <c r="AI3" s="9" t="s">
        <v>28</v>
      </c>
      <c r="AJ3" s="10" t="s">
        <v>23</v>
      </c>
      <c r="AK3" s="10" t="s">
        <v>24</v>
      </c>
      <c r="AL3" s="11" t="s">
        <v>25</v>
      </c>
      <c r="AM3" s="11" t="s">
        <v>29</v>
      </c>
      <c r="AN3" s="11" t="s">
        <v>21</v>
      </c>
      <c r="AO3" s="11" t="s">
        <v>28</v>
      </c>
      <c r="AP3" s="10" t="s">
        <v>23</v>
      </c>
      <c r="AQ3" s="10" t="s">
        <v>24</v>
      </c>
      <c r="AR3" s="11" t="s">
        <v>25</v>
      </c>
      <c r="AS3" s="11" t="s">
        <v>29</v>
      </c>
      <c r="AT3" s="11" t="s">
        <v>21</v>
      </c>
      <c r="AU3" s="11" t="s">
        <v>28</v>
      </c>
      <c r="AV3" s="10" t="s">
        <v>23</v>
      </c>
      <c r="AW3" s="10" t="s">
        <v>24</v>
      </c>
      <c r="AX3" s="11" t="s">
        <v>25</v>
      </c>
      <c r="AY3" s="11" t="s">
        <v>29</v>
      </c>
      <c r="AZ3" s="11" t="s">
        <v>21</v>
      </c>
      <c r="BA3" s="11" t="s">
        <v>28</v>
      </c>
      <c r="BB3" s="10" t="s">
        <v>23</v>
      </c>
      <c r="BC3" s="10" t="s">
        <v>24</v>
      </c>
      <c r="BD3" s="11" t="s">
        <v>25</v>
      </c>
      <c r="BE3" s="11" t="s">
        <v>29</v>
      </c>
      <c r="BF3" s="11" t="s">
        <v>21</v>
      </c>
      <c r="BG3" s="11" t="s">
        <v>28</v>
      </c>
      <c r="BH3" s="10" t="s">
        <v>23</v>
      </c>
      <c r="BI3" s="10" t="s">
        <v>24</v>
      </c>
      <c r="BJ3" s="11" t="s">
        <v>25</v>
      </c>
      <c r="BK3" s="11" t="s">
        <v>29</v>
      </c>
      <c r="BL3" s="11" t="s">
        <v>21</v>
      </c>
      <c r="BM3" s="11" t="s">
        <v>28</v>
      </c>
      <c r="BN3" s="10" t="s">
        <v>23</v>
      </c>
      <c r="BO3" s="10" t="s">
        <v>24</v>
      </c>
      <c r="BP3" s="11" t="s">
        <v>25</v>
      </c>
      <c r="BQ3" s="11" t="s">
        <v>29</v>
      </c>
      <c r="BR3" s="10" t="s">
        <v>21</v>
      </c>
      <c r="BS3" s="11" t="s">
        <v>28</v>
      </c>
      <c r="BT3" s="10" t="s">
        <v>23</v>
      </c>
      <c r="BU3" s="10" t="s">
        <v>24</v>
      </c>
      <c r="BV3" s="11" t="s">
        <v>25</v>
      </c>
      <c r="BW3" s="11" t="s">
        <v>29</v>
      </c>
      <c r="BX3" s="10" t="s">
        <v>21</v>
      </c>
      <c r="BY3" s="11" t="s">
        <v>28</v>
      </c>
      <c r="BZ3" s="10" t="s">
        <v>23</v>
      </c>
      <c r="CA3" s="10" t="s">
        <v>24</v>
      </c>
      <c r="CB3" s="11" t="s">
        <v>25</v>
      </c>
      <c r="CC3" s="11" t="s">
        <v>29</v>
      </c>
      <c r="CD3" s="188"/>
      <c r="CE3" s="11" t="s">
        <v>28</v>
      </c>
    </row>
    <row r="4" spans="1:85" x14ac:dyDescent="0.25">
      <c r="B4" s="70">
        <v>1</v>
      </c>
      <c r="C4" s="170" t="s">
        <v>30</v>
      </c>
      <c r="D4" s="71" t="s">
        <v>384</v>
      </c>
      <c r="E4" s="22"/>
      <c r="F4" s="22"/>
      <c r="G4" s="22"/>
      <c r="H4" s="72">
        <v>5</v>
      </c>
      <c r="I4" s="73">
        <v>3.8</v>
      </c>
      <c r="J4" s="72">
        <v>5</v>
      </c>
      <c r="K4" s="16">
        <f t="shared" ref="K4:K78" si="0">SUM(J4*I4)</f>
        <v>19</v>
      </c>
      <c r="L4" s="19">
        <v>1</v>
      </c>
      <c r="M4" s="19">
        <v>0</v>
      </c>
      <c r="N4" s="16">
        <f t="shared" ref="N4" si="1">M4*I4</f>
        <v>0</v>
      </c>
      <c r="O4" s="16">
        <f t="shared" ref="O4" si="2">L4*I4</f>
        <v>3.8</v>
      </c>
      <c r="P4" s="18">
        <f t="shared" ref="P4" si="3">J4-L4+M4</f>
        <v>4</v>
      </c>
      <c r="Q4" s="16">
        <f t="shared" ref="Q4" si="4">P4*I4</f>
        <v>15.2</v>
      </c>
      <c r="R4" s="19">
        <v>1</v>
      </c>
      <c r="S4" s="18">
        <v>0</v>
      </c>
      <c r="T4" s="16">
        <f t="shared" ref="T4" si="5">S4*I4</f>
        <v>0</v>
      </c>
      <c r="U4" s="16">
        <f t="shared" ref="U4" si="6">R4*I4</f>
        <v>3.8</v>
      </c>
      <c r="V4" s="18">
        <f t="shared" ref="V4" si="7">P4-R4+S4</f>
        <v>3</v>
      </c>
      <c r="W4" s="16">
        <f t="shared" ref="W4" si="8">V4*I4</f>
        <v>11.399999999999999</v>
      </c>
      <c r="X4" s="19">
        <v>1</v>
      </c>
      <c r="Y4" s="19">
        <v>0</v>
      </c>
      <c r="Z4" s="16">
        <f t="shared" ref="Z4" si="9">Y4*I4</f>
        <v>0</v>
      </c>
      <c r="AA4" s="16">
        <f t="shared" ref="AA4" si="10">X4*I4</f>
        <v>3.8</v>
      </c>
      <c r="AB4" s="18">
        <f t="shared" ref="AB4" si="11">V4-X4+Y4</f>
        <v>2</v>
      </c>
      <c r="AC4" s="16">
        <f t="shared" ref="AC4" si="12">AB4*I4</f>
        <v>7.6</v>
      </c>
      <c r="AD4" s="19">
        <v>0</v>
      </c>
      <c r="AE4" s="19">
        <v>0</v>
      </c>
      <c r="AF4" s="16">
        <f t="shared" ref="AF4" si="13">AE4*I4</f>
        <v>0</v>
      </c>
      <c r="AG4" s="16">
        <f t="shared" ref="AG4" si="14">AD4*I4</f>
        <v>0</v>
      </c>
      <c r="AH4" s="18">
        <f t="shared" ref="AH4:AH67" si="15">AB4-AD4+AE4</f>
        <v>2</v>
      </c>
      <c r="AI4" s="16">
        <f t="shared" ref="AI4:AI67" si="16">AH4*I4</f>
        <v>7.6</v>
      </c>
      <c r="AJ4" s="19">
        <v>0</v>
      </c>
      <c r="AK4" s="19">
        <v>0</v>
      </c>
      <c r="AL4" s="16">
        <f t="shared" ref="AL4" si="17">AK4*I4</f>
        <v>0</v>
      </c>
      <c r="AM4" s="16">
        <f t="shared" ref="AM4" si="18">AJ4*I4</f>
        <v>0</v>
      </c>
      <c r="AN4" s="18">
        <f>AH4-AJ4+AK4</f>
        <v>2</v>
      </c>
      <c r="AO4" s="16">
        <f t="shared" ref="AO4" si="19">AN4*I4</f>
        <v>7.6</v>
      </c>
      <c r="AP4" s="19">
        <v>0</v>
      </c>
      <c r="AQ4" s="19">
        <v>0</v>
      </c>
      <c r="AR4" s="16">
        <f t="shared" ref="AR4" si="20">AQ4*I4</f>
        <v>0</v>
      </c>
      <c r="AS4" s="16">
        <f t="shared" ref="AS4" si="21">AP4*I4</f>
        <v>0</v>
      </c>
      <c r="AT4" s="18">
        <f t="shared" ref="AT4" si="22">AN4-AP4+AQ4</f>
        <v>2</v>
      </c>
      <c r="AU4" s="16">
        <f t="shared" ref="AU4" si="23">AT4*I4</f>
        <v>7.6</v>
      </c>
      <c r="AV4" s="19">
        <v>0</v>
      </c>
      <c r="AW4" s="19">
        <v>0</v>
      </c>
      <c r="AX4" s="16">
        <f t="shared" ref="AX4" si="24">AW4*I4</f>
        <v>0</v>
      </c>
      <c r="AY4" s="16">
        <f t="shared" ref="AY4" si="25">AV4*I4</f>
        <v>0</v>
      </c>
      <c r="AZ4" s="18">
        <f t="shared" ref="AZ4:AZ5" si="26">AT4-AV4+AW4</f>
        <v>2</v>
      </c>
      <c r="BA4" s="16">
        <f t="shared" ref="BA4:BA5" si="27">AZ4*I4</f>
        <v>7.6</v>
      </c>
      <c r="BB4" s="19">
        <v>0</v>
      </c>
      <c r="BC4" s="19">
        <v>0</v>
      </c>
      <c r="BD4" s="16">
        <f t="shared" ref="BD4:BD17" si="28">BC4*I4</f>
        <v>0</v>
      </c>
      <c r="BE4" s="16">
        <f t="shared" ref="BE4:BE14" si="29">BB4*I4</f>
        <v>0</v>
      </c>
      <c r="BF4" s="18">
        <f t="shared" ref="BF4:BF5" si="30">AZ4-BB4+BC4</f>
        <v>2</v>
      </c>
      <c r="BG4" s="16">
        <f t="shared" ref="BG4:BG5" si="31">BF4*I4</f>
        <v>7.6</v>
      </c>
      <c r="BH4" s="19">
        <v>0</v>
      </c>
      <c r="BI4" s="19">
        <v>0</v>
      </c>
      <c r="BJ4" s="16">
        <f t="shared" ref="BJ4" si="32">BI4*I4</f>
        <v>0</v>
      </c>
      <c r="BK4" s="16">
        <f t="shared" ref="BK4" si="33">BH4*I4</f>
        <v>0</v>
      </c>
      <c r="BL4" s="18">
        <f t="shared" ref="BL4:BL5" si="34">BF4-BH4+BI4</f>
        <v>2</v>
      </c>
      <c r="BM4" s="16">
        <f t="shared" ref="BM4" si="35">BL4*I4</f>
        <v>7.6</v>
      </c>
      <c r="BN4" s="19">
        <v>0</v>
      </c>
      <c r="BO4" s="19">
        <v>0</v>
      </c>
      <c r="BP4" s="16">
        <f t="shared" ref="BP4" si="36">BO4*I4</f>
        <v>0</v>
      </c>
      <c r="BQ4" s="16">
        <f t="shared" ref="BQ4" si="37">BN4*I4</f>
        <v>0</v>
      </c>
      <c r="BR4" s="18">
        <f t="shared" ref="BR4" si="38">BL4-BN4+BO4</f>
        <v>2</v>
      </c>
      <c r="BS4" s="16">
        <f t="shared" ref="BS4" si="39">BR4*I4</f>
        <v>7.6</v>
      </c>
      <c r="BT4" s="19">
        <v>0</v>
      </c>
      <c r="BU4" s="19">
        <v>0</v>
      </c>
      <c r="BV4" s="16">
        <f t="shared" ref="BV4" si="40">BU4*I4</f>
        <v>0</v>
      </c>
      <c r="BW4" s="16">
        <f t="shared" ref="BW4" si="41">BT4*I4</f>
        <v>0</v>
      </c>
      <c r="BX4" s="18">
        <f t="shared" ref="BX4" si="42">BR4-BT4+BU4</f>
        <v>2</v>
      </c>
      <c r="BY4" s="16">
        <f t="shared" ref="BY4" si="43">BX4*I4</f>
        <v>7.6</v>
      </c>
      <c r="BZ4" s="19">
        <v>0</v>
      </c>
      <c r="CA4" s="19">
        <v>0</v>
      </c>
      <c r="CB4" s="16">
        <f>CA4*I4</f>
        <v>0</v>
      </c>
      <c r="CC4" s="16">
        <f>BZ4*I4</f>
        <v>0</v>
      </c>
      <c r="CD4" s="20">
        <v>5</v>
      </c>
      <c r="CE4" s="21">
        <f t="shared" ref="CE4:CE38" si="44">CD4*I4</f>
        <v>19</v>
      </c>
      <c r="CG4" s="1" t="s">
        <v>455</v>
      </c>
    </row>
    <row r="5" spans="1:85" x14ac:dyDescent="0.25">
      <c r="B5" s="70"/>
      <c r="C5" s="171"/>
      <c r="D5" s="71" t="s">
        <v>426</v>
      </c>
      <c r="E5" s="22"/>
      <c r="F5" s="22"/>
      <c r="G5" s="22"/>
      <c r="H5" s="72"/>
      <c r="I5" s="73">
        <v>4.16</v>
      </c>
      <c r="J5" s="72"/>
      <c r="K5" s="16"/>
      <c r="L5" s="19"/>
      <c r="M5" s="19"/>
      <c r="N5" s="16"/>
      <c r="O5" s="16"/>
      <c r="P5" s="18"/>
      <c r="Q5" s="16"/>
      <c r="R5" s="19"/>
      <c r="S5" s="18"/>
      <c r="T5" s="16"/>
      <c r="U5" s="16"/>
      <c r="V5" s="18"/>
      <c r="W5" s="16"/>
      <c r="X5" s="19"/>
      <c r="Y5" s="19"/>
      <c r="Z5" s="16"/>
      <c r="AA5" s="16"/>
      <c r="AB5" s="18">
        <v>0</v>
      </c>
      <c r="AC5" s="16">
        <v>0</v>
      </c>
      <c r="AD5" s="19">
        <v>0</v>
      </c>
      <c r="AE5" s="19">
        <v>0</v>
      </c>
      <c r="AF5" s="16">
        <v>0</v>
      </c>
      <c r="AG5" s="16">
        <v>0</v>
      </c>
      <c r="AH5" s="18">
        <f t="shared" si="15"/>
        <v>0</v>
      </c>
      <c r="AI5" s="16">
        <f t="shared" si="16"/>
        <v>0</v>
      </c>
      <c r="AJ5" s="19">
        <v>0</v>
      </c>
      <c r="AK5" s="19">
        <v>12</v>
      </c>
      <c r="AL5" s="16">
        <f t="shared" ref="AL5:AL68" si="45">AK5*I5</f>
        <v>49.92</v>
      </c>
      <c r="AM5" s="16">
        <f t="shared" ref="AM5:AM68" si="46">AJ5*I5</f>
        <v>0</v>
      </c>
      <c r="AN5" s="18">
        <f t="shared" ref="AN5:AN68" si="47">AH5-AJ5+AK5</f>
        <v>12</v>
      </c>
      <c r="AO5" s="16">
        <f t="shared" ref="AO5:AO68" si="48">AN5*I5</f>
        <v>49.92</v>
      </c>
      <c r="AP5" s="19">
        <v>0</v>
      </c>
      <c r="AQ5" s="19">
        <v>0</v>
      </c>
      <c r="AR5" s="16">
        <f t="shared" ref="AR5:AR68" si="49">AQ5*I5</f>
        <v>0</v>
      </c>
      <c r="AS5" s="16">
        <f t="shared" ref="AS5:AS68" si="50">AP5*I5</f>
        <v>0</v>
      </c>
      <c r="AT5" s="18">
        <f t="shared" ref="AT5:AT68" si="51">AN5-AP5+AQ5</f>
        <v>12</v>
      </c>
      <c r="AU5" s="16">
        <f t="shared" ref="AU5:AU68" si="52">AT5*I5</f>
        <v>49.92</v>
      </c>
      <c r="AV5" s="19">
        <v>0</v>
      </c>
      <c r="AW5" s="19">
        <v>0</v>
      </c>
      <c r="AX5" s="16">
        <f t="shared" ref="AX5:AX68" si="53">AW5*I5</f>
        <v>0</v>
      </c>
      <c r="AY5" s="16">
        <f t="shared" ref="AY5:AY68" si="54">AV5*I5</f>
        <v>0</v>
      </c>
      <c r="AZ5" s="18">
        <f t="shared" si="26"/>
        <v>12</v>
      </c>
      <c r="BA5" s="16">
        <f t="shared" si="27"/>
        <v>49.92</v>
      </c>
      <c r="BB5" s="19">
        <v>0</v>
      </c>
      <c r="BC5" s="19">
        <v>0</v>
      </c>
      <c r="BD5" s="16">
        <f t="shared" si="28"/>
        <v>0</v>
      </c>
      <c r="BE5" s="16">
        <f t="shared" si="29"/>
        <v>0</v>
      </c>
      <c r="BF5" s="18">
        <f t="shared" si="30"/>
        <v>12</v>
      </c>
      <c r="BG5" s="16">
        <f t="shared" si="31"/>
        <v>49.92</v>
      </c>
      <c r="BH5" s="19">
        <v>0</v>
      </c>
      <c r="BI5" s="19">
        <v>0</v>
      </c>
      <c r="BJ5" s="16"/>
      <c r="BK5" s="16"/>
      <c r="BL5" s="18">
        <f t="shared" si="34"/>
        <v>12</v>
      </c>
      <c r="BM5" s="16"/>
      <c r="BN5" s="19"/>
      <c r="BO5" s="19"/>
      <c r="BP5" s="16"/>
      <c r="BQ5" s="16"/>
      <c r="BR5" s="18"/>
      <c r="BS5" s="16"/>
      <c r="BT5" s="19"/>
      <c r="BU5" s="19"/>
      <c r="BV5" s="16"/>
      <c r="BW5" s="16"/>
      <c r="BX5" s="18"/>
      <c r="BY5" s="16"/>
      <c r="BZ5" s="19"/>
      <c r="CA5" s="19"/>
      <c r="CB5" s="16"/>
      <c r="CC5" s="16"/>
      <c r="CD5" s="20"/>
      <c r="CE5" s="21"/>
    </row>
    <row r="6" spans="1:85" x14ac:dyDescent="0.25">
      <c r="B6" s="70">
        <v>2</v>
      </c>
      <c r="C6" s="174" t="s">
        <v>32</v>
      </c>
      <c r="D6" s="41" t="s">
        <v>35</v>
      </c>
      <c r="E6" s="22">
        <v>20</v>
      </c>
      <c r="F6" s="22">
        <v>30</v>
      </c>
      <c r="G6" s="22">
        <v>60</v>
      </c>
      <c r="H6" s="40">
        <v>10</v>
      </c>
      <c r="I6" s="30">
        <v>3.95</v>
      </c>
      <c r="J6" s="72">
        <v>10</v>
      </c>
      <c r="K6" s="16">
        <f t="shared" si="0"/>
        <v>39.5</v>
      </c>
      <c r="L6" s="19">
        <v>10</v>
      </c>
      <c r="M6" s="19">
        <v>0</v>
      </c>
      <c r="N6" s="16">
        <f t="shared" ref="N6:N79" si="55">M6*I6</f>
        <v>0</v>
      </c>
      <c r="O6" s="16">
        <f t="shared" ref="O6:O79" si="56">L6*I6</f>
        <v>39.5</v>
      </c>
      <c r="P6" s="18">
        <f t="shared" ref="P6:P79" si="57">J6-L6+M6</f>
        <v>0</v>
      </c>
      <c r="Q6" s="16">
        <f t="shared" ref="Q6:Q79" si="58">P6*I6</f>
        <v>0</v>
      </c>
      <c r="R6" s="19">
        <v>0</v>
      </c>
      <c r="S6" s="18">
        <v>0</v>
      </c>
      <c r="T6" s="16">
        <f t="shared" ref="T6:T79" si="59">S6*I6</f>
        <v>0</v>
      </c>
      <c r="U6" s="16">
        <f t="shared" ref="U6:U79" si="60">R6*I6</f>
        <v>0</v>
      </c>
      <c r="V6" s="18">
        <f t="shared" ref="V6:V79" si="61">P6-R6+S6</f>
        <v>0</v>
      </c>
      <c r="W6" s="16">
        <f t="shared" ref="W6:W79" si="62">V6*I6</f>
        <v>0</v>
      </c>
      <c r="X6" s="19">
        <v>0</v>
      </c>
      <c r="Y6" s="19">
        <v>0</v>
      </c>
      <c r="Z6" s="16">
        <f t="shared" ref="Z6:Z79" si="63">Y6*I6</f>
        <v>0</v>
      </c>
      <c r="AA6" s="16">
        <f t="shared" ref="AA6:AA79" si="64">X6*I6</f>
        <v>0</v>
      </c>
      <c r="AB6" s="18">
        <f t="shared" ref="AB6:AB79" si="65">V6-X6+Y6</f>
        <v>0</v>
      </c>
      <c r="AC6" s="16">
        <f t="shared" ref="AC6:AC79" si="66">AB6*I6</f>
        <v>0</v>
      </c>
      <c r="AD6" s="19">
        <v>0</v>
      </c>
      <c r="AE6" s="19">
        <v>0</v>
      </c>
      <c r="AF6" s="16">
        <f t="shared" ref="AF6:AF79" si="67">AE6*I6</f>
        <v>0</v>
      </c>
      <c r="AG6" s="16">
        <f t="shared" ref="AG6:AG79" si="68">AD6*I6</f>
        <v>0</v>
      </c>
      <c r="AH6" s="18">
        <f t="shared" si="15"/>
        <v>0</v>
      </c>
      <c r="AI6" s="16">
        <f t="shared" si="16"/>
        <v>0</v>
      </c>
      <c r="AJ6" s="19">
        <v>0</v>
      </c>
      <c r="AK6" s="19">
        <v>0</v>
      </c>
      <c r="AL6" s="16">
        <f t="shared" si="45"/>
        <v>0</v>
      </c>
      <c r="AM6" s="16">
        <f t="shared" si="46"/>
        <v>0</v>
      </c>
      <c r="AN6" s="18">
        <f t="shared" si="47"/>
        <v>0</v>
      </c>
      <c r="AO6" s="16">
        <f t="shared" si="48"/>
        <v>0</v>
      </c>
      <c r="AP6" s="19">
        <v>0</v>
      </c>
      <c r="AQ6" s="19">
        <v>0</v>
      </c>
      <c r="AR6" s="16">
        <f t="shared" si="49"/>
        <v>0</v>
      </c>
      <c r="AS6" s="16">
        <f t="shared" si="50"/>
        <v>0</v>
      </c>
      <c r="AT6" s="18">
        <f t="shared" si="51"/>
        <v>0</v>
      </c>
      <c r="AU6" s="16">
        <f t="shared" si="52"/>
        <v>0</v>
      </c>
      <c r="AV6" s="19">
        <v>0</v>
      </c>
      <c r="AW6" s="19">
        <v>0</v>
      </c>
      <c r="AX6" s="16">
        <f t="shared" si="53"/>
        <v>0</v>
      </c>
      <c r="AY6" s="16">
        <f t="shared" si="54"/>
        <v>0</v>
      </c>
      <c r="AZ6" s="18">
        <f t="shared" ref="AZ6:AZ79" si="69">AT6-AV6+AW6</f>
        <v>0</v>
      </c>
      <c r="BA6" s="16">
        <f t="shared" ref="BA6:BA79" si="70">AZ6*I6</f>
        <v>0</v>
      </c>
      <c r="BB6" s="19">
        <v>0</v>
      </c>
      <c r="BC6" s="19">
        <v>0</v>
      </c>
      <c r="BD6" s="16">
        <f t="shared" si="28"/>
        <v>0</v>
      </c>
      <c r="BE6" s="16">
        <f t="shared" si="29"/>
        <v>0</v>
      </c>
      <c r="BF6" s="18">
        <f t="shared" ref="BF6:BF79" si="71">AZ6-BB6+BC6</f>
        <v>0</v>
      </c>
      <c r="BG6" s="16">
        <f t="shared" ref="BG6:BG79" si="72">BF6*I6</f>
        <v>0</v>
      </c>
      <c r="BH6" s="19">
        <v>0</v>
      </c>
      <c r="BI6" s="19">
        <v>0</v>
      </c>
      <c r="BJ6" s="16">
        <f t="shared" ref="BJ6:BJ79" si="73">BI6*I6</f>
        <v>0</v>
      </c>
      <c r="BK6" s="16">
        <f t="shared" ref="BK6:BK79" si="74">BH6*I6</f>
        <v>0</v>
      </c>
      <c r="BL6" s="18">
        <f t="shared" ref="BL6:BL79" si="75">BF6-BH6+BI6</f>
        <v>0</v>
      </c>
      <c r="BM6" s="16">
        <f t="shared" ref="BM6:BM79" si="76">BL6*I6</f>
        <v>0</v>
      </c>
      <c r="BN6" s="19">
        <v>0</v>
      </c>
      <c r="BO6" s="19">
        <v>0</v>
      </c>
      <c r="BP6" s="16">
        <f t="shared" ref="BP6:BP79" si="77">BO6*I6</f>
        <v>0</v>
      </c>
      <c r="BQ6" s="16">
        <f t="shared" ref="BQ6:BQ79" si="78">BN6*I6</f>
        <v>0</v>
      </c>
      <c r="BR6" s="18">
        <f t="shared" ref="BR6:BR79" si="79">BL6-BN6+BO6</f>
        <v>0</v>
      </c>
      <c r="BS6" s="16">
        <f t="shared" ref="BS6:BS79" si="80">BR6*I6</f>
        <v>0</v>
      </c>
      <c r="BT6" s="19">
        <v>0</v>
      </c>
      <c r="BU6" s="19">
        <v>0</v>
      </c>
      <c r="BV6" s="16">
        <f t="shared" ref="BV6:BV79" si="81">BU6*I6</f>
        <v>0</v>
      </c>
      <c r="BW6" s="16">
        <f t="shared" ref="BW6:BW79" si="82">BT6*I6</f>
        <v>0</v>
      </c>
      <c r="BX6" s="18">
        <f t="shared" ref="BX6:BX79" si="83">BR6-BT6+BU6</f>
        <v>0</v>
      </c>
      <c r="BY6" s="16">
        <f t="shared" ref="BY6:BY79" si="84">BX6*I6</f>
        <v>0</v>
      </c>
      <c r="BZ6" s="19">
        <v>0</v>
      </c>
      <c r="CA6" s="19">
        <v>0</v>
      </c>
      <c r="CB6" s="16">
        <f t="shared" ref="CB6:CB79" si="85">CA6*I6</f>
        <v>0</v>
      </c>
      <c r="CC6" s="16">
        <f t="shared" ref="CC6:CC79" si="86">BZ6*I6</f>
        <v>0</v>
      </c>
      <c r="CD6" s="20">
        <f t="shared" ref="CD6:CD39" si="87">BX6-BZ6+CA6</f>
        <v>0</v>
      </c>
      <c r="CE6" s="21">
        <f t="shared" si="44"/>
        <v>0</v>
      </c>
    </row>
    <row r="7" spans="1:85" x14ac:dyDescent="0.25">
      <c r="B7" s="70">
        <v>3</v>
      </c>
      <c r="C7" s="175"/>
      <c r="D7" s="41" t="s">
        <v>369</v>
      </c>
      <c r="E7" s="22"/>
      <c r="F7" s="22"/>
      <c r="G7" s="22"/>
      <c r="H7" s="40">
        <v>50</v>
      </c>
      <c r="I7" s="30">
        <v>3.65</v>
      </c>
      <c r="J7" s="72">
        <v>50</v>
      </c>
      <c r="K7" s="16">
        <f t="shared" si="0"/>
        <v>182.5</v>
      </c>
      <c r="L7" s="19">
        <v>4</v>
      </c>
      <c r="M7" s="19">
        <v>0</v>
      </c>
      <c r="N7" s="16">
        <f t="shared" si="55"/>
        <v>0</v>
      </c>
      <c r="O7" s="16">
        <f t="shared" si="56"/>
        <v>14.6</v>
      </c>
      <c r="P7" s="18">
        <f t="shared" si="57"/>
        <v>46</v>
      </c>
      <c r="Q7" s="16">
        <f t="shared" si="58"/>
        <v>167.9</v>
      </c>
      <c r="R7" s="19">
        <v>1</v>
      </c>
      <c r="S7" s="18">
        <v>0</v>
      </c>
      <c r="T7" s="16">
        <f t="shared" si="59"/>
        <v>0</v>
      </c>
      <c r="U7" s="16">
        <f t="shared" si="60"/>
        <v>3.65</v>
      </c>
      <c r="V7" s="18">
        <f t="shared" si="61"/>
        <v>45</v>
      </c>
      <c r="W7" s="16">
        <f t="shared" si="62"/>
        <v>164.25</v>
      </c>
      <c r="X7" s="19">
        <v>0</v>
      </c>
      <c r="Y7" s="19">
        <v>0</v>
      </c>
      <c r="Z7" s="16">
        <f t="shared" si="63"/>
        <v>0</v>
      </c>
      <c r="AA7" s="16">
        <f t="shared" si="64"/>
        <v>0</v>
      </c>
      <c r="AB7" s="18">
        <f t="shared" si="65"/>
        <v>45</v>
      </c>
      <c r="AC7" s="16">
        <f t="shared" si="66"/>
        <v>164.25</v>
      </c>
      <c r="AD7" s="19">
        <v>0</v>
      </c>
      <c r="AE7" s="19">
        <v>0</v>
      </c>
      <c r="AF7" s="16">
        <f t="shared" si="67"/>
        <v>0</v>
      </c>
      <c r="AG7" s="16">
        <f t="shared" si="68"/>
        <v>0</v>
      </c>
      <c r="AH7" s="18">
        <f t="shared" si="15"/>
        <v>45</v>
      </c>
      <c r="AI7" s="16">
        <f t="shared" si="16"/>
        <v>164.25</v>
      </c>
      <c r="AJ7" s="19">
        <v>0</v>
      </c>
      <c r="AK7" s="19">
        <v>0</v>
      </c>
      <c r="AL7" s="16">
        <f t="shared" si="45"/>
        <v>0</v>
      </c>
      <c r="AM7" s="16">
        <f t="shared" si="46"/>
        <v>0</v>
      </c>
      <c r="AN7" s="18">
        <f t="shared" si="47"/>
        <v>45</v>
      </c>
      <c r="AO7" s="16">
        <f t="shared" si="48"/>
        <v>164.25</v>
      </c>
      <c r="AP7" s="19">
        <v>1</v>
      </c>
      <c r="AQ7" s="19">
        <v>0</v>
      </c>
      <c r="AR7" s="16">
        <f t="shared" si="49"/>
        <v>0</v>
      </c>
      <c r="AS7" s="16">
        <f t="shared" si="50"/>
        <v>3.65</v>
      </c>
      <c r="AT7" s="18">
        <f t="shared" si="51"/>
        <v>44</v>
      </c>
      <c r="AU7" s="16">
        <f t="shared" si="52"/>
        <v>160.6</v>
      </c>
      <c r="AV7" s="19">
        <v>3</v>
      </c>
      <c r="AW7" s="19">
        <v>0</v>
      </c>
      <c r="AX7" s="16">
        <f t="shared" si="53"/>
        <v>0</v>
      </c>
      <c r="AY7" s="16">
        <f t="shared" si="54"/>
        <v>10.95</v>
      </c>
      <c r="AZ7" s="18">
        <f t="shared" si="69"/>
        <v>41</v>
      </c>
      <c r="BA7" s="16">
        <f t="shared" si="70"/>
        <v>149.65</v>
      </c>
      <c r="BB7" s="19">
        <v>0</v>
      </c>
      <c r="BC7" s="19">
        <v>0</v>
      </c>
      <c r="BD7" s="16">
        <f t="shared" si="28"/>
        <v>0</v>
      </c>
      <c r="BE7" s="16">
        <f t="shared" si="29"/>
        <v>0</v>
      </c>
      <c r="BF7" s="18">
        <f t="shared" si="71"/>
        <v>41</v>
      </c>
      <c r="BG7" s="16">
        <f t="shared" si="72"/>
        <v>149.65</v>
      </c>
      <c r="BH7" s="19">
        <v>0</v>
      </c>
      <c r="BI7" s="19">
        <v>0</v>
      </c>
      <c r="BJ7" s="16">
        <f t="shared" si="73"/>
        <v>0</v>
      </c>
      <c r="BK7" s="16">
        <f t="shared" si="74"/>
        <v>0</v>
      </c>
      <c r="BL7" s="18">
        <f t="shared" si="75"/>
        <v>41</v>
      </c>
      <c r="BM7" s="16">
        <f t="shared" si="76"/>
        <v>149.65</v>
      </c>
      <c r="BN7" s="19">
        <v>0</v>
      </c>
      <c r="BO7" s="19">
        <v>0</v>
      </c>
      <c r="BP7" s="16">
        <f t="shared" si="77"/>
        <v>0</v>
      </c>
      <c r="BQ7" s="16">
        <f t="shared" si="78"/>
        <v>0</v>
      </c>
      <c r="BR7" s="18">
        <f t="shared" si="79"/>
        <v>41</v>
      </c>
      <c r="BS7" s="16">
        <f t="shared" si="80"/>
        <v>149.65</v>
      </c>
      <c r="BT7" s="19">
        <v>0</v>
      </c>
      <c r="BU7" s="19">
        <v>0</v>
      </c>
      <c r="BV7" s="16">
        <f t="shared" si="81"/>
        <v>0</v>
      </c>
      <c r="BW7" s="16">
        <f t="shared" si="82"/>
        <v>0</v>
      </c>
      <c r="BX7" s="18">
        <f t="shared" si="83"/>
        <v>41</v>
      </c>
      <c r="BY7" s="16">
        <f t="shared" si="84"/>
        <v>149.65</v>
      </c>
      <c r="BZ7" s="19">
        <v>0</v>
      </c>
      <c r="CA7" s="19">
        <v>0</v>
      </c>
      <c r="CB7" s="16">
        <f t="shared" si="85"/>
        <v>0</v>
      </c>
      <c r="CC7" s="16">
        <f t="shared" si="86"/>
        <v>0</v>
      </c>
      <c r="CD7" s="20">
        <f t="shared" si="87"/>
        <v>41</v>
      </c>
      <c r="CE7" s="21">
        <f t="shared" si="44"/>
        <v>149.65</v>
      </c>
    </row>
    <row r="8" spans="1:85" x14ac:dyDescent="0.25">
      <c r="B8" s="70">
        <v>4</v>
      </c>
      <c r="C8" s="170" t="s">
        <v>34</v>
      </c>
      <c r="D8" s="41" t="s">
        <v>37</v>
      </c>
      <c r="E8" s="22"/>
      <c r="F8" s="22"/>
      <c r="G8" s="22"/>
      <c r="H8" s="40">
        <v>12</v>
      </c>
      <c r="I8" s="30">
        <v>4</v>
      </c>
      <c r="J8" s="72">
        <v>12</v>
      </c>
      <c r="K8" s="16">
        <f t="shared" si="0"/>
        <v>48</v>
      </c>
      <c r="L8" s="19">
        <v>12</v>
      </c>
      <c r="M8" s="19">
        <v>0</v>
      </c>
      <c r="N8" s="16">
        <f t="shared" si="55"/>
        <v>0</v>
      </c>
      <c r="O8" s="16">
        <f t="shared" si="56"/>
        <v>48</v>
      </c>
      <c r="P8" s="18">
        <f t="shared" si="57"/>
        <v>0</v>
      </c>
      <c r="Q8" s="16">
        <f t="shared" si="58"/>
        <v>0</v>
      </c>
      <c r="R8" s="19">
        <v>0</v>
      </c>
      <c r="S8" s="18">
        <v>0</v>
      </c>
      <c r="T8" s="16">
        <f t="shared" si="59"/>
        <v>0</v>
      </c>
      <c r="U8" s="16">
        <f t="shared" si="60"/>
        <v>0</v>
      </c>
      <c r="V8" s="18">
        <f t="shared" si="61"/>
        <v>0</v>
      </c>
      <c r="W8" s="16">
        <f t="shared" si="62"/>
        <v>0</v>
      </c>
      <c r="X8" s="19">
        <v>0</v>
      </c>
      <c r="Y8" s="19">
        <v>0</v>
      </c>
      <c r="Z8" s="16">
        <f t="shared" si="63"/>
        <v>0</v>
      </c>
      <c r="AA8" s="16">
        <f t="shared" si="64"/>
        <v>0</v>
      </c>
      <c r="AB8" s="18">
        <f t="shared" si="65"/>
        <v>0</v>
      </c>
      <c r="AC8" s="16">
        <f t="shared" si="66"/>
        <v>0</v>
      </c>
      <c r="AD8" s="19">
        <v>0</v>
      </c>
      <c r="AE8" s="19">
        <v>0</v>
      </c>
      <c r="AF8" s="16">
        <f t="shared" si="67"/>
        <v>0</v>
      </c>
      <c r="AG8" s="16">
        <f t="shared" si="68"/>
        <v>0</v>
      </c>
      <c r="AH8" s="18">
        <f t="shared" si="15"/>
        <v>0</v>
      </c>
      <c r="AI8" s="16">
        <f t="shared" si="16"/>
        <v>0</v>
      </c>
      <c r="AJ8" s="19">
        <v>0</v>
      </c>
      <c r="AK8" s="19">
        <v>0</v>
      </c>
      <c r="AL8" s="16">
        <f t="shared" si="45"/>
        <v>0</v>
      </c>
      <c r="AM8" s="16">
        <f t="shared" si="46"/>
        <v>0</v>
      </c>
      <c r="AN8" s="18">
        <f t="shared" si="47"/>
        <v>0</v>
      </c>
      <c r="AO8" s="16">
        <f t="shared" si="48"/>
        <v>0</v>
      </c>
      <c r="AP8" s="19">
        <v>0</v>
      </c>
      <c r="AQ8" s="19">
        <v>0</v>
      </c>
      <c r="AR8" s="16">
        <f t="shared" si="49"/>
        <v>0</v>
      </c>
      <c r="AS8" s="16">
        <f t="shared" si="50"/>
        <v>0</v>
      </c>
      <c r="AT8" s="18">
        <f t="shared" si="51"/>
        <v>0</v>
      </c>
      <c r="AU8" s="16">
        <f t="shared" si="52"/>
        <v>0</v>
      </c>
      <c r="AV8" s="19">
        <v>0</v>
      </c>
      <c r="AW8" s="19">
        <v>0</v>
      </c>
      <c r="AX8" s="16">
        <f t="shared" si="53"/>
        <v>0</v>
      </c>
      <c r="AY8" s="16">
        <f t="shared" si="54"/>
        <v>0</v>
      </c>
      <c r="AZ8" s="18">
        <f t="shared" si="69"/>
        <v>0</v>
      </c>
      <c r="BA8" s="16">
        <f t="shared" si="70"/>
        <v>0</v>
      </c>
      <c r="BB8" s="19">
        <v>0</v>
      </c>
      <c r="BC8" s="19">
        <v>0</v>
      </c>
      <c r="BD8" s="16">
        <f t="shared" si="28"/>
        <v>0</v>
      </c>
      <c r="BE8" s="16">
        <f t="shared" si="29"/>
        <v>0</v>
      </c>
      <c r="BF8" s="18">
        <f t="shared" si="71"/>
        <v>0</v>
      </c>
      <c r="BG8" s="16">
        <f t="shared" si="72"/>
        <v>0</v>
      </c>
      <c r="BH8" s="19">
        <v>0</v>
      </c>
      <c r="BI8" s="19">
        <v>0</v>
      </c>
      <c r="BJ8" s="16">
        <f t="shared" si="73"/>
        <v>0</v>
      </c>
      <c r="BK8" s="16">
        <f t="shared" si="74"/>
        <v>0</v>
      </c>
      <c r="BL8" s="18">
        <f t="shared" si="75"/>
        <v>0</v>
      </c>
      <c r="BM8" s="16">
        <f t="shared" si="76"/>
        <v>0</v>
      </c>
      <c r="BN8" s="19">
        <v>0</v>
      </c>
      <c r="BO8" s="19">
        <v>0</v>
      </c>
      <c r="BP8" s="16">
        <f t="shared" si="77"/>
        <v>0</v>
      </c>
      <c r="BQ8" s="16">
        <f t="shared" si="78"/>
        <v>0</v>
      </c>
      <c r="BR8" s="18">
        <f t="shared" si="79"/>
        <v>0</v>
      </c>
      <c r="BS8" s="16">
        <f t="shared" si="80"/>
        <v>0</v>
      </c>
      <c r="BT8" s="19">
        <v>0</v>
      </c>
      <c r="BU8" s="19">
        <v>0</v>
      </c>
      <c r="BV8" s="16">
        <f t="shared" si="81"/>
        <v>0</v>
      </c>
      <c r="BW8" s="16">
        <f t="shared" si="82"/>
        <v>0</v>
      </c>
      <c r="BX8" s="18">
        <f t="shared" si="83"/>
        <v>0</v>
      </c>
      <c r="BY8" s="16">
        <f t="shared" si="84"/>
        <v>0</v>
      </c>
      <c r="BZ8" s="19">
        <v>0</v>
      </c>
      <c r="CA8" s="19">
        <v>0</v>
      </c>
      <c r="CB8" s="16">
        <f t="shared" si="85"/>
        <v>0</v>
      </c>
      <c r="CC8" s="16">
        <f t="shared" si="86"/>
        <v>0</v>
      </c>
      <c r="CD8" s="20">
        <f t="shared" si="87"/>
        <v>0</v>
      </c>
      <c r="CE8" s="21">
        <f t="shared" si="44"/>
        <v>0</v>
      </c>
    </row>
    <row r="9" spans="1:85" x14ac:dyDescent="0.25">
      <c r="B9" s="70">
        <v>5</v>
      </c>
      <c r="C9" s="186"/>
      <c r="D9" s="41" t="s">
        <v>343</v>
      </c>
      <c r="E9" s="22"/>
      <c r="F9" s="22"/>
      <c r="G9" s="22"/>
      <c r="H9" s="40">
        <v>47</v>
      </c>
      <c r="I9" s="30">
        <v>3.65</v>
      </c>
      <c r="J9" s="72">
        <v>47</v>
      </c>
      <c r="K9" s="16">
        <f t="shared" si="0"/>
        <v>171.54999999999998</v>
      </c>
      <c r="L9" s="19">
        <v>18</v>
      </c>
      <c r="M9" s="19">
        <v>0</v>
      </c>
      <c r="N9" s="16">
        <f t="shared" si="55"/>
        <v>0</v>
      </c>
      <c r="O9" s="16">
        <f t="shared" si="56"/>
        <v>65.7</v>
      </c>
      <c r="P9" s="18">
        <f t="shared" si="57"/>
        <v>29</v>
      </c>
      <c r="Q9" s="16">
        <f t="shared" si="58"/>
        <v>105.85</v>
      </c>
      <c r="R9" s="19">
        <v>5</v>
      </c>
      <c r="S9" s="18">
        <v>0</v>
      </c>
      <c r="T9" s="16">
        <f t="shared" si="59"/>
        <v>0</v>
      </c>
      <c r="U9" s="16">
        <f t="shared" si="60"/>
        <v>18.25</v>
      </c>
      <c r="V9" s="18">
        <f t="shared" si="61"/>
        <v>24</v>
      </c>
      <c r="W9" s="16">
        <f t="shared" si="62"/>
        <v>87.6</v>
      </c>
      <c r="X9" s="19">
        <v>2</v>
      </c>
      <c r="Y9" s="19">
        <v>0</v>
      </c>
      <c r="Z9" s="16">
        <f t="shared" si="63"/>
        <v>0</v>
      </c>
      <c r="AA9" s="16">
        <f t="shared" si="64"/>
        <v>7.3</v>
      </c>
      <c r="AB9" s="18">
        <f t="shared" si="65"/>
        <v>22</v>
      </c>
      <c r="AC9" s="16">
        <f t="shared" si="66"/>
        <v>80.3</v>
      </c>
      <c r="AD9" s="19">
        <v>4</v>
      </c>
      <c r="AE9" s="19">
        <v>0</v>
      </c>
      <c r="AF9" s="16">
        <f t="shared" si="67"/>
        <v>0</v>
      </c>
      <c r="AG9" s="16">
        <f t="shared" si="68"/>
        <v>14.6</v>
      </c>
      <c r="AH9" s="18">
        <f t="shared" si="15"/>
        <v>18</v>
      </c>
      <c r="AI9" s="16">
        <f t="shared" si="16"/>
        <v>65.7</v>
      </c>
      <c r="AJ9" s="19">
        <v>5</v>
      </c>
      <c r="AK9" s="19">
        <v>0</v>
      </c>
      <c r="AL9" s="16">
        <f t="shared" si="45"/>
        <v>0</v>
      </c>
      <c r="AM9" s="16">
        <f t="shared" si="46"/>
        <v>18.25</v>
      </c>
      <c r="AN9" s="18">
        <f t="shared" si="47"/>
        <v>13</v>
      </c>
      <c r="AO9" s="16">
        <f t="shared" si="48"/>
        <v>47.449999999999996</v>
      </c>
      <c r="AP9" s="19">
        <v>8</v>
      </c>
      <c r="AQ9" s="19">
        <v>0</v>
      </c>
      <c r="AR9" s="16">
        <f t="shared" si="49"/>
        <v>0</v>
      </c>
      <c r="AS9" s="16">
        <f t="shared" si="50"/>
        <v>29.2</v>
      </c>
      <c r="AT9" s="18">
        <f t="shared" si="51"/>
        <v>5</v>
      </c>
      <c r="AU9" s="16">
        <f t="shared" si="52"/>
        <v>18.25</v>
      </c>
      <c r="AV9" s="19">
        <v>5</v>
      </c>
      <c r="AW9" s="19">
        <v>0</v>
      </c>
      <c r="AX9" s="16">
        <f t="shared" si="53"/>
        <v>0</v>
      </c>
      <c r="AY9" s="16">
        <f t="shared" si="54"/>
        <v>18.25</v>
      </c>
      <c r="AZ9" s="18">
        <f t="shared" si="69"/>
        <v>0</v>
      </c>
      <c r="BA9" s="16">
        <f t="shared" si="70"/>
        <v>0</v>
      </c>
      <c r="BB9" s="19">
        <v>0</v>
      </c>
      <c r="BC9" s="19">
        <v>0</v>
      </c>
      <c r="BD9" s="16">
        <f t="shared" si="28"/>
        <v>0</v>
      </c>
      <c r="BE9" s="16">
        <f t="shared" si="29"/>
        <v>0</v>
      </c>
      <c r="BF9" s="18">
        <f t="shared" si="71"/>
        <v>0</v>
      </c>
      <c r="BG9" s="16">
        <f t="shared" si="72"/>
        <v>0</v>
      </c>
      <c r="BH9" s="19">
        <v>0</v>
      </c>
      <c r="BI9" s="19">
        <v>0</v>
      </c>
      <c r="BJ9" s="16">
        <f t="shared" si="73"/>
        <v>0</v>
      </c>
      <c r="BK9" s="16">
        <f t="shared" si="74"/>
        <v>0</v>
      </c>
      <c r="BL9" s="18">
        <f t="shared" si="75"/>
        <v>0</v>
      </c>
      <c r="BM9" s="16">
        <f t="shared" si="76"/>
        <v>0</v>
      </c>
      <c r="BN9" s="19">
        <v>0</v>
      </c>
      <c r="BO9" s="19">
        <v>0</v>
      </c>
      <c r="BP9" s="16">
        <f t="shared" si="77"/>
        <v>0</v>
      </c>
      <c r="BQ9" s="16">
        <f t="shared" si="78"/>
        <v>0</v>
      </c>
      <c r="BR9" s="18">
        <f t="shared" si="79"/>
        <v>0</v>
      </c>
      <c r="BS9" s="16">
        <f t="shared" si="80"/>
        <v>0</v>
      </c>
      <c r="BT9" s="19">
        <v>0</v>
      </c>
      <c r="BU9" s="19">
        <v>0</v>
      </c>
      <c r="BV9" s="16">
        <f t="shared" si="81"/>
        <v>0</v>
      </c>
      <c r="BW9" s="16">
        <f t="shared" si="82"/>
        <v>0</v>
      </c>
      <c r="BX9" s="18">
        <f t="shared" si="83"/>
        <v>0</v>
      </c>
      <c r="BY9" s="16">
        <f t="shared" si="84"/>
        <v>0</v>
      </c>
      <c r="BZ9" s="19">
        <v>0</v>
      </c>
      <c r="CA9" s="19">
        <v>0</v>
      </c>
      <c r="CB9" s="16">
        <f t="shared" si="85"/>
        <v>0</v>
      </c>
      <c r="CC9" s="16">
        <f t="shared" si="86"/>
        <v>0</v>
      </c>
      <c r="CD9" s="20">
        <f t="shared" si="87"/>
        <v>0</v>
      </c>
      <c r="CE9" s="21">
        <f t="shared" si="44"/>
        <v>0</v>
      </c>
    </row>
    <row r="10" spans="1:85" x14ac:dyDescent="0.25">
      <c r="B10" s="70"/>
      <c r="C10" s="171"/>
      <c r="D10" s="41" t="s">
        <v>343</v>
      </c>
      <c r="E10" s="22"/>
      <c r="F10" s="22"/>
      <c r="G10" s="22"/>
      <c r="H10" s="40"/>
      <c r="I10" s="30">
        <v>4.16</v>
      </c>
      <c r="J10" s="72"/>
      <c r="K10" s="16"/>
      <c r="L10" s="19"/>
      <c r="M10" s="19"/>
      <c r="N10" s="16"/>
      <c r="O10" s="16"/>
      <c r="P10" s="18"/>
      <c r="Q10" s="16"/>
      <c r="R10" s="19"/>
      <c r="S10" s="18"/>
      <c r="T10" s="16"/>
      <c r="U10" s="16"/>
      <c r="V10" s="18"/>
      <c r="W10" s="16"/>
      <c r="X10" s="19"/>
      <c r="Y10" s="19"/>
      <c r="Z10" s="16"/>
      <c r="AA10" s="16"/>
      <c r="AB10" s="18">
        <v>0</v>
      </c>
      <c r="AC10" s="16">
        <v>0</v>
      </c>
      <c r="AD10" s="19">
        <v>0</v>
      </c>
      <c r="AE10" s="19">
        <v>0</v>
      </c>
      <c r="AF10" s="16">
        <v>0</v>
      </c>
      <c r="AG10" s="16">
        <v>0</v>
      </c>
      <c r="AH10" s="18">
        <f t="shared" si="15"/>
        <v>0</v>
      </c>
      <c r="AI10" s="16">
        <f t="shared" si="16"/>
        <v>0</v>
      </c>
      <c r="AJ10" s="19">
        <v>0</v>
      </c>
      <c r="AK10" s="19">
        <v>34</v>
      </c>
      <c r="AL10" s="16">
        <f t="shared" si="45"/>
        <v>141.44</v>
      </c>
      <c r="AM10" s="16">
        <f t="shared" si="46"/>
        <v>0</v>
      </c>
      <c r="AN10" s="18">
        <f t="shared" si="47"/>
        <v>34</v>
      </c>
      <c r="AO10" s="16">
        <f t="shared" si="48"/>
        <v>141.44</v>
      </c>
      <c r="AP10" s="19">
        <v>0</v>
      </c>
      <c r="AQ10" s="19">
        <v>0</v>
      </c>
      <c r="AR10" s="16">
        <f t="shared" si="49"/>
        <v>0</v>
      </c>
      <c r="AS10" s="16">
        <f t="shared" si="50"/>
        <v>0</v>
      </c>
      <c r="AT10" s="18">
        <f t="shared" si="51"/>
        <v>34</v>
      </c>
      <c r="AU10" s="16">
        <f t="shared" si="52"/>
        <v>141.44</v>
      </c>
      <c r="AV10" s="19">
        <v>2</v>
      </c>
      <c r="AW10" s="19">
        <v>0</v>
      </c>
      <c r="AX10" s="16">
        <f t="shared" si="53"/>
        <v>0</v>
      </c>
      <c r="AY10" s="16">
        <f t="shared" si="54"/>
        <v>8.32</v>
      </c>
      <c r="AZ10" s="18">
        <f t="shared" si="69"/>
        <v>32</v>
      </c>
      <c r="BA10" s="16">
        <f t="shared" si="70"/>
        <v>133.12</v>
      </c>
      <c r="BB10" s="19">
        <v>4</v>
      </c>
      <c r="BC10" s="19">
        <v>0</v>
      </c>
      <c r="BD10" s="16">
        <f t="shared" si="28"/>
        <v>0</v>
      </c>
      <c r="BE10" s="16">
        <f t="shared" si="29"/>
        <v>16.64</v>
      </c>
      <c r="BF10" s="18">
        <f t="shared" si="71"/>
        <v>28</v>
      </c>
      <c r="BG10" s="16"/>
      <c r="BH10" s="19">
        <v>0</v>
      </c>
      <c r="BI10" s="19">
        <v>0</v>
      </c>
      <c r="BJ10" s="16"/>
      <c r="BK10" s="16">
        <f t="shared" si="74"/>
        <v>0</v>
      </c>
      <c r="BL10" s="18">
        <f t="shared" si="75"/>
        <v>28</v>
      </c>
      <c r="BM10" s="16"/>
      <c r="BN10" s="19"/>
      <c r="BO10" s="19"/>
      <c r="BP10" s="16"/>
      <c r="BQ10" s="16"/>
      <c r="BR10" s="18"/>
      <c r="BS10" s="16"/>
      <c r="BT10" s="19"/>
      <c r="BU10" s="19"/>
      <c r="BV10" s="16"/>
      <c r="BW10" s="16"/>
      <c r="BX10" s="18"/>
      <c r="BY10" s="16"/>
      <c r="BZ10" s="19"/>
      <c r="CA10" s="19"/>
      <c r="CB10" s="16"/>
      <c r="CC10" s="16"/>
      <c r="CD10" s="20"/>
      <c r="CE10" s="21"/>
    </row>
    <row r="11" spans="1:85" x14ac:dyDescent="0.25">
      <c r="B11" s="70">
        <v>6</v>
      </c>
      <c r="C11" s="174" t="s">
        <v>36</v>
      </c>
      <c r="D11" s="41" t="s">
        <v>374</v>
      </c>
      <c r="E11" s="22"/>
      <c r="F11" s="22"/>
      <c r="G11" s="22"/>
      <c r="H11" s="40">
        <v>49</v>
      </c>
      <c r="I11" s="30">
        <v>3.65</v>
      </c>
      <c r="J11" s="72">
        <v>49</v>
      </c>
      <c r="K11" s="16">
        <f t="shared" si="0"/>
        <v>178.85</v>
      </c>
      <c r="L11" s="19">
        <v>20</v>
      </c>
      <c r="M11" s="19">
        <v>0</v>
      </c>
      <c r="N11" s="16">
        <f t="shared" si="55"/>
        <v>0</v>
      </c>
      <c r="O11" s="16">
        <f t="shared" si="56"/>
        <v>73</v>
      </c>
      <c r="P11" s="18">
        <f t="shared" si="57"/>
        <v>29</v>
      </c>
      <c r="Q11" s="16">
        <f t="shared" si="58"/>
        <v>105.85</v>
      </c>
      <c r="R11" s="19">
        <v>4</v>
      </c>
      <c r="S11" s="18">
        <v>0</v>
      </c>
      <c r="T11" s="16">
        <f t="shared" si="59"/>
        <v>0</v>
      </c>
      <c r="U11" s="16">
        <f t="shared" si="60"/>
        <v>14.6</v>
      </c>
      <c r="V11" s="18">
        <f t="shared" si="61"/>
        <v>25</v>
      </c>
      <c r="W11" s="16">
        <f t="shared" si="62"/>
        <v>91.25</v>
      </c>
      <c r="X11" s="19">
        <v>0</v>
      </c>
      <c r="Y11" s="19">
        <v>0</v>
      </c>
      <c r="Z11" s="16">
        <f t="shared" si="63"/>
        <v>0</v>
      </c>
      <c r="AA11" s="16">
        <f t="shared" si="64"/>
        <v>0</v>
      </c>
      <c r="AB11" s="18">
        <f t="shared" si="65"/>
        <v>25</v>
      </c>
      <c r="AC11" s="16">
        <f t="shared" si="66"/>
        <v>91.25</v>
      </c>
      <c r="AD11" s="19">
        <v>5</v>
      </c>
      <c r="AE11" s="19">
        <v>0</v>
      </c>
      <c r="AF11" s="16">
        <f t="shared" si="67"/>
        <v>0</v>
      </c>
      <c r="AG11" s="16">
        <f t="shared" si="68"/>
        <v>18.25</v>
      </c>
      <c r="AH11" s="18">
        <f t="shared" si="15"/>
        <v>20</v>
      </c>
      <c r="AI11" s="16">
        <f t="shared" si="16"/>
        <v>73</v>
      </c>
      <c r="AJ11" s="19">
        <v>6</v>
      </c>
      <c r="AK11" s="19">
        <v>0</v>
      </c>
      <c r="AL11" s="16">
        <f t="shared" si="45"/>
        <v>0</v>
      </c>
      <c r="AM11" s="16">
        <f t="shared" si="46"/>
        <v>21.9</v>
      </c>
      <c r="AN11" s="18">
        <f t="shared" si="47"/>
        <v>14</v>
      </c>
      <c r="AO11" s="16">
        <f t="shared" si="48"/>
        <v>51.1</v>
      </c>
      <c r="AP11" s="19">
        <v>8</v>
      </c>
      <c r="AQ11" s="19">
        <v>0</v>
      </c>
      <c r="AR11" s="16">
        <f t="shared" si="49"/>
        <v>0</v>
      </c>
      <c r="AS11" s="16">
        <f t="shared" si="50"/>
        <v>29.2</v>
      </c>
      <c r="AT11" s="18">
        <f t="shared" si="51"/>
        <v>6</v>
      </c>
      <c r="AU11" s="16">
        <f t="shared" si="52"/>
        <v>21.9</v>
      </c>
      <c r="AV11" s="19">
        <v>3</v>
      </c>
      <c r="AW11" s="19">
        <v>0</v>
      </c>
      <c r="AX11" s="16">
        <f t="shared" si="53"/>
        <v>0</v>
      </c>
      <c r="AY11" s="16">
        <f t="shared" si="54"/>
        <v>10.95</v>
      </c>
      <c r="AZ11" s="18">
        <f t="shared" si="69"/>
        <v>3</v>
      </c>
      <c r="BA11" s="16">
        <f t="shared" si="70"/>
        <v>10.95</v>
      </c>
      <c r="BB11" s="19">
        <v>3</v>
      </c>
      <c r="BC11" s="19">
        <v>0</v>
      </c>
      <c r="BD11" s="16">
        <f t="shared" si="28"/>
        <v>0</v>
      </c>
      <c r="BE11" s="16">
        <f t="shared" si="29"/>
        <v>10.95</v>
      </c>
      <c r="BF11" s="18">
        <f t="shared" si="71"/>
        <v>0</v>
      </c>
      <c r="BG11" s="16">
        <f t="shared" si="72"/>
        <v>0</v>
      </c>
      <c r="BH11" s="19">
        <v>0</v>
      </c>
      <c r="BI11" s="19">
        <v>0</v>
      </c>
      <c r="BJ11" s="16">
        <f t="shared" si="73"/>
        <v>0</v>
      </c>
      <c r="BK11" s="16">
        <f t="shared" si="74"/>
        <v>0</v>
      </c>
      <c r="BL11" s="18">
        <f t="shared" si="75"/>
        <v>0</v>
      </c>
      <c r="BM11" s="16">
        <f t="shared" si="76"/>
        <v>0</v>
      </c>
      <c r="BN11" s="19">
        <v>0</v>
      </c>
      <c r="BO11" s="19">
        <v>0</v>
      </c>
      <c r="BP11" s="16">
        <f t="shared" si="77"/>
        <v>0</v>
      </c>
      <c r="BQ11" s="16">
        <f t="shared" si="78"/>
        <v>0</v>
      </c>
      <c r="BR11" s="18">
        <f t="shared" si="79"/>
        <v>0</v>
      </c>
      <c r="BS11" s="16">
        <f t="shared" si="80"/>
        <v>0</v>
      </c>
      <c r="BT11" s="19">
        <v>0</v>
      </c>
      <c r="BU11" s="19">
        <v>0</v>
      </c>
      <c r="BV11" s="16">
        <f t="shared" si="81"/>
        <v>0</v>
      </c>
      <c r="BW11" s="16">
        <f t="shared" si="82"/>
        <v>0</v>
      </c>
      <c r="BX11" s="18">
        <f t="shared" si="83"/>
        <v>0</v>
      </c>
      <c r="BY11" s="16">
        <f t="shared" si="84"/>
        <v>0</v>
      </c>
      <c r="BZ11" s="19">
        <v>0</v>
      </c>
      <c r="CA11" s="19">
        <v>0</v>
      </c>
      <c r="CB11" s="16">
        <f t="shared" si="85"/>
        <v>0</v>
      </c>
      <c r="CC11" s="16">
        <f t="shared" si="86"/>
        <v>0</v>
      </c>
      <c r="CD11" s="20">
        <f t="shared" si="87"/>
        <v>0</v>
      </c>
      <c r="CE11" s="21">
        <f t="shared" si="44"/>
        <v>0</v>
      </c>
    </row>
    <row r="12" spans="1:85" x14ac:dyDescent="0.25">
      <c r="B12" s="70"/>
      <c r="C12" s="175"/>
      <c r="D12" s="41" t="s">
        <v>427</v>
      </c>
      <c r="E12" s="22"/>
      <c r="F12" s="22"/>
      <c r="G12" s="22"/>
      <c r="H12" s="40"/>
      <c r="I12" s="30">
        <v>4.16</v>
      </c>
      <c r="J12" s="72"/>
      <c r="K12" s="16"/>
      <c r="L12" s="19"/>
      <c r="M12" s="19"/>
      <c r="N12" s="16"/>
      <c r="O12" s="16"/>
      <c r="P12" s="18"/>
      <c r="Q12" s="16"/>
      <c r="R12" s="19"/>
      <c r="S12" s="18"/>
      <c r="T12" s="16"/>
      <c r="U12" s="16"/>
      <c r="V12" s="18"/>
      <c r="W12" s="16"/>
      <c r="X12" s="19"/>
      <c r="Y12" s="19"/>
      <c r="Z12" s="16"/>
      <c r="AA12" s="16"/>
      <c r="AB12" s="18">
        <v>0</v>
      </c>
      <c r="AC12" s="16">
        <v>0</v>
      </c>
      <c r="AD12" s="19">
        <v>0</v>
      </c>
      <c r="AE12" s="19">
        <v>0</v>
      </c>
      <c r="AF12" s="16">
        <v>0</v>
      </c>
      <c r="AG12" s="16">
        <v>0</v>
      </c>
      <c r="AH12" s="18">
        <f t="shared" si="15"/>
        <v>0</v>
      </c>
      <c r="AI12" s="16">
        <f t="shared" si="16"/>
        <v>0</v>
      </c>
      <c r="AJ12" s="19">
        <v>0</v>
      </c>
      <c r="AK12" s="19">
        <v>34</v>
      </c>
      <c r="AL12" s="16">
        <f t="shared" si="45"/>
        <v>141.44</v>
      </c>
      <c r="AM12" s="16">
        <f t="shared" si="46"/>
        <v>0</v>
      </c>
      <c r="AN12" s="18">
        <f t="shared" si="47"/>
        <v>34</v>
      </c>
      <c r="AO12" s="16">
        <f t="shared" si="48"/>
        <v>141.44</v>
      </c>
      <c r="AP12" s="19">
        <v>0</v>
      </c>
      <c r="AQ12" s="19">
        <v>0</v>
      </c>
      <c r="AR12" s="16">
        <f t="shared" si="49"/>
        <v>0</v>
      </c>
      <c r="AS12" s="16">
        <f t="shared" si="50"/>
        <v>0</v>
      </c>
      <c r="AT12" s="18">
        <f t="shared" si="51"/>
        <v>34</v>
      </c>
      <c r="AU12" s="16">
        <f t="shared" si="52"/>
        <v>141.44</v>
      </c>
      <c r="AV12" s="19">
        <v>0</v>
      </c>
      <c r="AW12" s="19">
        <v>0</v>
      </c>
      <c r="AX12" s="16">
        <f t="shared" si="53"/>
        <v>0</v>
      </c>
      <c r="AY12" s="16">
        <f t="shared" si="54"/>
        <v>0</v>
      </c>
      <c r="AZ12" s="18">
        <f t="shared" si="69"/>
        <v>34</v>
      </c>
      <c r="BA12" s="16">
        <f t="shared" si="70"/>
        <v>141.44</v>
      </c>
      <c r="BB12" s="19">
        <v>1</v>
      </c>
      <c r="BC12" s="19">
        <v>0</v>
      </c>
      <c r="BD12" s="16">
        <f t="shared" si="28"/>
        <v>0</v>
      </c>
      <c r="BE12" s="16">
        <f t="shared" si="29"/>
        <v>4.16</v>
      </c>
      <c r="BF12" s="18">
        <f t="shared" si="71"/>
        <v>33</v>
      </c>
      <c r="BG12" s="16"/>
      <c r="BH12" s="19">
        <v>0</v>
      </c>
      <c r="BI12" s="19">
        <v>0</v>
      </c>
      <c r="BJ12" s="16"/>
      <c r="BK12" s="16"/>
      <c r="BL12" s="18">
        <f t="shared" si="75"/>
        <v>33</v>
      </c>
      <c r="BM12" s="16"/>
      <c r="BN12" s="19"/>
      <c r="BO12" s="19"/>
      <c r="BP12" s="16"/>
      <c r="BQ12" s="16"/>
      <c r="BR12" s="18"/>
      <c r="BS12" s="16"/>
      <c r="BT12" s="19"/>
      <c r="BU12" s="19"/>
      <c r="BV12" s="16"/>
      <c r="BW12" s="16"/>
      <c r="BX12" s="18"/>
      <c r="BY12" s="16"/>
      <c r="BZ12" s="19"/>
      <c r="CA12" s="19"/>
      <c r="CB12" s="16"/>
      <c r="CC12" s="16"/>
      <c r="CD12" s="20"/>
      <c r="CE12" s="21"/>
    </row>
    <row r="13" spans="1:85" x14ac:dyDescent="0.25">
      <c r="A13" s="23">
        <v>7</v>
      </c>
      <c r="B13" s="70">
        <v>7</v>
      </c>
      <c r="C13" s="79" t="s">
        <v>38</v>
      </c>
      <c r="D13" s="13" t="s">
        <v>39</v>
      </c>
      <c r="E13" s="24"/>
      <c r="F13" s="24"/>
      <c r="G13" s="24"/>
      <c r="H13" s="17">
        <v>2</v>
      </c>
      <c r="I13" s="25">
        <v>3.8</v>
      </c>
      <c r="J13" s="72">
        <v>2</v>
      </c>
      <c r="K13" s="16">
        <f t="shared" si="0"/>
        <v>7.6</v>
      </c>
      <c r="L13" s="19">
        <v>0</v>
      </c>
      <c r="M13" s="19">
        <v>0</v>
      </c>
      <c r="N13" s="16">
        <f t="shared" si="55"/>
        <v>0</v>
      </c>
      <c r="O13" s="16">
        <f t="shared" si="56"/>
        <v>0</v>
      </c>
      <c r="P13" s="18">
        <f t="shared" si="57"/>
        <v>2</v>
      </c>
      <c r="Q13" s="16">
        <f t="shared" si="58"/>
        <v>7.6</v>
      </c>
      <c r="R13" s="19">
        <v>0</v>
      </c>
      <c r="S13" s="18">
        <v>0</v>
      </c>
      <c r="T13" s="16">
        <f t="shared" si="59"/>
        <v>0</v>
      </c>
      <c r="U13" s="16">
        <f t="shared" si="60"/>
        <v>0</v>
      </c>
      <c r="V13" s="18">
        <f t="shared" si="61"/>
        <v>2</v>
      </c>
      <c r="W13" s="16">
        <f t="shared" si="62"/>
        <v>7.6</v>
      </c>
      <c r="X13" s="19">
        <v>0</v>
      </c>
      <c r="Y13" s="19">
        <v>0</v>
      </c>
      <c r="Z13" s="16">
        <f t="shared" si="63"/>
        <v>0</v>
      </c>
      <c r="AA13" s="16">
        <f t="shared" si="64"/>
        <v>0</v>
      </c>
      <c r="AB13" s="18">
        <f t="shared" si="65"/>
        <v>2</v>
      </c>
      <c r="AC13" s="16">
        <f t="shared" si="66"/>
        <v>7.6</v>
      </c>
      <c r="AD13" s="19">
        <v>0</v>
      </c>
      <c r="AE13" s="19">
        <v>0</v>
      </c>
      <c r="AF13" s="16">
        <f t="shared" si="67"/>
        <v>0</v>
      </c>
      <c r="AG13" s="16">
        <f t="shared" si="68"/>
        <v>0</v>
      </c>
      <c r="AH13" s="18">
        <f t="shared" si="15"/>
        <v>2</v>
      </c>
      <c r="AI13" s="16">
        <f t="shared" si="16"/>
        <v>7.6</v>
      </c>
      <c r="AJ13" s="19">
        <v>0</v>
      </c>
      <c r="AK13" s="19">
        <v>0</v>
      </c>
      <c r="AL13" s="16">
        <f t="shared" si="45"/>
        <v>0</v>
      </c>
      <c r="AM13" s="16">
        <f t="shared" si="46"/>
        <v>0</v>
      </c>
      <c r="AN13" s="18">
        <f t="shared" si="47"/>
        <v>2</v>
      </c>
      <c r="AO13" s="16">
        <f t="shared" si="48"/>
        <v>7.6</v>
      </c>
      <c r="AP13" s="19">
        <v>0</v>
      </c>
      <c r="AQ13" s="19">
        <v>0</v>
      </c>
      <c r="AR13" s="16">
        <f t="shared" si="49"/>
        <v>0</v>
      </c>
      <c r="AS13" s="16">
        <f t="shared" si="50"/>
        <v>0</v>
      </c>
      <c r="AT13" s="18">
        <f t="shared" si="51"/>
        <v>2</v>
      </c>
      <c r="AU13" s="16">
        <f t="shared" si="52"/>
        <v>7.6</v>
      </c>
      <c r="AV13" s="19">
        <v>0</v>
      </c>
      <c r="AW13" s="19">
        <v>0</v>
      </c>
      <c r="AX13" s="16">
        <f t="shared" si="53"/>
        <v>0</v>
      </c>
      <c r="AY13" s="16">
        <f t="shared" si="54"/>
        <v>0</v>
      </c>
      <c r="AZ13" s="18">
        <f t="shared" si="69"/>
        <v>2</v>
      </c>
      <c r="BA13" s="16">
        <f t="shared" si="70"/>
        <v>7.6</v>
      </c>
      <c r="BB13" s="19">
        <v>0</v>
      </c>
      <c r="BC13" s="19">
        <v>0</v>
      </c>
      <c r="BD13" s="16">
        <f t="shared" si="28"/>
        <v>0</v>
      </c>
      <c r="BE13" s="16">
        <f t="shared" si="29"/>
        <v>0</v>
      </c>
      <c r="BF13" s="18">
        <f t="shared" si="71"/>
        <v>2</v>
      </c>
      <c r="BG13" s="16">
        <f t="shared" si="72"/>
        <v>7.6</v>
      </c>
      <c r="BH13" s="19">
        <v>0</v>
      </c>
      <c r="BI13" s="19">
        <v>0</v>
      </c>
      <c r="BJ13" s="16">
        <f t="shared" si="73"/>
        <v>0</v>
      </c>
      <c r="BK13" s="16">
        <f t="shared" si="74"/>
        <v>0</v>
      </c>
      <c r="BL13" s="18">
        <f t="shared" si="75"/>
        <v>2</v>
      </c>
      <c r="BM13" s="16">
        <f t="shared" si="76"/>
        <v>7.6</v>
      </c>
      <c r="BN13" s="19">
        <v>0</v>
      </c>
      <c r="BO13" s="19">
        <v>0</v>
      </c>
      <c r="BP13" s="16">
        <f t="shared" si="77"/>
        <v>0</v>
      </c>
      <c r="BQ13" s="16">
        <f t="shared" si="78"/>
        <v>0</v>
      </c>
      <c r="BR13" s="18">
        <f t="shared" si="79"/>
        <v>2</v>
      </c>
      <c r="BS13" s="16">
        <f t="shared" si="80"/>
        <v>7.6</v>
      </c>
      <c r="BT13" s="19">
        <v>0</v>
      </c>
      <c r="BU13" s="19">
        <v>0</v>
      </c>
      <c r="BV13" s="16">
        <f t="shared" si="81"/>
        <v>0</v>
      </c>
      <c r="BW13" s="16">
        <f t="shared" si="82"/>
        <v>0</v>
      </c>
      <c r="BX13" s="18">
        <f t="shared" si="83"/>
        <v>2</v>
      </c>
      <c r="BY13" s="16">
        <f t="shared" si="84"/>
        <v>7.6</v>
      </c>
      <c r="BZ13" s="19">
        <v>0</v>
      </c>
      <c r="CA13" s="19">
        <v>0</v>
      </c>
      <c r="CB13" s="16">
        <f t="shared" si="85"/>
        <v>0</v>
      </c>
      <c r="CC13" s="16">
        <f t="shared" si="86"/>
        <v>0</v>
      </c>
      <c r="CD13" s="20">
        <f t="shared" si="87"/>
        <v>2</v>
      </c>
      <c r="CE13" s="21">
        <f t="shared" si="44"/>
        <v>7.6</v>
      </c>
      <c r="CG13" s="1" t="s">
        <v>455</v>
      </c>
    </row>
    <row r="14" spans="1:85" x14ac:dyDescent="0.25">
      <c r="A14" s="23">
        <v>8</v>
      </c>
      <c r="B14" s="70">
        <v>8</v>
      </c>
      <c r="C14" s="79" t="s">
        <v>40</v>
      </c>
      <c r="D14" s="13" t="s">
        <v>41</v>
      </c>
      <c r="E14" s="26"/>
      <c r="F14" s="26"/>
      <c r="G14" s="26"/>
      <c r="H14" s="17">
        <v>7</v>
      </c>
      <c r="I14" s="25">
        <v>3.9</v>
      </c>
      <c r="J14" s="72">
        <v>7</v>
      </c>
      <c r="K14" s="16">
        <f t="shared" si="0"/>
        <v>27.3</v>
      </c>
      <c r="L14" s="19">
        <v>0</v>
      </c>
      <c r="M14" s="19">
        <v>0</v>
      </c>
      <c r="N14" s="16">
        <f t="shared" si="55"/>
        <v>0</v>
      </c>
      <c r="O14" s="16">
        <f t="shared" si="56"/>
        <v>0</v>
      </c>
      <c r="P14" s="18">
        <f t="shared" si="57"/>
        <v>7</v>
      </c>
      <c r="Q14" s="16">
        <f t="shared" si="58"/>
        <v>27.3</v>
      </c>
      <c r="R14" s="19">
        <v>0</v>
      </c>
      <c r="S14" s="18">
        <v>0</v>
      </c>
      <c r="T14" s="16">
        <f t="shared" si="59"/>
        <v>0</v>
      </c>
      <c r="U14" s="16">
        <f t="shared" si="60"/>
        <v>0</v>
      </c>
      <c r="V14" s="18">
        <f t="shared" si="61"/>
        <v>7</v>
      </c>
      <c r="W14" s="16">
        <f t="shared" si="62"/>
        <v>27.3</v>
      </c>
      <c r="X14" s="19">
        <v>0</v>
      </c>
      <c r="Y14" s="19">
        <v>0</v>
      </c>
      <c r="Z14" s="16">
        <f t="shared" si="63"/>
        <v>0</v>
      </c>
      <c r="AA14" s="16">
        <f t="shared" si="64"/>
        <v>0</v>
      </c>
      <c r="AB14" s="18">
        <f t="shared" si="65"/>
        <v>7</v>
      </c>
      <c r="AC14" s="16">
        <f t="shared" si="66"/>
        <v>27.3</v>
      </c>
      <c r="AD14" s="19">
        <v>0</v>
      </c>
      <c r="AE14" s="19">
        <v>0</v>
      </c>
      <c r="AF14" s="16">
        <f t="shared" si="67"/>
        <v>0</v>
      </c>
      <c r="AG14" s="16">
        <f t="shared" si="68"/>
        <v>0</v>
      </c>
      <c r="AH14" s="18">
        <f t="shared" si="15"/>
        <v>7</v>
      </c>
      <c r="AI14" s="16">
        <f t="shared" si="16"/>
        <v>27.3</v>
      </c>
      <c r="AJ14" s="19">
        <v>0</v>
      </c>
      <c r="AK14" s="19">
        <v>0</v>
      </c>
      <c r="AL14" s="16">
        <f t="shared" si="45"/>
        <v>0</v>
      </c>
      <c r="AM14" s="16">
        <f t="shared" si="46"/>
        <v>0</v>
      </c>
      <c r="AN14" s="18">
        <f t="shared" si="47"/>
        <v>7</v>
      </c>
      <c r="AO14" s="16">
        <f t="shared" si="48"/>
        <v>27.3</v>
      </c>
      <c r="AP14" s="19">
        <v>0</v>
      </c>
      <c r="AQ14" s="19">
        <v>0</v>
      </c>
      <c r="AR14" s="16">
        <f t="shared" si="49"/>
        <v>0</v>
      </c>
      <c r="AS14" s="16">
        <f t="shared" si="50"/>
        <v>0</v>
      </c>
      <c r="AT14" s="18">
        <f t="shared" si="51"/>
        <v>7</v>
      </c>
      <c r="AU14" s="16">
        <f t="shared" si="52"/>
        <v>27.3</v>
      </c>
      <c r="AV14" s="19">
        <v>1</v>
      </c>
      <c r="AW14" s="19">
        <v>0</v>
      </c>
      <c r="AX14" s="16">
        <f t="shared" si="53"/>
        <v>0</v>
      </c>
      <c r="AY14" s="16">
        <f t="shared" si="54"/>
        <v>3.9</v>
      </c>
      <c r="AZ14" s="18">
        <f t="shared" si="69"/>
        <v>6</v>
      </c>
      <c r="BA14" s="16">
        <f t="shared" si="70"/>
        <v>23.4</v>
      </c>
      <c r="BB14" s="19">
        <v>0</v>
      </c>
      <c r="BC14" s="19">
        <v>0</v>
      </c>
      <c r="BD14" s="16">
        <f t="shared" si="28"/>
        <v>0</v>
      </c>
      <c r="BE14" s="16">
        <f t="shared" si="29"/>
        <v>0</v>
      </c>
      <c r="BF14" s="18">
        <f t="shared" si="71"/>
        <v>6</v>
      </c>
      <c r="BG14" s="16">
        <f t="shared" si="72"/>
        <v>23.4</v>
      </c>
      <c r="BH14" s="19">
        <v>0</v>
      </c>
      <c r="BI14" s="19">
        <v>0</v>
      </c>
      <c r="BJ14" s="16">
        <f t="shared" si="73"/>
        <v>0</v>
      </c>
      <c r="BK14" s="16">
        <f t="shared" si="74"/>
        <v>0</v>
      </c>
      <c r="BL14" s="18">
        <f t="shared" si="75"/>
        <v>6</v>
      </c>
      <c r="BM14" s="16">
        <f t="shared" si="76"/>
        <v>23.4</v>
      </c>
      <c r="BN14" s="19">
        <v>0</v>
      </c>
      <c r="BO14" s="19">
        <v>0</v>
      </c>
      <c r="BP14" s="16">
        <f t="shared" si="77"/>
        <v>0</v>
      </c>
      <c r="BQ14" s="16">
        <f t="shared" si="78"/>
        <v>0</v>
      </c>
      <c r="BR14" s="18">
        <f t="shared" si="79"/>
        <v>6</v>
      </c>
      <c r="BS14" s="16">
        <f t="shared" si="80"/>
        <v>23.4</v>
      </c>
      <c r="BT14" s="19">
        <v>0</v>
      </c>
      <c r="BU14" s="19">
        <v>0</v>
      </c>
      <c r="BV14" s="16">
        <f t="shared" si="81"/>
        <v>0</v>
      </c>
      <c r="BW14" s="16">
        <f t="shared" si="82"/>
        <v>0</v>
      </c>
      <c r="BX14" s="18">
        <f t="shared" si="83"/>
        <v>6</v>
      </c>
      <c r="BY14" s="16">
        <f t="shared" si="84"/>
        <v>23.4</v>
      </c>
      <c r="BZ14" s="19">
        <v>0</v>
      </c>
      <c r="CA14" s="19">
        <v>0</v>
      </c>
      <c r="CB14" s="16">
        <f t="shared" si="85"/>
        <v>0</v>
      </c>
      <c r="CC14" s="16">
        <f t="shared" si="86"/>
        <v>0</v>
      </c>
      <c r="CD14" s="20">
        <f t="shared" si="87"/>
        <v>6</v>
      </c>
      <c r="CE14" s="21">
        <f t="shared" si="44"/>
        <v>23.4</v>
      </c>
      <c r="CG14" s="1" t="s">
        <v>455</v>
      </c>
    </row>
    <row r="15" spans="1:85" x14ac:dyDescent="0.25">
      <c r="A15" s="12"/>
      <c r="B15" s="70">
        <v>9</v>
      </c>
      <c r="C15" s="174" t="s">
        <v>42</v>
      </c>
      <c r="D15" s="13" t="s">
        <v>43</v>
      </c>
      <c r="E15" s="74"/>
      <c r="F15" s="74"/>
      <c r="G15" s="74"/>
      <c r="H15" s="14">
        <v>1</v>
      </c>
      <c r="I15" s="15">
        <v>3.05</v>
      </c>
      <c r="J15" s="72">
        <v>1</v>
      </c>
      <c r="K15" s="16">
        <f t="shared" si="0"/>
        <v>3.05</v>
      </c>
      <c r="L15" s="19">
        <v>1</v>
      </c>
      <c r="M15" s="19">
        <v>0</v>
      </c>
      <c r="N15" s="16">
        <f t="shared" si="55"/>
        <v>0</v>
      </c>
      <c r="O15" s="16">
        <f t="shared" si="56"/>
        <v>3.05</v>
      </c>
      <c r="P15" s="18">
        <f t="shared" si="57"/>
        <v>0</v>
      </c>
      <c r="Q15" s="16">
        <f t="shared" si="58"/>
        <v>0</v>
      </c>
      <c r="R15" s="19">
        <v>0</v>
      </c>
      <c r="S15" s="18">
        <v>0</v>
      </c>
      <c r="T15" s="16">
        <f t="shared" si="59"/>
        <v>0</v>
      </c>
      <c r="U15" s="16">
        <f t="shared" si="60"/>
        <v>0</v>
      </c>
      <c r="V15" s="18">
        <f t="shared" si="61"/>
        <v>0</v>
      </c>
      <c r="W15" s="16">
        <f t="shared" si="62"/>
        <v>0</v>
      </c>
      <c r="X15" s="19">
        <v>0</v>
      </c>
      <c r="Y15" s="19">
        <v>0</v>
      </c>
      <c r="Z15" s="16">
        <f t="shared" si="63"/>
        <v>0</v>
      </c>
      <c r="AA15" s="16">
        <f t="shared" si="64"/>
        <v>0</v>
      </c>
      <c r="AB15" s="18">
        <f t="shared" si="65"/>
        <v>0</v>
      </c>
      <c r="AC15" s="16">
        <f t="shared" si="66"/>
        <v>0</v>
      </c>
      <c r="AD15" s="19">
        <v>0</v>
      </c>
      <c r="AE15" s="19">
        <v>0</v>
      </c>
      <c r="AF15" s="16">
        <f t="shared" si="67"/>
        <v>0</v>
      </c>
      <c r="AG15" s="16">
        <f t="shared" si="68"/>
        <v>0</v>
      </c>
      <c r="AH15" s="18">
        <f t="shared" si="15"/>
        <v>0</v>
      </c>
      <c r="AI15" s="16">
        <f t="shared" si="16"/>
        <v>0</v>
      </c>
      <c r="AJ15" s="19">
        <v>0</v>
      </c>
      <c r="AK15" s="19">
        <v>0</v>
      </c>
      <c r="AL15" s="16">
        <f t="shared" si="45"/>
        <v>0</v>
      </c>
      <c r="AM15" s="16">
        <f t="shared" si="46"/>
        <v>0</v>
      </c>
      <c r="AN15" s="18">
        <f t="shared" si="47"/>
        <v>0</v>
      </c>
      <c r="AO15" s="16">
        <f t="shared" si="48"/>
        <v>0</v>
      </c>
      <c r="AP15" s="19">
        <v>0</v>
      </c>
      <c r="AQ15" s="19">
        <v>0</v>
      </c>
      <c r="AR15" s="16">
        <f t="shared" si="49"/>
        <v>0</v>
      </c>
      <c r="AS15" s="16">
        <f t="shared" si="50"/>
        <v>0</v>
      </c>
      <c r="AT15" s="18">
        <f t="shared" si="51"/>
        <v>0</v>
      </c>
      <c r="AU15" s="16">
        <f t="shared" si="52"/>
        <v>0</v>
      </c>
      <c r="AV15" s="19">
        <v>0</v>
      </c>
      <c r="AW15" s="19">
        <v>0</v>
      </c>
      <c r="AX15" s="16">
        <f t="shared" si="53"/>
        <v>0</v>
      </c>
      <c r="AY15" s="16">
        <f t="shared" si="54"/>
        <v>0</v>
      </c>
      <c r="AZ15" s="18">
        <f t="shared" si="69"/>
        <v>0</v>
      </c>
      <c r="BA15" s="16">
        <f t="shared" si="70"/>
        <v>0</v>
      </c>
      <c r="BB15" s="19">
        <v>0</v>
      </c>
      <c r="BC15" s="19">
        <v>0</v>
      </c>
      <c r="BD15" s="16">
        <f t="shared" si="28"/>
        <v>0</v>
      </c>
      <c r="BE15" s="16">
        <f t="shared" ref="BE15:BE79" si="88">BB15*I15</f>
        <v>0</v>
      </c>
      <c r="BF15" s="18">
        <f t="shared" si="71"/>
        <v>0</v>
      </c>
      <c r="BG15" s="16">
        <f t="shared" si="72"/>
        <v>0</v>
      </c>
      <c r="BH15" s="19">
        <v>0</v>
      </c>
      <c r="BI15" s="19">
        <v>0</v>
      </c>
      <c r="BJ15" s="16">
        <f t="shared" si="73"/>
        <v>0</v>
      </c>
      <c r="BK15" s="16">
        <f t="shared" si="74"/>
        <v>0</v>
      </c>
      <c r="BL15" s="18">
        <f t="shared" si="75"/>
        <v>0</v>
      </c>
      <c r="BM15" s="16">
        <f t="shared" si="76"/>
        <v>0</v>
      </c>
      <c r="BN15" s="19">
        <v>0</v>
      </c>
      <c r="BO15" s="19">
        <v>0</v>
      </c>
      <c r="BP15" s="16">
        <f t="shared" si="77"/>
        <v>0</v>
      </c>
      <c r="BQ15" s="16">
        <f t="shared" si="78"/>
        <v>0</v>
      </c>
      <c r="BR15" s="18">
        <f t="shared" si="79"/>
        <v>0</v>
      </c>
      <c r="BS15" s="16">
        <f t="shared" si="80"/>
        <v>0</v>
      </c>
      <c r="BT15" s="19">
        <v>0</v>
      </c>
      <c r="BU15" s="19">
        <v>0</v>
      </c>
      <c r="BV15" s="16">
        <f t="shared" si="81"/>
        <v>0</v>
      </c>
      <c r="BW15" s="16">
        <f t="shared" si="82"/>
        <v>0</v>
      </c>
      <c r="BX15" s="18">
        <f t="shared" si="83"/>
        <v>0</v>
      </c>
      <c r="BY15" s="16">
        <f t="shared" si="84"/>
        <v>0</v>
      </c>
      <c r="BZ15" s="19">
        <v>0</v>
      </c>
      <c r="CA15" s="19">
        <v>0</v>
      </c>
      <c r="CB15" s="16">
        <f t="shared" si="85"/>
        <v>0</v>
      </c>
      <c r="CC15" s="16">
        <f t="shared" si="86"/>
        <v>0</v>
      </c>
      <c r="CD15" s="20">
        <f t="shared" si="87"/>
        <v>0</v>
      </c>
      <c r="CE15" s="21">
        <f t="shared" si="44"/>
        <v>0</v>
      </c>
    </row>
    <row r="16" spans="1:85" x14ac:dyDescent="0.25">
      <c r="A16" s="12"/>
      <c r="B16" s="70">
        <v>10</v>
      </c>
      <c r="C16" s="175"/>
      <c r="D16" s="13" t="s">
        <v>44</v>
      </c>
      <c r="E16" s="74"/>
      <c r="F16" s="74"/>
      <c r="G16" s="74"/>
      <c r="H16" s="14">
        <v>6</v>
      </c>
      <c r="I16" s="15">
        <v>3.2</v>
      </c>
      <c r="J16" s="72">
        <v>6</v>
      </c>
      <c r="K16" s="16">
        <f t="shared" si="0"/>
        <v>19.200000000000003</v>
      </c>
      <c r="L16" s="19">
        <v>1</v>
      </c>
      <c r="M16" s="19">
        <v>0</v>
      </c>
      <c r="N16" s="16">
        <f t="shared" si="55"/>
        <v>0</v>
      </c>
      <c r="O16" s="16">
        <f t="shared" si="56"/>
        <v>3.2</v>
      </c>
      <c r="P16" s="18">
        <f t="shared" si="57"/>
        <v>5</v>
      </c>
      <c r="Q16" s="16">
        <f t="shared" si="58"/>
        <v>16</v>
      </c>
      <c r="R16" s="19">
        <v>2</v>
      </c>
      <c r="S16" s="18">
        <v>0</v>
      </c>
      <c r="T16" s="16">
        <f t="shared" si="59"/>
        <v>0</v>
      </c>
      <c r="U16" s="16">
        <f t="shared" si="60"/>
        <v>6.4</v>
      </c>
      <c r="V16" s="18">
        <f t="shared" si="61"/>
        <v>3</v>
      </c>
      <c r="W16" s="16">
        <f t="shared" si="62"/>
        <v>9.6000000000000014</v>
      </c>
      <c r="X16" s="19">
        <v>0</v>
      </c>
      <c r="Y16" s="19">
        <v>0</v>
      </c>
      <c r="Z16" s="16">
        <f t="shared" si="63"/>
        <v>0</v>
      </c>
      <c r="AA16" s="16">
        <f t="shared" si="64"/>
        <v>0</v>
      </c>
      <c r="AB16" s="18">
        <f t="shared" si="65"/>
        <v>3</v>
      </c>
      <c r="AC16" s="16">
        <f t="shared" si="66"/>
        <v>9.6000000000000014</v>
      </c>
      <c r="AD16" s="19">
        <v>0</v>
      </c>
      <c r="AE16" s="19">
        <v>0</v>
      </c>
      <c r="AF16" s="16">
        <f t="shared" si="67"/>
        <v>0</v>
      </c>
      <c r="AG16" s="16">
        <f t="shared" si="68"/>
        <v>0</v>
      </c>
      <c r="AH16" s="18">
        <f t="shared" si="15"/>
        <v>3</v>
      </c>
      <c r="AI16" s="16">
        <f t="shared" si="16"/>
        <v>9.6000000000000014</v>
      </c>
      <c r="AJ16" s="19">
        <v>0</v>
      </c>
      <c r="AK16" s="19">
        <v>0</v>
      </c>
      <c r="AL16" s="16">
        <f t="shared" si="45"/>
        <v>0</v>
      </c>
      <c r="AM16" s="16">
        <f t="shared" si="46"/>
        <v>0</v>
      </c>
      <c r="AN16" s="18">
        <f t="shared" si="47"/>
        <v>3</v>
      </c>
      <c r="AO16" s="16">
        <f t="shared" si="48"/>
        <v>9.6000000000000014</v>
      </c>
      <c r="AP16" s="19">
        <v>0</v>
      </c>
      <c r="AQ16" s="19">
        <v>0</v>
      </c>
      <c r="AR16" s="16">
        <f t="shared" si="49"/>
        <v>0</v>
      </c>
      <c r="AS16" s="16">
        <f t="shared" si="50"/>
        <v>0</v>
      </c>
      <c r="AT16" s="18">
        <f t="shared" si="51"/>
        <v>3</v>
      </c>
      <c r="AU16" s="16">
        <f t="shared" si="52"/>
        <v>9.6000000000000014</v>
      </c>
      <c r="AV16" s="19">
        <v>0</v>
      </c>
      <c r="AW16" s="19">
        <v>0</v>
      </c>
      <c r="AX16" s="16">
        <f t="shared" si="53"/>
        <v>0</v>
      </c>
      <c r="AY16" s="16">
        <f t="shared" si="54"/>
        <v>0</v>
      </c>
      <c r="AZ16" s="18">
        <f t="shared" si="69"/>
        <v>3</v>
      </c>
      <c r="BA16" s="16">
        <f t="shared" si="70"/>
        <v>9.6000000000000014</v>
      </c>
      <c r="BB16" s="19">
        <v>0</v>
      </c>
      <c r="BC16" s="19">
        <v>0</v>
      </c>
      <c r="BD16" s="16">
        <f t="shared" si="28"/>
        <v>0</v>
      </c>
      <c r="BE16" s="16">
        <f t="shared" si="88"/>
        <v>0</v>
      </c>
      <c r="BF16" s="18">
        <f t="shared" si="71"/>
        <v>3</v>
      </c>
      <c r="BG16" s="16">
        <f t="shared" si="72"/>
        <v>9.6000000000000014</v>
      </c>
      <c r="BH16" s="19">
        <v>0</v>
      </c>
      <c r="BI16" s="19">
        <v>0</v>
      </c>
      <c r="BJ16" s="16">
        <f t="shared" si="73"/>
        <v>0</v>
      </c>
      <c r="BK16" s="16">
        <f t="shared" si="74"/>
        <v>0</v>
      </c>
      <c r="BL16" s="18">
        <f t="shared" si="75"/>
        <v>3</v>
      </c>
      <c r="BM16" s="16">
        <f t="shared" si="76"/>
        <v>9.6000000000000014</v>
      </c>
      <c r="BN16" s="19">
        <v>0</v>
      </c>
      <c r="BO16" s="19">
        <v>0</v>
      </c>
      <c r="BP16" s="16">
        <f t="shared" si="77"/>
        <v>0</v>
      </c>
      <c r="BQ16" s="16">
        <f t="shared" si="78"/>
        <v>0</v>
      </c>
      <c r="BR16" s="18">
        <f t="shared" si="79"/>
        <v>3</v>
      </c>
      <c r="BS16" s="16">
        <f t="shared" si="80"/>
        <v>9.6000000000000014</v>
      </c>
      <c r="BT16" s="19">
        <v>0</v>
      </c>
      <c r="BU16" s="19">
        <v>0</v>
      </c>
      <c r="BV16" s="16">
        <f t="shared" si="81"/>
        <v>0</v>
      </c>
      <c r="BW16" s="16">
        <f t="shared" si="82"/>
        <v>0</v>
      </c>
      <c r="BX16" s="18">
        <f t="shared" si="83"/>
        <v>3</v>
      </c>
      <c r="BY16" s="16">
        <f t="shared" si="84"/>
        <v>9.6000000000000014</v>
      </c>
      <c r="BZ16" s="19">
        <v>0</v>
      </c>
      <c r="CA16" s="19">
        <v>0</v>
      </c>
      <c r="CB16" s="16">
        <f t="shared" si="85"/>
        <v>0</v>
      </c>
      <c r="CC16" s="16">
        <f t="shared" si="86"/>
        <v>0</v>
      </c>
      <c r="CD16" s="20">
        <f t="shared" si="87"/>
        <v>3</v>
      </c>
      <c r="CE16" s="21">
        <f t="shared" si="44"/>
        <v>9.6000000000000014</v>
      </c>
    </row>
    <row r="17" spans="1:85" x14ac:dyDescent="0.25">
      <c r="A17" s="23"/>
      <c r="B17" s="70">
        <v>11</v>
      </c>
      <c r="C17" s="86" t="s">
        <v>45</v>
      </c>
      <c r="D17" s="13" t="s">
        <v>46</v>
      </c>
      <c r="E17" s="22"/>
      <c r="F17" s="22"/>
      <c r="G17" s="22"/>
      <c r="H17" s="17">
        <v>1</v>
      </c>
      <c r="I17" s="25">
        <v>3.15</v>
      </c>
      <c r="J17" s="72">
        <v>1</v>
      </c>
      <c r="K17" s="16">
        <f t="shared" si="0"/>
        <v>3.15</v>
      </c>
      <c r="L17" s="19">
        <v>0</v>
      </c>
      <c r="M17" s="19">
        <v>0</v>
      </c>
      <c r="N17" s="16">
        <f t="shared" si="55"/>
        <v>0</v>
      </c>
      <c r="O17" s="16">
        <f t="shared" si="56"/>
        <v>0</v>
      </c>
      <c r="P17" s="18">
        <f t="shared" si="57"/>
        <v>1</v>
      </c>
      <c r="Q17" s="16">
        <f t="shared" si="58"/>
        <v>3.15</v>
      </c>
      <c r="R17" s="19">
        <v>0</v>
      </c>
      <c r="S17" s="18">
        <v>0</v>
      </c>
      <c r="T17" s="16">
        <f t="shared" si="59"/>
        <v>0</v>
      </c>
      <c r="U17" s="16">
        <f t="shared" si="60"/>
        <v>0</v>
      </c>
      <c r="V17" s="18">
        <f t="shared" si="61"/>
        <v>1</v>
      </c>
      <c r="W17" s="16">
        <f t="shared" si="62"/>
        <v>3.15</v>
      </c>
      <c r="X17" s="19">
        <v>0</v>
      </c>
      <c r="Y17" s="19">
        <v>0</v>
      </c>
      <c r="Z17" s="16">
        <f t="shared" si="63"/>
        <v>0</v>
      </c>
      <c r="AA17" s="16">
        <f t="shared" si="64"/>
        <v>0</v>
      </c>
      <c r="AB17" s="18">
        <f t="shared" si="65"/>
        <v>1</v>
      </c>
      <c r="AC17" s="16">
        <f t="shared" si="66"/>
        <v>3.15</v>
      </c>
      <c r="AD17" s="19">
        <v>0</v>
      </c>
      <c r="AE17" s="19">
        <v>0</v>
      </c>
      <c r="AF17" s="16">
        <f t="shared" si="67"/>
        <v>0</v>
      </c>
      <c r="AG17" s="16">
        <f t="shared" si="68"/>
        <v>0</v>
      </c>
      <c r="AH17" s="18">
        <f t="shared" si="15"/>
        <v>1</v>
      </c>
      <c r="AI17" s="16">
        <f t="shared" si="16"/>
        <v>3.15</v>
      </c>
      <c r="AJ17" s="19">
        <v>0</v>
      </c>
      <c r="AK17" s="19">
        <v>0</v>
      </c>
      <c r="AL17" s="16">
        <f t="shared" si="45"/>
        <v>0</v>
      </c>
      <c r="AM17" s="16">
        <f t="shared" si="46"/>
        <v>0</v>
      </c>
      <c r="AN17" s="18">
        <f t="shared" si="47"/>
        <v>1</v>
      </c>
      <c r="AO17" s="16">
        <f t="shared" si="48"/>
        <v>3.15</v>
      </c>
      <c r="AP17" s="19">
        <v>0</v>
      </c>
      <c r="AQ17" s="19">
        <v>0</v>
      </c>
      <c r="AR17" s="16">
        <f t="shared" si="49"/>
        <v>0</v>
      </c>
      <c r="AS17" s="16">
        <f t="shared" si="50"/>
        <v>0</v>
      </c>
      <c r="AT17" s="18">
        <f t="shared" si="51"/>
        <v>1</v>
      </c>
      <c r="AU17" s="16">
        <f t="shared" si="52"/>
        <v>3.15</v>
      </c>
      <c r="AV17" s="19">
        <v>0</v>
      </c>
      <c r="AW17" s="19">
        <v>0</v>
      </c>
      <c r="AX17" s="16">
        <f t="shared" si="53"/>
        <v>0</v>
      </c>
      <c r="AY17" s="16">
        <f t="shared" si="54"/>
        <v>0</v>
      </c>
      <c r="AZ17" s="18">
        <f t="shared" si="69"/>
        <v>1</v>
      </c>
      <c r="BA17" s="16">
        <f t="shared" si="70"/>
        <v>3.15</v>
      </c>
      <c r="BB17" s="19">
        <v>0</v>
      </c>
      <c r="BC17" s="19">
        <v>0</v>
      </c>
      <c r="BD17" s="16">
        <f t="shared" si="28"/>
        <v>0</v>
      </c>
      <c r="BE17" s="16">
        <f t="shared" si="88"/>
        <v>0</v>
      </c>
      <c r="BF17" s="18">
        <f t="shared" si="71"/>
        <v>1</v>
      </c>
      <c r="BG17" s="16">
        <f t="shared" si="72"/>
        <v>3.15</v>
      </c>
      <c r="BH17" s="19">
        <v>0</v>
      </c>
      <c r="BI17" s="19">
        <v>0</v>
      </c>
      <c r="BJ17" s="16">
        <f t="shared" si="73"/>
        <v>0</v>
      </c>
      <c r="BK17" s="16">
        <f t="shared" si="74"/>
        <v>0</v>
      </c>
      <c r="BL17" s="18">
        <f t="shared" si="75"/>
        <v>1</v>
      </c>
      <c r="BM17" s="16">
        <f t="shared" si="76"/>
        <v>3.15</v>
      </c>
      <c r="BN17" s="19">
        <v>0</v>
      </c>
      <c r="BO17" s="19">
        <v>0</v>
      </c>
      <c r="BP17" s="16">
        <f t="shared" si="77"/>
        <v>0</v>
      </c>
      <c r="BQ17" s="16">
        <f t="shared" si="78"/>
        <v>0</v>
      </c>
      <c r="BR17" s="18">
        <f t="shared" si="79"/>
        <v>1</v>
      </c>
      <c r="BS17" s="16">
        <f t="shared" si="80"/>
        <v>3.15</v>
      </c>
      <c r="BT17" s="19">
        <v>0</v>
      </c>
      <c r="BU17" s="19">
        <v>0</v>
      </c>
      <c r="BV17" s="16">
        <f t="shared" si="81"/>
        <v>0</v>
      </c>
      <c r="BW17" s="16">
        <f t="shared" si="82"/>
        <v>0</v>
      </c>
      <c r="BX17" s="18">
        <f t="shared" si="83"/>
        <v>1</v>
      </c>
      <c r="BY17" s="16">
        <f t="shared" si="84"/>
        <v>3.15</v>
      </c>
      <c r="BZ17" s="19">
        <v>0</v>
      </c>
      <c r="CA17" s="19">
        <v>0</v>
      </c>
      <c r="CB17" s="16">
        <f t="shared" si="85"/>
        <v>0</v>
      </c>
      <c r="CC17" s="16">
        <f t="shared" si="86"/>
        <v>0</v>
      </c>
      <c r="CD17" s="20">
        <f t="shared" si="87"/>
        <v>1</v>
      </c>
      <c r="CE17" s="21">
        <f t="shared" si="44"/>
        <v>3.15</v>
      </c>
      <c r="CG17" s="1" t="s">
        <v>455</v>
      </c>
    </row>
    <row r="18" spans="1:85" x14ac:dyDescent="0.25">
      <c r="A18" s="23"/>
      <c r="B18" s="70">
        <v>12</v>
      </c>
      <c r="C18" s="86" t="s">
        <v>48</v>
      </c>
      <c r="D18" s="13" t="s">
        <v>49</v>
      </c>
      <c r="E18" s="23"/>
      <c r="F18" s="23"/>
      <c r="G18" s="23"/>
      <c r="H18" s="17">
        <v>4</v>
      </c>
      <c r="I18" s="25">
        <v>3.1</v>
      </c>
      <c r="J18" s="72">
        <v>4</v>
      </c>
      <c r="K18" s="16">
        <f t="shared" si="0"/>
        <v>12.4</v>
      </c>
      <c r="L18" s="19">
        <v>0</v>
      </c>
      <c r="M18" s="19">
        <v>0</v>
      </c>
      <c r="N18" s="16">
        <f t="shared" si="55"/>
        <v>0</v>
      </c>
      <c r="O18" s="16">
        <f t="shared" si="56"/>
        <v>0</v>
      </c>
      <c r="P18" s="18">
        <f t="shared" si="57"/>
        <v>4</v>
      </c>
      <c r="Q18" s="16">
        <f t="shared" si="58"/>
        <v>12.4</v>
      </c>
      <c r="R18" s="19">
        <v>0</v>
      </c>
      <c r="S18" s="18">
        <v>0</v>
      </c>
      <c r="T18" s="16">
        <f t="shared" si="59"/>
        <v>0</v>
      </c>
      <c r="U18" s="16">
        <f t="shared" si="60"/>
        <v>0</v>
      </c>
      <c r="V18" s="18">
        <f t="shared" si="61"/>
        <v>4</v>
      </c>
      <c r="W18" s="16">
        <f t="shared" si="62"/>
        <v>12.4</v>
      </c>
      <c r="X18" s="19">
        <v>0</v>
      </c>
      <c r="Y18" s="19">
        <v>0</v>
      </c>
      <c r="Z18" s="16">
        <f t="shared" si="63"/>
        <v>0</v>
      </c>
      <c r="AA18" s="16">
        <f t="shared" si="64"/>
        <v>0</v>
      </c>
      <c r="AB18" s="18">
        <f t="shared" si="65"/>
        <v>4</v>
      </c>
      <c r="AC18" s="16">
        <f t="shared" si="66"/>
        <v>12.4</v>
      </c>
      <c r="AD18" s="19">
        <v>0</v>
      </c>
      <c r="AE18" s="19">
        <v>0</v>
      </c>
      <c r="AF18" s="16">
        <f t="shared" si="67"/>
        <v>0</v>
      </c>
      <c r="AG18" s="16">
        <f t="shared" si="68"/>
        <v>0</v>
      </c>
      <c r="AH18" s="18">
        <f t="shared" si="15"/>
        <v>4</v>
      </c>
      <c r="AI18" s="16">
        <f t="shared" si="16"/>
        <v>12.4</v>
      </c>
      <c r="AJ18" s="19">
        <v>0</v>
      </c>
      <c r="AK18" s="19">
        <v>0</v>
      </c>
      <c r="AL18" s="16">
        <f t="shared" si="45"/>
        <v>0</v>
      </c>
      <c r="AM18" s="16">
        <f t="shared" si="46"/>
        <v>0</v>
      </c>
      <c r="AN18" s="18">
        <f t="shared" si="47"/>
        <v>4</v>
      </c>
      <c r="AO18" s="16">
        <f t="shared" si="48"/>
        <v>12.4</v>
      </c>
      <c r="AP18" s="19">
        <v>0</v>
      </c>
      <c r="AQ18" s="19">
        <v>0</v>
      </c>
      <c r="AR18" s="16">
        <f t="shared" si="49"/>
        <v>0</v>
      </c>
      <c r="AS18" s="16">
        <f t="shared" si="50"/>
        <v>0</v>
      </c>
      <c r="AT18" s="18">
        <f t="shared" si="51"/>
        <v>4</v>
      </c>
      <c r="AU18" s="16">
        <f t="shared" si="52"/>
        <v>12.4</v>
      </c>
      <c r="AV18" s="19">
        <v>0</v>
      </c>
      <c r="AW18" s="19">
        <v>0</v>
      </c>
      <c r="AX18" s="16">
        <f t="shared" si="53"/>
        <v>0</v>
      </c>
      <c r="AY18" s="16">
        <f t="shared" si="54"/>
        <v>0</v>
      </c>
      <c r="AZ18" s="18">
        <f t="shared" si="69"/>
        <v>4</v>
      </c>
      <c r="BA18" s="16">
        <f t="shared" si="70"/>
        <v>12.4</v>
      </c>
      <c r="BB18" s="19">
        <v>0</v>
      </c>
      <c r="BC18" s="19">
        <v>0</v>
      </c>
      <c r="BD18" s="16">
        <f t="shared" ref="BD18:BD79" si="89">BC18*I18</f>
        <v>0</v>
      </c>
      <c r="BE18" s="16">
        <f t="shared" si="88"/>
        <v>0</v>
      </c>
      <c r="BF18" s="18">
        <f t="shared" si="71"/>
        <v>4</v>
      </c>
      <c r="BG18" s="16">
        <f t="shared" si="72"/>
        <v>12.4</v>
      </c>
      <c r="BH18" s="19">
        <v>0</v>
      </c>
      <c r="BI18" s="19">
        <v>0</v>
      </c>
      <c r="BJ18" s="16">
        <f t="shared" si="73"/>
        <v>0</v>
      </c>
      <c r="BK18" s="16">
        <f t="shared" si="74"/>
        <v>0</v>
      </c>
      <c r="BL18" s="18">
        <f t="shared" si="75"/>
        <v>4</v>
      </c>
      <c r="BM18" s="16">
        <f t="shared" si="76"/>
        <v>12.4</v>
      </c>
      <c r="BN18" s="19">
        <v>0</v>
      </c>
      <c r="BO18" s="19">
        <v>0</v>
      </c>
      <c r="BP18" s="16">
        <f t="shared" si="77"/>
        <v>0</v>
      </c>
      <c r="BQ18" s="16">
        <f t="shared" si="78"/>
        <v>0</v>
      </c>
      <c r="BR18" s="18">
        <f t="shared" si="79"/>
        <v>4</v>
      </c>
      <c r="BS18" s="16">
        <f t="shared" si="80"/>
        <v>12.4</v>
      </c>
      <c r="BT18" s="19">
        <v>0</v>
      </c>
      <c r="BU18" s="19">
        <v>0</v>
      </c>
      <c r="BV18" s="16">
        <f t="shared" si="81"/>
        <v>0</v>
      </c>
      <c r="BW18" s="16">
        <f t="shared" si="82"/>
        <v>0</v>
      </c>
      <c r="BX18" s="18">
        <f t="shared" si="83"/>
        <v>4</v>
      </c>
      <c r="BY18" s="16">
        <f t="shared" si="84"/>
        <v>12.4</v>
      </c>
      <c r="BZ18" s="19">
        <v>0</v>
      </c>
      <c r="CA18" s="19">
        <v>0</v>
      </c>
      <c r="CB18" s="16">
        <f t="shared" si="85"/>
        <v>0</v>
      </c>
      <c r="CC18" s="16">
        <f t="shared" si="86"/>
        <v>0</v>
      </c>
      <c r="CD18" s="20">
        <f t="shared" si="87"/>
        <v>4</v>
      </c>
      <c r="CE18" s="21">
        <f t="shared" si="44"/>
        <v>12.4</v>
      </c>
    </row>
    <row r="19" spans="1:85" x14ac:dyDescent="0.25">
      <c r="A19" s="23">
        <v>13</v>
      </c>
      <c r="B19" s="70">
        <v>13</v>
      </c>
      <c r="C19" s="79" t="s">
        <v>50</v>
      </c>
      <c r="D19" s="13" t="s">
        <v>51</v>
      </c>
      <c r="E19" s="23">
        <v>10</v>
      </c>
      <c r="F19" s="23">
        <v>15</v>
      </c>
      <c r="G19" s="23">
        <v>20</v>
      </c>
      <c r="H19" s="17">
        <v>23</v>
      </c>
      <c r="I19" s="25">
        <v>2.4</v>
      </c>
      <c r="J19" s="72">
        <v>23</v>
      </c>
      <c r="K19" s="16">
        <f t="shared" si="0"/>
        <v>55.199999999999996</v>
      </c>
      <c r="L19" s="19">
        <v>0</v>
      </c>
      <c r="M19" s="19">
        <v>0</v>
      </c>
      <c r="N19" s="16">
        <f t="shared" si="55"/>
        <v>0</v>
      </c>
      <c r="O19" s="16">
        <f t="shared" si="56"/>
        <v>0</v>
      </c>
      <c r="P19" s="18">
        <f t="shared" si="57"/>
        <v>23</v>
      </c>
      <c r="Q19" s="16">
        <f t="shared" si="58"/>
        <v>55.199999999999996</v>
      </c>
      <c r="R19" s="19">
        <v>0</v>
      </c>
      <c r="S19" s="18">
        <v>0</v>
      </c>
      <c r="T19" s="16">
        <f t="shared" si="59"/>
        <v>0</v>
      </c>
      <c r="U19" s="16">
        <f t="shared" si="60"/>
        <v>0</v>
      </c>
      <c r="V19" s="18">
        <f t="shared" si="61"/>
        <v>23</v>
      </c>
      <c r="W19" s="16">
        <f t="shared" si="62"/>
        <v>55.199999999999996</v>
      </c>
      <c r="X19" s="19">
        <v>0</v>
      </c>
      <c r="Y19" s="19">
        <v>0</v>
      </c>
      <c r="Z19" s="16">
        <f t="shared" si="63"/>
        <v>0</v>
      </c>
      <c r="AA19" s="16">
        <f t="shared" si="64"/>
        <v>0</v>
      </c>
      <c r="AB19" s="18">
        <f t="shared" si="65"/>
        <v>23</v>
      </c>
      <c r="AC19" s="16">
        <f t="shared" si="66"/>
        <v>55.199999999999996</v>
      </c>
      <c r="AD19" s="19">
        <v>0</v>
      </c>
      <c r="AE19" s="19">
        <v>0</v>
      </c>
      <c r="AF19" s="16">
        <f t="shared" si="67"/>
        <v>0</v>
      </c>
      <c r="AG19" s="16">
        <f t="shared" si="68"/>
        <v>0</v>
      </c>
      <c r="AH19" s="18">
        <f t="shared" si="15"/>
        <v>23</v>
      </c>
      <c r="AI19" s="16">
        <f t="shared" si="16"/>
        <v>55.199999999999996</v>
      </c>
      <c r="AJ19" s="19">
        <v>0</v>
      </c>
      <c r="AK19" s="19">
        <v>0</v>
      </c>
      <c r="AL19" s="16">
        <f t="shared" si="45"/>
        <v>0</v>
      </c>
      <c r="AM19" s="16">
        <f t="shared" si="46"/>
        <v>0</v>
      </c>
      <c r="AN19" s="18">
        <f t="shared" si="47"/>
        <v>23</v>
      </c>
      <c r="AO19" s="16">
        <f t="shared" si="48"/>
        <v>55.199999999999996</v>
      </c>
      <c r="AP19" s="19">
        <v>0</v>
      </c>
      <c r="AQ19" s="19">
        <v>0</v>
      </c>
      <c r="AR19" s="16">
        <f t="shared" si="49"/>
        <v>0</v>
      </c>
      <c r="AS19" s="16">
        <f t="shared" si="50"/>
        <v>0</v>
      </c>
      <c r="AT19" s="18">
        <f t="shared" si="51"/>
        <v>23</v>
      </c>
      <c r="AU19" s="16">
        <f t="shared" si="52"/>
        <v>55.199999999999996</v>
      </c>
      <c r="AV19" s="19">
        <v>0</v>
      </c>
      <c r="AW19" s="19">
        <v>0</v>
      </c>
      <c r="AX19" s="16">
        <f t="shared" si="53"/>
        <v>0</v>
      </c>
      <c r="AY19" s="16">
        <f t="shared" si="54"/>
        <v>0</v>
      </c>
      <c r="AZ19" s="18">
        <f t="shared" si="69"/>
        <v>23</v>
      </c>
      <c r="BA19" s="16">
        <f t="shared" si="70"/>
        <v>55.199999999999996</v>
      </c>
      <c r="BB19" s="19">
        <v>0</v>
      </c>
      <c r="BC19" s="19">
        <v>0</v>
      </c>
      <c r="BD19" s="16">
        <f t="shared" si="89"/>
        <v>0</v>
      </c>
      <c r="BE19" s="16">
        <f t="shared" si="88"/>
        <v>0</v>
      </c>
      <c r="BF19" s="18">
        <f t="shared" si="71"/>
        <v>23</v>
      </c>
      <c r="BG19" s="16">
        <f t="shared" si="72"/>
        <v>55.199999999999996</v>
      </c>
      <c r="BH19" s="19">
        <v>0</v>
      </c>
      <c r="BI19" s="19">
        <v>0</v>
      </c>
      <c r="BJ19" s="16">
        <f t="shared" si="73"/>
        <v>0</v>
      </c>
      <c r="BK19" s="16">
        <f t="shared" si="74"/>
        <v>0</v>
      </c>
      <c r="BL19" s="18">
        <f t="shared" si="75"/>
        <v>23</v>
      </c>
      <c r="BM19" s="16">
        <f t="shared" si="76"/>
        <v>55.199999999999996</v>
      </c>
      <c r="BN19" s="19">
        <v>0</v>
      </c>
      <c r="BO19" s="19">
        <v>0</v>
      </c>
      <c r="BP19" s="16">
        <f t="shared" si="77"/>
        <v>0</v>
      </c>
      <c r="BQ19" s="16">
        <f t="shared" si="78"/>
        <v>0</v>
      </c>
      <c r="BR19" s="18">
        <f t="shared" si="79"/>
        <v>23</v>
      </c>
      <c r="BS19" s="16">
        <f t="shared" si="80"/>
        <v>55.199999999999996</v>
      </c>
      <c r="BT19" s="19">
        <v>0</v>
      </c>
      <c r="BU19" s="19">
        <v>0</v>
      </c>
      <c r="BV19" s="16">
        <f t="shared" si="81"/>
        <v>0</v>
      </c>
      <c r="BW19" s="16">
        <f t="shared" si="82"/>
        <v>0</v>
      </c>
      <c r="BX19" s="18">
        <f t="shared" si="83"/>
        <v>23</v>
      </c>
      <c r="BY19" s="16">
        <f t="shared" si="84"/>
        <v>55.199999999999996</v>
      </c>
      <c r="BZ19" s="19">
        <v>0</v>
      </c>
      <c r="CA19" s="19">
        <v>0</v>
      </c>
      <c r="CB19" s="16">
        <f t="shared" si="85"/>
        <v>0</v>
      </c>
      <c r="CC19" s="16">
        <f t="shared" si="86"/>
        <v>0</v>
      </c>
      <c r="CD19" s="20">
        <f t="shared" si="87"/>
        <v>23</v>
      </c>
      <c r="CE19" s="21">
        <f t="shared" si="44"/>
        <v>55.199999999999996</v>
      </c>
    </row>
    <row r="20" spans="1:85" x14ac:dyDescent="0.25">
      <c r="B20" s="70">
        <v>14</v>
      </c>
      <c r="C20" s="174" t="s">
        <v>52</v>
      </c>
      <c r="D20" s="41" t="s">
        <v>53</v>
      </c>
      <c r="E20" s="168">
        <v>10</v>
      </c>
      <c r="F20" s="168">
        <v>20</v>
      </c>
      <c r="G20" s="168">
        <v>30</v>
      </c>
      <c r="H20" s="40">
        <v>3</v>
      </c>
      <c r="I20" s="30">
        <v>7.7</v>
      </c>
      <c r="J20" s="72">
        <v>3</v>
      </c>
      <c r="K20" s="16">
        <f t="shared" si="0"/>
        <v>23.1</v>
      </c>
      <c r="L20" s="19">
        <v>3</v>
      </c>
      <c r="M20" s="19">
        <v>0</v>
      </c>
      <c r="N20" s="16">
        <f t="shared" si="55"/>
        <v>0</v>
      </c>
      <c r="O20" s="16">
        <f t="shared" si="56"/>
        <v>23.1</v>
      </c>
      <c r="P20" s="18">
        <f t="shared" si="57"/>
        <v>0</v>
      </c>
      <c r="Q20" s="16">
        <f t="shared" si="58"/>
        <v>0</v>
      </c>
      <c r="R20" s="19">
        <v>0</v>
      </c>
      <c r="S20" s="18">
        <v>0</v>
      </c>
      <c r="T20" s="16">
        <f t="shared" si="59"/>
        <v>0</v>
      </c>
      <c r="U20" s="16">
        <f t="shared" si="60"/>
        <v>0</v>
      </c>
      <c r="V20" s="18">
        <f t="shared" si="61"/>
        <v>0</v>
      </c>
      <c r="W20" s="16">
        <f t="shared" si="62"/>
        <v>0</v>
      </c>
      <c r="X20" s="19">
        <v>0</v>
      </c>
      <c r="Y20" s="19">
        <v>0</v>
      </c>
      <c r="Z20" s="16">
        <f t="shared" si="63"/>
        <v>0</v>
      </c>
      <c r="AA20" s="16">
        <f t="shared" si="64"/>
        <v>0</v>
      </c>
      <c r="AB20" s="18">
        <f t="shared" si="65"/>
        <v>0</v>
      </c>
      <c r="AC20" s="16">
        <f t="shared" si="66"/>
        <v>0</v>
      </c>
      <c r="AD20" s="19">
        <v>0</v>
      </c>
      <c r="AE20" s="19">
        <v>0</v>
      </c>
      <c r="AF20" s="16">
        <f t="shared" si="67"/>
        <v>0</v>
      </c>
      <c r="AG20" s="16">
        <f t="shared" si="68"/>
        <v>0</v>
      </c>
      <c r="AH20" s="18">
        <f t="shared" si="15"/>
        <v>0</v>
      </c>
      <c r="AI20" s="16">
        <f t="shared" si="16"/>
        <v>0</v>
      </c>
      <c r="AJ20" s="19">
        <v>0</v>
      </c>
      <c r="AK20" s="19">
        <v>0</v>
      </c>
      <c r="AL20" s="16">
        <f t="shared" si="45"/>
        <v>0</v>
      </c>
      <c r="AM20" s="16">
        <f t="shared" si="46"/>
        <v>0</v>
      </c>
      <c r="AN20" s="18">
        <f t="shared" si="47"/>
        <v>0</v>
      </c>
      <c r="AO20" s="16">
        <f t="shared" si="48"/>
        <v>0</v>
      </c>
      <c r="AP20" s="19">
        <v>0</v>
      </c>
      <c r="AQ20" s="19">
        <v>0</v>
      </c>
      <c r="AR20" s="16">
        <f t="shared" si="49"/>
        <v>0</v>
      </c>
      <c r="AS20" s="16">
        <f t="shared" si="50"/>
        <v>0</v>
      </c>
      <c r="AT20" s="18">
        <f t="shared" si="51"/>
        <v>0</v>
      </c>
      <c r="AU20" s="16">
        <f t="shared" si="52"/>
        <v>0</v>
      </c>
      <c r="AV20" s="19">
        <v>0</v>
      </c>
      <c r="AW20" s="19">
        <v>0</v>
      </c>
      <c r="AX20" s="16">
        <f t="shared" si="53"/>
        <v>0</v>
      </c>
      <c r="AY20" s="16">
        <f t="shared" si="54"/>
        <v>0</v>
      </c>
      <c r="AZ20" s="18">
        <f t="shared" si="69"/>
        <v>0</v>
      </c>
      <c r="BA20" s="16">
        <f t="shared" si="70"/>
        <v>0</v>
      </c>
      <c r="BB20" s="19">
        <v>0</v>
      </c>
      <c r="BC20" s="19">
        <v>0</v>
      </c>
      <c r="BD20" s="16">
        <f t="shared" si="89"/>
        <v>0</v>
      </c>
      <c r="BE20" s="16">
        <f t="shared" si="88"/>
        <v>0</v>
      </c>
      <c r="BF20" s="18">
        <f t="shared" si="71"/>
        <v>0</v>
      </c>
      <c r="BG20" s="16">
        <f t="shared" si="72"/>
        <v>0</v>
      </c>
      <c r="BH20" s="19">
        <v>0</v>
      </c>
      <c r="BI20" s="19">
        <v>0</v>
      </c>
      <c r="BJ20" s="16">
        <f t="shared" si="73"/>
        <v>0</v>
      </c>
      <c r="BK20" s="16">
        <f t="shared" si="74"/>
        <v>0</v>
      </c>
      <c r="BL20" s="18">
        <f t="shared" si="75"/>
        <v>0</v>
      </c>
      <c r="BM20" s="16">
        <f t="shared" si="76"/>
        <v>0</v>
      </c>
      <c r="BN20" s="19">
        <v>0</v>
      </c>
      <c r="BO20" s="19">
        <v>0</v>
      </c>
      <c r="BP20" s="16">
        <f t="shared" si="77"/>
        <v>0</v>
      </c>
      <c r="BQ20" s="16">
        <f t="shared" si="78"/>
        <v>0</v>
      </c>
      <c r="BR20" s="18">
        <f t="shared" si="79"/>
        <v>0</v>
      </c>
      <c r="BS20" s="16">
        <f t="shared" si="80"/>
        <v>0</v>
      </c>
      <c r="BT20" s="19">
        <v>0</v>
      </c>
      <c r="BU20" s="19">
        <v>0</v>
      </c>
      <c r="BV20" s="16">
        <f t="shared" si="81"/>
        <v>0</v>
      </c>
      <c r="BW20" s="16">
        <f t="shared" si="82"/>
        <v>0</v>
      </c>
      <c r="BX20" s="18">
        <f t="shared" si="83"/>
        <v>0</v>
      </c>
      <c r="BY20" s="16">
        <f t="shared" si="84"/>
        <v>0</v>
      </c>
      <c r="BZ20" s="19">
        <v>0</v>
      </c>
      <c r="CA20" s="19">
        <v>0</v>
      </c>
      <c r="CB20" s="16">
        <f t="shared" si="85"/>
        <v>0</v>
      </c>
      <c r="CC20" s="16">
        <f t="shared" si="86"/>
        <v>0</v>
      </c>
      <c r="CD20" s="20">
        <f t="shared" si="87"/>
        <v>0</v>
      </c>
      <c r="CE20" s="21">
        <f t="shared" si="44"/>
        <v>0</v>
      </c>
    </row>
    <row r="21" spans="1:85" x14ac:dyDescent="0.25">
      <c r="B21" s="70">
        <v>15</v>
      </c>
      <c r="C21" s="181"/>
      <c r="D21" s="41" t="s">
        <v>54</v>
      </c>
      <c r="E21" s="169"/>
      <c r="F21" s="169"/>
      <c r="G21" s="169"/>
      <c r="H21" s="40">
        <v>12</v>
      </c>
      <c r="I21" s="30">
        <v>7.7</v>
      </c>
      <c r="J21" s="72">
        <v>12</v>
      </c>
      <c r="K21" s="16">
        <f t="shared" si="0"/>
        <v>92.4</v>
      </c>
      <c r="L21" s="19">
        <v>0</v>
      </c>
      <c r="M21" s="19">
        <v>0</v>
      </c>
      <c r="N21" s="16">
        <f t="shared" si="55"/>
        <v>0</v>
      </c>
      <c r="O21" s="16">
        <f t="shared" si="56"/>
        <v>0</v>
      </c>
      <c r="P21" s="18">
        <f t="shared" si="57"/>
        <v>12</v>
      </c>
      <c r="Q21" s="16">
        <f t="shared" si="58"/>
        <v>92.4</v>
      </c>
      <c r="R21" s="19">
        <v>0</v>
      </c>
      <c r="S21" s="18">
        <v>0</v>
      </c>
      <c r="T21" s="16">
        <f t="shared" si="59"/>
        <v>0</v>
      </c>
      <c r="U21" s="16">
        <f t="shared" si="60"/>
        <v>0</v>
      </c>
      <c r="V21" s="18">
        <f t="shared" si="61"/>
        <v>12</v>
      </c>
      <c r="W21" s="16">
        <f t="shared" si="62"/>
        <v>92.4</v>
      </c>
      <c r="X21" s="19">
        <v>0</v>
      </c>
      <c r="Y21" s="19">
        <v>0</v>
      </c>
      <c r="Z21" s="16">
        <f t="shared" si="63"/>
        <v>0</v>
      </c>
      <c r="AA21" s="16">
        <f t="shared" si="64"/>
        <v>0</v>
      </c>
      <c r="AB21" s="18">
        <f t="shared" si="65"/>
        <v>12</v>
      </c>
      <c r="AC21" s="16">
        <f t="shared" si="66"/>
        <v>92.4</v>
      </c>
      <c r="AD21" s="19">
        <v>0</v>
      </c>
      <c r="AE21" s="19">
        <v>0</v>
      </c>
      <c r="AF21" s="16">
        <f t="shared" si="67"/>
        <v>0</v>
      </c>
      <c r="AG21" s="16">
        <f t="shared" si="68"/>
        <v>0</v>
      </c>
      <c r="AH21" s="18">
        <f t="shared" si="15"/>
        <v>12</v>
      </c>
      <c r="AI21" s="16">
        <f t="shared" si="16"/>
        <v>92.4</v>
      </c>
      <c r="AJ21" s="19">
        <v>0</v>
      </c>
      <c r="AK21" s="19">
        <v>0</v>
      </c>
      <c r="AL21" s="16">
        <f t="shared" si="45"/>
        <v>0</v>
      </c>
      <c r="AM21" s="16">
        <f t="shared" si="46"/>
        <v>0</v>
      </c>
      <c r="AN21" s="18">
        <f t="shared" si="47"/>
        <v>12</v>
      </c>
      <c r="AO21" s="16">
        <f t="shared" si="48"/>
        <v>92.4</v>
      </c>
      <c r="AP21" s="19">
        <v>0</v>
      </c>
      <c r="AQ21" s="19">
        <v>0</v>
      </c>
      <c r="AR21" s="16">
        <f t="shared" si="49"/>
        <v>0</v>
      </c>
      <c r="AS21" s="16">
        <f t="shared" si="50"/>
        <v>0</v>
      </c>
      <c r="AT21" s="18">
        <f t="shared" si="51"/>
        <v>12</v>
      </c>
      <c r="AU21" s="16">
        <f t="shared" si="52"/>
        <v>92.4</v>
      </c>
      <c r="AV21" s="19">
        <v>0</v>
      </c>
      <c r="AW21" s="19">
        <v>0</v>
      </c>
      <c r="AX21" s="16">
        <f t="shared" si="53"/>
        <v>0</v>
      </c>
      <c r="AY21" s="16">
        <f t="shared" si="54"/>
        <v>0</v>
      </c>
      <c r="AZ21" s="18">
        <f t="shared" si="69"/>
        <v>12</v>
      </c>
      <c r="BA21" s="16">
        <f t="shared" si="70"/>
        <v>92.4</v>
      </c>
      <c r="BB21" s="19">
        <v>0</v>
      </c>
      <c r="BC21" s="19">
        <v>0</v>
      </c>
      <c r="BD21" s="16">
        <f t="shared" si="89"/>
        <v>0</v>
      </c>
      <c r="BE21" s="16">
        <f t="shared" si="88"/>
        <v>0</v>
      </c>
      <c r="BF21" s="18">
        <f t="shared" si="71"/>
        <v>12</v>
      </c>
      <c r="BG21" s="16">
        <f t="shared" si="72"/>
        <v>92.4</v>
      </c>
      <c r="BH21" s="19">
        <v>0</v>
      </c>
      <c r="BI21" s="19">
        <v>0</v>
      </c>
      <c r="BJ21" s="16">
        <f t="shared" si="73"/>
        <v>0</v>
      </c>
      <c r="BK21" s="16">
        <f t="shared" si="74"/>
        <v>0</v>
      </c>
      <c r="BL21" s="18">
        <f t="shared" si="75"/>
        <v>12</v>
      </c>
      <c r="BM21" s="16">
        <f t="shared" si="76"/>
        <v>92.4</v>
      </c>
      <c r="BN21" s="19">
        <v>0</v>
      </c>
      <c r="BO21" s="19">
        <v>0</v>
      </c>
      <c r="BP21" s="16">
        <f t="shared" si="77"/>
        <v>0</v>
      </c>
      <c r="BQ21" s="16">
        <f t="shared" si="78"/>
        <v>0</v>
      </c>
      <c r="BR21" s="18">
        <f t="shared" si="79"/>
        <v>12</v>
      </c>
      <c r="BS21" s="16">
        <f t="shared" si="80"/>
        <v>92.4</v>
      </c>
      <c r="BT21" s="19">
        <v>0</v>
      </c>
      <c r="BU21" s="19">
        <v>0</v>
      </c>
      <c r="BV21" s="16">
        <f t="shared" si="81"/>
        <v>0</v>
      </c>
      <c r="BW21" s="16">
        <f t="shared" si="82"/>
        <v>0</v>
      </c>
      <c r="BX21" s="18">
        <f t="shared" si="83"/>
        <v>12</v>
      </c>
      <c r="BY21" s="16">
        <f t="shared" si="84"/>
        <v>92.4</v>
      </c>
      <c r="BZ21" s="19">
        <v>0</v>
      </c>
      <c r="CA21" s="19">
        <v>0</v>
      </c>
      <c r="CB21" s="16">
        <f t="shared" si="85"/>
        <v>0</v>
      </c>
      <c r="CC21" s="16">
        <f t="shared" si="86"/>
        <v>0</v>
      </c>
      <c r="CD21" s="20">
        <f t="shared" si="87"/>
        <v>12</v>
      </c>
      <c r="CE21" s="21">
        <f t="shared" si="44"/>
        <v>92.4</v>
      </c>
    </row>
    <row r="22" spans="1:85" x14ac:dyDescent="0.25">
      <c r="B22" s="70">
        <v>16</v>
      </c>
      <c r="C22" s="175"/>
      <c r="D22" s="41" t="s">
        <v>54</v>
      </c>
      <c r="E22" s="80"/>
      <c r="F22" s="80"/>
      <c r="G22" s="80"/>
      <c r="H22" s="40">
        <v>10</v>
      </c>
      <c r="I22" s="30">
        <v>8.3000000000000007</v>
      </c>
      <c r="J22" s="72">
        <v>10</v>
      </c>
      <c r="K22" s="16">
        <f t="shared" si="0"/>
        <v>83</v>
      </c>
      <c r="L22" s="19">
        <v>0</v>
      </c>
      <c r="M22" s="19">
        <v>0</v>
      </c>
      <c r="N22" s="16">
        <f t="shared" si="55"/>
        <v>0</v>
      </c>
      <c r="O22" s="16">
        <f t="shared" si="56"/>
        <v>0</v>
      </c>
      <c r="P22" s="18">
        <f t="shared" si="57"/>
        <v>10</v>
      </c>
      <c r="Q22" s="16">
        <f t="shared" si="58"/>
        <v>83</v>
      </c>
      <c r="R22" s="19">
        <v>0</v>
      </c>
      <c r="S22" s="18">
        <v>0</v>
      </c>
      <c r="T22" s="16">
        <f t="shared" si="59"/>
        <v>0</v>
      </c>
      <c r="U22" s="16">
        <f t="shared" si="60"/>
        <v>0</v>
      </c>
      <c r="V22" s="18">
        <f t="shared" si="61"/>
        <v>10</v>
      </c>
      <c r="W22" s="16">
        <f t="shared" si="62"/>
        <v>83</v>
      </c>
      <c r="X22" s="19">
        <v>0</v>
      </c>
      <c r="Y22" s="19">
        <v>0</v>
      </c>
      <c r="Z22" s="16">
        <f t="shared" si="63"/>
        <v>0</v>
      </c>
      <c r="AA22" s="16">
        <f t="shared" si="64"/>
        <v>0</v>
      </c>
      <c r="AB22" s="18">
        <f t="shared" si="65"/>
        <v>10</v>
      </c>
      <c r="AC22" s="16">
        <f t="shared" si="66"/>
        <v>83</v>
      </c>
      <c r="AD22" s="19">
        <v>0</v>
      </c>
      <c r="AE22" s="19">
        <v>0</v>
      </c>
      <c r="AF22" s="16">
        <f t="shared" si="67"/>
        <v>0</v>
      </c>
      <c r="AG22" s="16">
        <f t="shared" si="68"/>
        <v>0</v>
      </c>
      <c r="AH22" s="18">
        <f t="shared" si="15"/>
        <v>10</v>
      </c>
      <c r="AI22" s="16">
        <f t="shared" si="16"/>
        <v>83</v>
      </c>
      <c r="AJ22" s="19">
        <v>0</v>
      </c>
      <c r="AK22" s="19">
        <v>0</v>
      </c>
      <c r="AL22" s="16">
        <f t="shared" si="45"/>
        <v>0</v>
      </c>
      <c r="AM22" s="16">
        <f t="shared" si="46"/>
        <v>0</v>
      </c>
      <c r="AN22" s="18">
        <f t="shared" si="47"/>
        <v>10</v>
      </c>
      <c r="AO22" s="16">
        <f t="shared" si="48"/>
        <v>83</v>
      </c>
      <c r="AP22" s="19">
        <v>0</v>
      </c>
      <c r="AQ22" s="19">
        <v>0</v>
      </c>
      <c r="AR22" s="16">
        <f t="shared" si="49"/>
        <v>0</v>
      </c>
      <c r="AS22" s="16">
        <f t="shared" si="50"/>
        <v>0</v>
      </c>
      <c r="AT22" s="18">
        <f t="shared" si="51"/>
        <v>10</v>
      </c>
      <c r="AU22" s="16">
        <f t="shared" si="52"/>
        <v>83</v>
      </c>
      <c r="AV22" s="19">
        <v>0</v>
      </c>
      <c r="AW22" s="19">
        <v>0</v>
      </c>
      <c r="AX22" s="16">
        <f t="shared" si="53"/>
        <v>0</v>
      </c>
      <c r="AY22" s="16">
        <f t="shared" si="54"/>
        <v>0</v>
      </c>
      <c r="AZ22" s="18">
        <f t="shared" si="69"/>
        <v>10</v>
      </c>
      <c r="BA22" s="16">
        <f t="shared" si="70"/>
        <v>83</v>
      </c>
      <c r="BB22" s="19">
        <v>0</v>
      </c>
      <c r="BC22" s="19">
        <v>0</v>
      </c>
      <c r="BD22" s="16">
        <f t="shared" si="89"/>
        <v>0</v>
      </c>
      <c r="BE22" s="16">
        <f t="shared" si="88"/>
        <v>0</v>
      </c>
      <c r="BF22" s="18">
        <f t="shared" si="71"/>
        <v>10</v>
      </c>
      <c r="BG22" s="16">
        <f t="shared" si="72"/>
        <v>83</v>
      </c>
      <c r="BH22" s="19">
        <v>0</v>
      </c>
      <c r="BI22" s="19">
        <v>0</v>
      </c>
      <c r="BJ22" s="16">
        <f t="shared" si="73"/>
        <v>0</v>
      </c>
      <c r="BK22" s="16">
        <f t="shared" si="74"/>
        <v>0</v>
      </c>
      <c r="BL22" s="18">
        <f t="shared" si="75"/>
        <v>10</v>
      </c>
      <c r="BM22" s="16">
        <f t="shared" si="76"/>
        <v>83</v>
      </c>
      <c r="BN22" s="19">
        <v>0</v>
      </c>
      <c r="BO22" s="19">
        <v>0</v>
      </c>
      <c r="BP22" s="16">
        <f t="shared" si="77"/>
        <v>0</v>
      </c>
      <c r="BQ22" s="16">
        <f t="shared" si="78"/>
        <v>0</v>
      </c>
      <c r="BR22" s="18">
        <f t="shared" si="79"/>
        <v>10</v>
      </c>
      <c r="BS22" s="16">
        <f t="shared" si="80"/>
        <v>83</v>
      </c>
      <c r="BT22" s="19">
        <v>0</v>
      </c>
      <c r="BU22" s="19">
        <v>0</v>
      </c>
      <c r="BV22" s="16">
        <f t="shared" si="81"/>
        <v>0</v>
      </c>
      <c r="BW22" s="16">
        <f t="shared" si="82"/>
        <v>0</v>
      </c>
      <c r="BX22" s="18">
        <f t="shared" si="83"/>
        <v>10</v>
      </c>
      <c r="BY22" s="16">
        <f t="shared" si="84"/>
        <v>83</v>
      </c>
      <c r="BZ22" s="19">
        <v>0</v>
      </c>
      <c r="CA22" s="19">
        <v>0</v>
      </c>
      <c r="CB22" s="16">
        <f t="shared" si="85"/>
        <v>0</v>
      </c>
      <c r="CC22" s="16">
        <f t="shared" si="86"/>
        <v>0</v>
      </c>
      <c r="CD22" s="20">
        <f t="shared" si="87"/>
        <v>10</v>
      </c>
      <c r="CE22" s="21">
        <f t="shared" si="44"/>
        <v>83</v>
      </c>
    </row>
    <row r="23" spans="1:85" x14ac:dyDescent="0.25">
      <c r="B23" s="70">
        <v>17</v>
      </c>
      <c r="C23" s="174" t="s">
        <v>55</v>
      </c>
      <c r="D23" s="41" t="s">
        <v>56</v>
      </c>
      <c r="E23" s="168">
        <v>10</v>
      </c>
      <c r="F23" s="168">
        <v>20</v>
      </c>
      <c r="G23" s="168">
        <v>30</v>
      </c>
      <c r="H23" s="40">
        <v>3</v>
      </c>
      <c r="I23" s="30">
        <v>7.7</v>
      </c>
      <c r="J23" s="72">
        <v>3</v>
      </c>
      <c r="K23" s="16">
        <f t="shared" si="0"/>
        <v>23.1</v>
      </c>
      <c r="L23" s="19">
        <v>3</v>
      </c>
      <c r="M23" s="19">
        <v>0</v>
      </c>
      <c r="N23" s="16">
        <f t="shared" si="55"/>
        <v>0</v>
      </c>
      <c r="O23" s="16">
        <f t="shared" si="56"/>
        <v>23.1</v>
      </c>
      <c r="P23" s="18">
        <f t="shared" si="57"/>
        <v>0</v>
      </c>
      <c r="Q23" s="16">
        <f t="shared" si="58"/>
        <v>0</v>
      </c>
      <c r="R23" s="19">
        <v>0</v>
      </c>
      <c r="S23" s="18">
        <v>0</v>
      </c>
      <c r="T23" s="16">
        <f t="shared" si="59"/>
        <v>0</v>
      </c>
      <c r="U23" s="16">
        <f t="shared" si="60"/>
        <v>0</v>
      </c>
      <c r="V23" s="18">
        <f t="shared" si="61"/>
        <v>0</v>
      </c>
      <c r="W23" s="16">
        <f t="shared" si="62"/>
        <v>0</v>
      </c>
      <c r="X23" s="19">
        <v>0</v>
      </c>
      <c r="Y23" s="19">
        <v>0</v>
      </c>
      <c r="Z23" s="16">
        <f t="shared" si="63"/>
        <v>0</v>
      </c>
      <c r="AA23" s="16">
        <f t="shared" si="64"/>
        <v>0</v>
      </c>
      <c r="AB23" s="18">
        <f t="shared" si="65"/>
        <v>0</v>
      </c>
      <c r="AC23" s="16">
        <f t="shared" si="66"/>
        <v>0</v>
      </c>
      <c r="AD23" s="19">
        <v>0</v>
      </c>
      <c r="AE23" s="19">
        <v>0</v>
      </c>
      <c r="AF23" s="16">
        <f t="shared" si="67"/>
        <v>0</v>
      </c>
      <c r="AG23" s="16">
        <f t="shared" si="68"/>
        <v>0</v>
      </c>
      <c r="AH23" s="18">
        <f t="shared" si="15"/>
        <v>0</v>
      </c>
      <c r="AI23" s="16">
        <f t="shared" si="16"/>
        <v>0</v>
      </c>
      <c r="AJ23" s="19">
        <v>0</v>
      </c>
      <c r="AK23" s="19">
        <v>0</v>
      </c>
      <c r="AL23" s="16">
        <f t="shared" si="45"/>
        <v>0</v>
      </c>
      <c r="AM23" s="16">
        <f t="shared" si="46"/>
        <v>0</v>
      </c>
      <c r="AN23" s="18">
        <f t="shared" si="47"/>
        <v>0</v>
      </c>
      <c r="AO23" s="16">
        <f t="shared" si="48"/>
        <v>0</v>
      </c>
      <c r="AP23" s="19">
        <v>0</v>
      </c>
      <c r="AQ23" s="19">
        <v>0</v>
      </c>
      <c r="AR23" s="16">
        <f t="shared" si="49"/>
        <v>0</v>
      </c>
      <c r="AS23" s="16">
        <f t="shared" si="50"/>
        <v>0</v>
      </c>
      <c r="AT23" s="18">
        <f t="shared" si="51"/>
        <v>0</v>
      </c>
      <c r="AU23" s="16">
        <f t="shared" si="52"/>
        <v>0</v>
      </c>
      <c r="AV23" s="19">
        <v>0</v>
      </c>
      <c r="AW23" s="19">
        <v>0</v>
      </c>
      <c r="AX23" s="16">
        <f t="shared" si="53"/>
        <v>0</v>
      </c>
      <c r="AY23" s="16">
        <f t="shared" si="54"/>
        <v>0</v>
      </c>
      <c r="AZ23" s="18">
        <f t="shared" si="69"/>
        <v>0</v>
      </c>
      <c r="BA23" s="16">
        <f t="shared" si="70"/>
        <v>0</v>
      </c>
      <c r="BB23" s="19">
        <v>0</v>
      </c>
      <c r="BC23" s="19">
        <v>0</v>
      </c>
      <c r="BD23" s="16">
        <f t="shared" si="89"/>
        <v>0</v>
      </c>
      <c r="BE23" s="16">
        <f t="shared" si="88"/>
        <v>0</v>
      </c>
      <c r="BF23" s="18">
        <f t="shared" si="71"/>
        <v>0</v>
      </c>
      <c r="BG23" s="16">
        <f t="shared" si="72"/>
        <v>0</v>
      </c>
      <c r="BH23" s="19">
        <v>0</v>
      </c>
      <c r="BI23" s="19">
        <v>0</v>
      </c>
      <c r="BJ23" s="16">
        <f t="shared" si="73"/>
        <v>0</v>
      </c>
      <c r="BK23" s="16">
        <f t="shared" si="74"/>
        <v>0</v>
      </c>
      <c r="BL23" s="18">
        <f t="shared" si="75"/>
        <v>0</v>
      </c>
      <c r="BM23" s="16">
        <f t="shared" si="76"/>
        <v>0</v>
      </c>
      <c r="BN23" s="19">
        <v>0</v>
      </c>
      <c r="BO23" s="19">
        <v>0</v>
      </c>
      <c r="BP23" s="16">
        <f t="shared" si="77"/>
        <v>0</v>
      </c>
      <c r="BQ23" s="16">
        <f t="shared" si="78"/>
        <v>0</v>
      </c>
      <c r="BR23" s="18">
        <f t="shared" si="79"/>
        <v>0</v>
      </c>
      <c r="BS23" s="16">
        <f t="shared" si="80"/>
        <v>0</v>
      </c>
      <c r="BT23" s="19">
        <v>0</v>
      </c>
      <c r="BU23" s="19">
        <v>0</v>
      </c>
      <c r="BV23" s="16">
        <f t="shared" si="81"/>
        <v>0</v>
      </c>
      <c r="BW23" s="16">
        <f t="shared" si="82"/>
        <v>0</v>
      </c>
      <c r="BX23" s="18">
        <f t="shared" si="83"/>
        <v>0</v>
      </c>
      <c r="BY23" s="16">
        <f t="shared" si="84"/>
        <v>0</v>
      </c>
      <c r="BZ23" s="19">
        <v>0</v>
      </c>
      <c r="CA23" s="19">
        <v>0</v>
      </c>
      <c r="CB23" s="16">
        <f t="shared" si="85"/>
        <v>0</v>
      </c>
      <c r="CC23" s="16">
        <f t="shared" si="86"/>
        <v>0</v>
      </c>
      <c r="CD23" s="20">
        <f t="shared" si="87"/>
        <v>0</v>
      </c>
      <c r="CE23" s="21">
        <f t="shared" si="44"/>
        <v>0</v>
      </c>
    </row>
    <row r="24" spans="1:85" x14ac:dyDescent="0.25">
      <c r="B24" s="70">
        <v>18</v>
      </c>
      <c r="C24" s="181"/>
      <c r="D24" s="41" t="s">
        <v>57</v>
      </c>
      <c r="E24" s="169"/>
      <c r="F24" s="169"/>
      <c r="G24" s="169"/>
      <c r="H24" s="40">
        <v>12</v>
      </c>
      <c r="I24" s="30">
        <v>7.7</v>
      </c>
      <c r="J24" s="72">
        <v>12</v>
      </c>
      <c r="K24" s="16">
        <f t="shared" si="0"/>
        <v>92.4</v>
      </c>
      <c r="L24" s="19">
        <v>0</v>
      </c>
      <c r="M24" s="19">
        <v>0</v>
      </c>
      <c r="N24" s="16">
        <f t="shared" si="55"/>
        <v>0</v>
      </c>
      <c r="O24" s="16">
        <f t="shared" si="56"/>
        <v>0</v>
      </c>
      <c r="P24" s="18">
        <f t="shared" si="57"/>
        <v>12</v>
      </c>
      <c r="Q24" s="16">
        <f t="shared" si="58"/>
        <v>92.4</v>
      </c>
      <c r="R24" s="19">
        <v>0</v>
      </c>
      <c r="S24" s="18">
        <v>0</v>
      </c>
      <c r="T24" s="16">
        <f t="shared" si="59"/>
        <v>0</v>
      </c>
      <c r="U24" s="16">
        <f t="shared" si="60"/>
        <v>0</v>
      </c>
      <c r="V24" s="18">
        <f t="shared" si="61"/>
        <v>12</v>
      </c>
      <c r="W24" s="16">
        <f t="shared" si="62"/>
        <v>92.4</v>
      </c>
      <c r="X24" s="19">
        <v>0</v>
      </c>
      <c r="Y24" s="19">
        <v>0</v>
      </c>
      <c r="Z24" s="16">
        <f t="shared" si="63"/>
        <v>0</v>
      </c>
      <c r="AA24" s="16">
        <f t="shared" si="64"/>
        <v>0</v>
      </c>
      <c r="AB24" s="18">
        <f t="shared" si="65"/>
        <v>12</v>
      </c>
      <c r="AC24" s="16">
        <f t="shared" si="66"/>
        <v>92.4</v>
      </c>
      <c r="AD24" s="19">
        <v>0</v>
      </c>
      <c r="AE24" s="19">
        <v>0</v>
      </c>
      <c r="AF24" s="16">
        <f t="shared" si="67"/>
        <v>0</v>
      </c>
      <c r="AG24" s="16">
        <f t="shared" si="68"/>
        <v>0</v>
      </c>
      <c r="AH24" s="18">
        <f t="shared" si="15"/>
        <v>12</v>
      </c>
      <c r="AI24" s="16">
        <f t="shared" si="16"/>
        <v>92.4</v>
      </c>
      <c r="AJ24" s="19">
        <v>0</v>
      </c>
      <c r="AK24" s="19">
        <v>0</v>
      </c>
      <c r="AL24" s="16">
        <f t="shared" si="45"/>
        <v>0</v>
      </c>
      <c r="AM24" s="16">
        <f t="shared" si="46"/>
        <v>0</v>
      </c>
      <c r="AN24" s="18">
        <f t="shared" si="47"/>
        <v>12</v>
      </c>
      <c r="AO24" s="16">
        <f t="shared" si="48"/>
        <v>92.4</v>
      </c>
      <c r="AP24" s="19">
        <v>0</v>
      </c>
      <c r="AQ24" s="19">
        <v>0</v>
      </c>
      <c r="AR24" s="16">
        <f t="shared" si="49"/>
        <v>0</v>
      </c>
      <c r="AS24" s="16">
        <f t="shared" si="50"/>
        <v>0</v>
      </c>
      <c r="AT24" s="18">
        <f t="shared" si="51"/>
        <v>12</v>
      </c>
      <c r="AU24" s="16">
        <f t="shared" si="52"/>
        <v>92.4</v>
      </c>
      <c r="AV24" s="19">
        <v>0</v>
      </c>
      <c r="AW24" s="19">
        <v>0</v>
      </c>
      <c r="AX24" s="16">
        <f t="shared" si="53"/>
        <v>0</v>
      </c>
      <c r="AY24" s="16">
        <f t="shared" si="54"/>
        <v>0</v>
      </c>
      <c r="AZ24" s="18">
        <f t="shared" si="69"/>
        <v>12</v>
      </c>
      <c r="BA24" s="16">
        <f t="shared" si="70"/>
        <v>92.4</v>
      </c>
      <c r="BB24" s="19">
        <v>0</v>
      </c>
      <c r="BC24" s="19">
        <v>0</v>
      </c>
      <c r="BD24" s="16">
        <f t="shared" si="89"/>
        <v>0</v>
      </c>
      <c r="BE24" s="16">
        <f t="shared" si="88"/>
        <v>0</v>
      </c>
      <c r="BF24" s="18">
        <f t="shared" si="71"/>
        <v>12</v>
      </c>
      <c r="BG24" s="16">
        <f t="shared" si="72"/>
        <v>92.4</v>
      </c>
      <c r="BH24" s="19">
        <v>0</v>
      </c>
      <c r="BI24" s="19">
        <v>0</v>
      </c>
      <c r="BJ24" s="16">
        <f t="shared" si="73"/>
        <v>0</v>
      </c>
      <c r="BK24" s="16">
        <f t="shared" si="74"/>
        <v>0</v>
      </c>
      <c r="BL24" s="18">
        <f t="shared" si="75"/>
        <v>12</v>
      </c>
      <c r="BM24" s="16">
        <f t="shared" si="76"/>
        <v>92.4</v>
      </c>
      <c r="BN24" s="19">
        <v>0</v>
      </c>
      <c r="BO24" s="19">
        <v>0</v>
      </c>
      <c r="BP24" s="16">
        <f t="shared" si="77"/>
        <v>0</v>
      </c>
      <c r="BQ24" s="16">
        <f t="shared" si="78"/>
        <v>0</v>
      </c>
      <c r="BR24" s="18">
        <f t="shared" si="79"/>
        <v>12</v>
      </c>
      <c r="BS24" s="16">
        <f t="shared" si="80"/>
        <v>92.4</v>
      </c>
      <c r="BT24" s="19">
        <v>0</v>
      </c>
      <c r="BU24" s="19">
        <v>0</v>
      </c>
      <c r="BV24" s="16">
        <f t="shared" si="81"/>
        <v>0</v>
      </c>
      <c r="BW24" s="16">
        <f t="shared" si="82"/>
        <v>0</v>
      </c>
      <c r="BX24" s="18">
        <f t="shared" si="83"/>
        <v>12</v>
      </c>
      <c r="BY24" s="16">
        <f t="shared" si="84"/>
        <v>92.4</v>
      </c>
      <c r="BZ24" s="19">
        <v>0</v>
      </c>
      <c r="CA24" s="19">
        <v>0</v>
      </c>
      <c r="CB24" s="16">
        <f t="shared" si="85"/>
        <v>0</v>
      </c>
      <c r="CC24" s="16">
        <f t="shared" si="86"/>
        <v>0</v>
      </c>
      <c r="CD24" s="20">
        <f t="shared" si="87"/>
        <v>12</v>
      </c>
      <c r="CE24" s="21">
        <f t="shared" si="44"/>
        <v>92.4</v>
      </c>
    </row>
    <row r="25" spans="1:85" x14ac:dyDescent="0.25">
      <c r="B25" s="70">
        <v>19</v>
      </c>
      <c r="C25" s="175"/>
      <c r="D25" s="41" t="s">
        <v>57</v>
      </c>
      <c r="E25" s="80"/>
      <c r="F25" s="80"/>
      <c r="G25" s="80"/>
      <c r="H25" s="40">
        <v>10</v>
      </c>
      <c r="I25" s="30">
        <v>8.3000000000000007</v>
      </c>
      <c r="J25" s="72">
        <v>10</v>
      </c>
      <c r="K25" s="16">
        <f t="shared" si="0"/>
        <v>83</v>
      </c>
      <c r="L25" s="19">
        <v>0</v>
      </c>
      <c r="M25" s="19">
        <v>0</v>
      </c>
      <c r="N25" s="16">
        <f t="shared" si="55"/>
        <v>0</v>
      </c>
      <c r="O25" s="16">
        <f t="shared" si="56"/>
        <v>0</v>
      </c>
      <c r="P25" s="18">
        <f t="shared" si="57"/>
        <v>10</v>
      </c>
      <c r="Q25" s="16">
        <f t="shared" si="58"/>
        <v>83</v>
      </c>
      <c r="R25" s="19">
        <v>0</v>
      </c>
      <c r="S25" s="18">
        <v>0</v>
      </c>
      <c r="T25" s="16">
        <f t="shared" si="59"/>
        <v>0</v>
      </c>
      <c r="U25" s="16">
        <f t="shared" si="60"/>
        <v>0</v>
      </c>
      <c r="V25" s="18">
        <f t="shared" si="61"/>
        <v>10</v>
      </c>
      <c r="W25" s="16">
        <f t="shared" si="62"/>
        <v>83</v>
      </c>
      <c r="X25" s="19">
        <v>0</v>
      </c>
      <c r="Y25" s="19">
        <v>0</v>
      </c>
      <c r="Z25" s="16">
        <f t="shared" si="63"/>
        <v>0</v>
      </c>
      <c r="AA25" s="16">
        <f t="shared" si="64"/>
        <v>0</v>
      </c>
      <c r="AB25" s="18">
        <f t="shared" si="65"/>
        <v>10</v>
      </c>
      <c r="AC25" s="16">
        <f t="shared" si="66"/>
        <v>83</v>
      </c>
      <c r="AD25" s="19">
        <v>0</v>
      </c>
      <c r="AE25" s="19">
        <v>0</v>
      </c>
      <c r="AF25" s="16">
        <f t="shared" si="67"/>
        <v>0</v>
      </c>
      <c r="AG25" s="16">
        <f t="shared" si="68"/>
        <v>0</v>
      </c>
      <c r="AH25" s="18">
        <f t="shared" si="15"/>
        <v>10</v>
      </c>
      <c r="AI25" s="16">
        <f t="shared" si="16"/>
        <v>83</v>
      </c>
      <c r="AJ25" s="19">
        <v>0</v>
      </c>
      <c r="AK25" s="19">
        <v>0</v>
      </c>
      <c r="AL25" s="16">
        <f t="shared" si="45"/>
        <v>0</v>
      </c>
      <c r="AM25" s="16">
        <f t="shared" si="46"/>
        <v>0</v>
      </c>
      <c r="AN25" s="18">
        <f t="shared" si="47"/>
        <v>10</v>
      </c>
      <c r="AO25" s="16">
        <f t="shared" si="48"/>
        <v>83</v>
      </c>
      <c r="AP25" s="19">
        <v>0</v>
      </c>
      <c r="AQ25" s="19">
        <v>0</v>
      </c>
      <c r="AR25" s="16">
        <f t="shared" si="49"/>
        <v>0</v>
      </c>
      <c r="AS25" s="16">
        <f t="shared" si="50"/>
        <v>0</v>
      </c>
      <c r="AT25" s="18">
        <f t="shared" si="51"/>
        <v>10</v>
      </c>
      <c r="AU25" s="16">
        <f t="shared" si="52"/>
        <v>83</v>
      </c>
      <c r="AV25" s="19">
        <v>0</v>
      </c>
      <c r="AW25" s="19">
        <v>0</v>
      </c>
      <c r="AX25" s="16">
        <f t="shared" si="53"/>
        <v>0</v>
      </c>
      <c r="AY25" s="16">
        <f t="shared" si="54"/>
        <v>0</v>
      </c>
      <c r="AZ25" s="18">
        <f t="shared" si="69"/>
        <v>10</v>
      </c>
      <c r="BA25" s="16">
        <f t="shared" si="70"/>
        <v>83</v>
      </c>
      <c r="BB25" s="19">
        <v>0</v>
      </c>
      <c r="BC25" s="19">
        <v>0</v>
      </c>
      <c r="BD25" s="16">
        <f t="shared" si="89"/>
        <v>0</v>
      </c>
      <c r="BE25" s="16">
        <f t="shared" si="88"/>
        <v>0</v>
      </c>
      <c r="BF25" s="18">
        <f t="shared" si="71"/>
        <v>10</v>
      </c>
      <c r="BG25" s="16">
        <f t="shared" si="72"/>
        <v>83</v>
      </c>
      <c r="BH25" s="19">
        <v>0</v>
      </c>
      <c r="BI25" s="19">
        <v>0</v>
      </c>
      <c r="BJ25" s="16">
        <f t="shared" si="73"/>
        <v>0</v>
      </c>
      <c r="BK25" s="16">
        <f t="shared" si="74"/>
        <v>0</v>
      </c>
      <c r="BL25" s="18">
        <f t="shared" si="75"/>
        <v>10</v>
      </c>
      <c r="BM25" s="16">
        <f t="shared" si="76"/>
        <v>83</v>
      </c>
      <c r="BN25" s="19">
        <v>0</v>
      </c>
      <c r="BO25" s="19">
        <v>0</v>
      </c>
      <c r="BP25" s="16">
        <f t="shared" si="77"/>
        <v>0</v>
      </c>
      <c r="BQ25" s="16">
        <f t="shared" si="78"/>
        <v>0</v>
      </c>
      <c r="BR25" s="18">
        <f t="shared" si="79"/>
        <v>10</v>
      </c>
      <c r="BS25" s="16">
        <f t="shared" si="80"/>
        <v>83</v>
      </c>
      <c r="BT25" s="19">
        <v>0</v>
      </c>
      <c r="BU25" s="19">
        <v>0</v>
      </c>
      <c r="BV25" s="16">
        <f t="shared" si="81"/>
        <v>0</v>
      </c>
      <c r="BW25" s="16">
        <f t="shared" si="82"/>
        <v>0</v>
      </c>
      <c r="BX25" s="18">
        <f t="shared" si="83"/>
        <v>10</v>
      </c>
      <c r="BY25" s="16">
        <f t="shared" si="84"/>
        <v>83</v>
      </c>
      <c r="BZ25" s="19">
        <v>0</v>
      </c>
      <c r="CA25" s="19">
        <v>0</v>
      </c>
      <c r="CB25" s="16">
        <f t="shared" si="85"/>
        <v>0</v>
      </c>
      <c r="CC25" s="16">
        <f t="shared" si="86"/>
        <v>0</v>
      </c>
      <c r="CD25" s="20">
        <f t="shared" si="87"/>
        <v>10</v>
      </c>
      <c r="CE25" s="21">
        <f t="shared" si="44"/>
        <v>83</v>
      </c>
    </row>
    <row r="26" spans="1:85" x14ac:dyDescent="0.25">
      <c r="B26" s="70">
        <v>20</v>
      </c>
      <c r="C26" s="174" t="s">
        <v>58</v>
      </c>
      <c r="D26" s="41" t="s">
        <v>59</v>
      </c>
      <c r="E26" s="168">
        <v>10</v>
      </c>
      <c r="F26" s="168">
        <v>20</v>
      </c>
      <c r="G26" s="168">
        <v>30</v>
      </c>
      <c r="H26" s="40">
        <v>3</v>
      </c>
      <c r="I26" s="30">
        <v>7.7</v>
      </c>
      <c r="J26" s="72">
        <v>3</v>
      </c>
      <c r="K26" s="16">
        <f t="shared" si="0"/>
        <v>23.1</v>
      </c>
      <c r="L26" s="19">
        <v>3</v>
      </c>
      <c r="M26" s="19">
        <v>0</v>
      </c>
      <c r="N26" s="16">
        <f t="shared" si="55"/>
        <v>0</v>
      </c>
      <c r="O26" s="16">
        <f t="shared" si="56"/>
        <v>23.1</v>
      </c>
      <c r="P26" s="18">
        <f t="shared" si="57"/>
        <v>0</v>
      </c>
      <c r="Q26" s="16">
        <f t="shared" si="58"/>
        <v>0</v>
      </c>
      <c r="R26" s="19">
        <v>0</v>
      </c>
      <c r="S26" s="18">
        <v>0</v>
      </c>
      <c r="T26" s="16">
        <f t="shared" si="59"/>
        <v>0</v>
      </c>
      <c r="U26" s="16">
        <f t="shared" si="60"/>
        <v>0</v>
      </c>
      <c r="V26" s="18">
        <f t="shared" si="61"/>
        <v>0</v>
      </c>
      <c r="W26" s="16">
        <f t="shared" si="62"/>
        <v>0</v>
      </c>
      <c r="X26" s="19">
        <v>0</v>
      </c>
      <c r="Y26" s="19">
        <v>0</v>
      </c>
      <c r="Z26" s="16">
        <f t="shared" si="63"/>
        <v>0</v>
      </c>
      <c r="AA26" s="16">
        <f t="shared" si="64"/>
        <v>0</v>
      </c>
      <c r="AB26" s="18">
        <f t="shared" si="65"/>
        <v>0</v>
      </c>
      <c r="AC26" s="16">
        <f t="shared" si="66"/>
        <v>0</v>
      </c>
      <c r="AD26" s="19">
        <v>0</v>
      </c>
      <c r="AE26" s="19">
        <v>0</v>
      </c>
      <c r="AF26" s="16">
        <f t="shared" si="67"/>
        <v>0</v>
      </c>
      <c r="AG26" s="16">
        <f t="shared" si="68"/>
        <v>0</v>
      </c>
      <c r="AH26" s="18">
        <f t="shared" si="15"/>
        <v>0</v>
      </c>
      <c r="AI26" s="16">
        <f t="shared" si="16"/>
        <v>0</v>
      </c>
      <c r="AJ26" s="19">
        <v>0</v>
      </c>
      <c r="AK26" s="19">
        <v>0</v>
      </c>
      <c r="AL26" s="16">
        <f t="shared" si="45"/>
        <v>0</v>
      </c>
      <c r="AM26" s="16">
        <f t="shared" si="46"/>
        <v>0</v>
      </c>
      <c r="AN26" s="18">
        <f t="shared" si="47"/>
        <v>0</v>
      </c>
      <c r="AO26" s="16">
        <f t="shared" si="48"/>
        <v>0</v>
      </c>
      <c r="AP26" s="19">
        <v>0</v>
      </c>
      <c r="AQ26" s="19">
        <v>0</v>
      </c>
      <c r="AR26" s="16">
        <f t="shared" si="49"/>
        <v>0</v>
      </c>
      <c r="AS26" s="16">
        <f t="shared" si="50"/>
        <v>0</v>
      </c>
      <c r="AT26" s="18">
        <f t="shared" si="51"/>
        <v>0</v>
      </c>
      <c r="AU26" s="16">
        <f t="shared" si="52"/>
        <v>0</v>
      </c>
      <c r="AV26" s="19">
        <v>0</v>
      </c>
      <c r="AW26" s="19">
        <v>0</v>
      </c>
      <c r="AX26" s="16">
        <f t="shared" si="53"/>
        <v>0</v>
      </c>
      <c r="AY26" s="16">
        <f t="shared" si="54"/>
        <v>0</v>
      </c>
      <c r="AZ26" s="18">
        <f t="shared" si="69"/>
        <v>0</v>
      </c>
      <c r="BA26" s="16">
        <f t="shared" si="70"/>
        <v>0</v>
      </c>
      <c r="BB26" s="19">
        <v>0</v>
      </c>
      <c r="BC26" s="19">
        <v>0</v>
      </c>
      <c r="BD26" s="16">
        <f t="shared" si="89"/>
        <v>0</v>
      </c>
      <c r="BE26" s="16">
        <f t="shared" si="88"/>
        <v>0</v>
      </c>
      <c r="BF26" s="18">
        <f t="shared" si="71"/>
        <v>0</v>
      </c>
      <c r="BG26" s="16">
        <f t="shared" si="72"/>
        <v>0</v>
      </c>
      <c r="BH26" s="19">
        <v>0</v>
      </c>
      <c r="BI26" s="19">
        <v>0</v>
      </c>
      <c r="BJ26" s="16">
        <f t="shared" si="73"/>
        <v>0</v>
      </c>
      <c r="BK26" s="16">
        <f t="shared" si="74"/>
        <v>0</v>
      </c>
      <c r="BL26" s="18">
        <f t="shared" si="75"/>
        <v>0</v>
      </c>
      <c r="BM26" s="16">
        <f t="shared" si="76"/>
        <v>0</v>
      </c>
      <c r="BN26" s="19">
        <v>0</v>
      </c>
      <c r="BO26" s="19">
        <v>0</v>
      </c>
      <c r="BP26" s="16">
        <f t="shared" si="77"/>
        <v>0</v>
      </c>
      <c r="BQ26" s="16">
        <f t="shared" si="78"/>
        <v>0</v>
      </c>
      <c r="BR26" s="18">
        <f t="shared" si="79"/>
        <v>0</v>
      </c>
      <c r="BS26" s="16">
        <f t="shared" si="80"/>
        <v>0</v>
      </c>
      <c r="BT26" s="19">
        <v>0</v>
      </c>
      <c r="BU26" s="19">
        <v>0</v>
      </c>
      <c r="BV26" s="16">
        <f t="shared" si="81"/>
        <v>0</v>
      </c>
      <c r="BW26" s="16">
        <f t="shared" si="82"/>
        <v>0</v>
      </c>
      <c r="BX26" s="18">
        <f t="shared" si="83"/>
        <v>0</v>
      </c>
      <c r="BY26" s="16">
        <f t="shared" si="84"/>
        <v>0</v>
      </c>
      <c r="BZ26" s="19">
        <v>0</v>
      </c>
      <c r="CA26" s="19">
        <v>0</v>
      </c>
      <c r="CB26" s="16">
        <f t="shared" si="85"/>
        <v>0</v>
      </c>
      <c r="CC26" s="16">
        <f t="shared" si="86"/>
        <v>0</v>
      </c>
      <c r="CD26" s="20">
        <f t="shared" si="87"/>
        <v>0</v>
      </c>
      <c r="CE26" s="21">
        <f t="shared" si="44"/>
        <v>0</v>
      </c>
    </row>
    <row r="27" spans="1:85" x14ac:dyDescent="0.25">
      <c r="B27" s="70">
        <v>21</v>
      </c>
      <c r="C27" s="181"/>
      <c r="D27" s="41" t="s">
        <v>60</v>
      </c>
      <c r="E27" s="169"/>
      <c r="F27" s="169"/>
      <c r="G27" s="169"/>
      <c r="H27" s="40">
        <v>12</v>
      </c>
      <c r="I27" s="30">
        <v>7.7</v>
      </c>
      <c r="J27" s="72">
        <v>12</v>
      </c>
      <c r="K27" s="16">
        <f t="shared" si="0"/>
        <v>92.4</v>
      </c>
      <c r="L27" s="19">
        <v>0</v>
      </c>
      <c r="M27" s="19">
        <v>0</v>
      </c>
      <c r="N27" s="16">
        <f t="shared" si="55"/>
        <v>0</v>
      </c>
      <c r="O27" s="16">
        <f t="shared" si="56"/>
        <v>0</v>
      </c>
      <c r="P27" s="18">
        <f t="shared" si="57"/>
        <v>12</v>
      </c>
      <c r="Q27" s="16">
        <f t="shared" si="58"/>
        <v>92.4</v>
      </c>
      <c r="R27" s="19">
        <v>0</v>
      </c>
      <c r="S27" s="18">
        <v>0</v>
      </c>
      <c r="T27" s="16">
        <f t="shared" si="59"/>
        <v>0</v>
      </c>
      <c r="U27" s="16">
        <f t="shared" si="60"/>
        <v>0</v>
      </c>
      <c r="V27" s="18">
        <f t="shared" si="61"/>
        <v>12</v>
      </c>
      <c r="W27" s="16">
        <f t="shared" si="62"/>
        <v>92.4</v>
      </c>
      <c r="X27" s="19">
        <v>0</v>
      </c>
      <c r="Y27" s="19">
        <v>0</v>
      </c>
      <c r="Z27" s="16">
        <f t="shared" si="63"/>
        <v>0</v>
      </c>
      <c r="AA27" s="16">
        <f t="shared" si="64"/>
        <v>0</v>
      </c>
      <c r="AB27" s="18">
        <f t="shared" si="65"/>
        <v>12</v>
      </c>
      <c r="AC27" s="16">
        <f t="shared" si="66"/>
        <v>92.4</v>
      </c>
      <c r="AD27" s="19">
        <v>0</v>
      </c>
      <c r="AE27" s="19">
        <v>0</v>
      </c>
      <c r="AF27" s="16">
        <f t="shared" si="67"/>
        <v>0</v>
      </c>
      <c r="AG27" s="16">
        <f t="shared" si="68"/>
        <v>0</v>
      </c>
      <c r="AH27" s="18">
        <f t="shared" si="15"/>
        <v>12</v>
      </c>
      <c r="AI27" s="16">
        <f t="shared" si="16"/>
        <v>92.4</v>
      </c>
      <c r="AJ27" s="19">
        <v>0</v>
      </c>
      <c r="AK27" s="19">
        <v>0</v>
      </c>
      <c r="AL27" s="16">
        <f t="shared" si="45"/>
        <v>0</v>
      </c>
      <c r="AM27" s="16">
        <f t="shared" si="46"/>
        <v>0</v>
      </c>
      <c r="AN27" s="18">
        <f t="shared" si="47"/>
        <v>12</v>
      </c>
      <c r="AO27" s="16">
        <f t="shared" si="48"/>
        <v>92.4</v>
      </c>
      <c r="AP27" s="19">
        <v>0</v>
      </c>
      <c r="AQ27" s="19">
        <v>0</v>
      </c>
      <c r="AR27" s="16">
        <f t="shared" si="49"/>
        <v>0</v>
      </c>
      <c r="AS27" s="16">
        <f t="shared" si="50"/>
        <v>0</v>
      </c>
      <c r="AT27" s="18">
        <f t="shared" si="51"/>
        <v>12</v>
      </c>
      <c r="AU27" s="16">
        <f t="shared" si="52"/>
        <v>92.4</v>
      </c>
      <c r="AV27" s="19">
        <v>0</v>
      </c>
      <c r="AW27" s="19">
        <v>0</v>
      </c>
      <c r="AX27" s="16">
        <f t="shared" si="53"/>
        <v>0</v>
      </c>
      <c r="AY27" s="16">
        <f t="shared" si="54"/>
        <v>0</v>
      </c>
      <c r="AZ27" s="18">
        <f t="shared" si="69"/>
        <v>12</v>
      </c>
      <c r="BA27" s="16">
        <f t="shared" si="70"/>
        <v>92.4</v>
      </c>
      <c r="BB27" s="19">
        <v>0</v>
      </c>
      <c r="BC27" s="19">
        <v>0</v>
      </c>
      <c r="BD27" s="16">
        <f t="shared" si="89"/>
        <v>0</v>
      </c>
      <c r="BE27" s="16">
        <f t="shared" si="88"/>
        <v>0</v>
      </c>
      <c r="BF27" s="18">
        <f t="shared" si="71"/>
        <v>12</v>
      </c>
      <c r="BG27" s="16">
        <f t="shared" si="72"/>
        <v>92.4</v>
      </c>
      <c r="BH27" s="19">
        <v>0</v>
      </c>
      <c r="BI27" s="19">
        <v>0</v>
      </c>
      <c r="BJ27" s="16">
        <f t="shared" si="73"/>
        <v>0</v>
      </c>
      <c r="BK27" s="16">
        <f t="shared" si="74"/>
        <v>0</v>
      </c>
      <c r="BL27" s="18">
        <f t="shared" si="75"/>
        <v>12</v>
      </c>
      <c r="BM27" s="16">
        <f t="shared" si="76"/>
        <v>92.4</v>
      </c>
      <c r="BN27" s="19">
        <v>0</v>
      </c>
      <c r="BO27" s="19">
        <v>0</v>
      </c>
      <c r="BP27" s="16">
        <f t="shared" si="77"/>
        <v>0</v>
      </c>
      <c r="BQ27" s="16">
        <f t="shared" si="78"/>
        <v>0</v>
      </c>
      <c r="BR27" s="18">
        <f t="shared" si="79"/>
        <v>12</v>
      </c>
      <c r="BS27" s="16">
        <f t="shared" si="80"/>
        <v>92.4</v>
      </c>
      <c r="BT27" s="19">
        <v>0</v>
      </c>
      <c r="BU27" s="19">
        <v>0</v>
      </c>
      <c r="BV27" s="16">
        <f t="shared" si="81"/>
        <v>0</v>
      </c>
      <c r="BW27" s="16">
        <f t="shared" si="82"/>
        <v>0</v>
      </c>
      <c r="BX27" s="18">
        <f t="shared" si="83"/>
        <v>12</v>
      </c>
      <c r="BY27" s="16">
        <f t="shared" si="84"/>
        <v>92.4</v>
      </c>
      <c r="BZ27" s="19">
        <v>0</v>
      </c>
      <c r="CA27" s="19">
        <v>0</v>
      </c>
      <c r="CB27" s="16">
        <f t="shared" si="85"/>
        <v>0</v>
      </c>
      <c r="CC27" s="16">
        <f t="shared" si="86"/>
        <v>0</v>
      </c>
      <c r="CD27" s="20">
        <f t="shared" si="87"/>
        <v>12</v>
      </c>
      <c r="CE27" s="21">
        <f t="shared" si="44"/>
        <v>92.4</v>
      </c>
    </row>
    <row r="28" spans="1:85" x14ac:dyDescent="0.25">
      <c r="B28" s="70">
        <v>22</v>
      </c>
      <c r="C28" s="175"/>
      <c r="D28" s="41" t="s">
        <v>60</v>
      </c>
      <c r="E28" s="80"/>
      <c r="F28" s="80"/>
      <c r="G28" s="80"/>
      <c r="H28" s="40">
        <v>10</v>
      </c>
      <c r="I28" s="30">
        <v>8.3000000000000007</v>
      </c>
      <c r="J28" s="72">
        <v>10</v>
      </c>
      <c r="K28" s="16">
        <f t="shared" si="0"/>
        <v>83</v>
      </c>
      <c r="L28" s="19">
        <v>0</v>
      </c>
      <c r="M28" s="19">
        <v>0</v>
      </c>
      <c r="N28" s="16">
        <f t="shared" si="55"/>
        <v>0</v>
      </c>
      <c r="O28" s="16">
        <f t="shared" si="56"/>
        <v>0</v>
      </c>
      <c r="P28" s="18">
        <f t="shared" si="57"/>
        <v>10</v>
      </c>
      <c r="Q28" s="16">
        <f t="shared" si="58"/>
        <v>83</v>
      </c>
      <c r="R28" s="19">
        <v>0</v>
      </c>
      <c r="S28" s="18">
        <v>0</v>
      </c>
      <c r="T28" s="16">
        <f t="shared" si="59"/>
        <v>0</v>
      </c>
      <c r="U28" s="16">
        <f t="shared" si="60"/>
        <v>0</v>
      </c>
      <c r="V28" s="18">
        <f t="shared" si="61"/>
        <v>10</v>
      </c>
      <c r="W28" s="16">
        <f t="shared" si="62"/>
        <v>83</v>
      </c>
      <c r="X28" s="19">
        <v>0</v>
      </c>
      <c r="Y28" s="19">
        <v>0</v>
      </c>
      <c r="Z28" s="16">
        <f t="shared" si="63"/>
        <v>0</v>
      </c>
      <c r="AA28" s="16">
        <f t="shared" si="64"/>
        <v>0</v>
      </c>
      <c r="AB28" s="18">
        <f t="shared" si="65"/>
        <v>10</v>
      </c>
      <c r="AC28" s="16">
        <f t="shared" si="66"/>
        <v>83</v>
      </c>
      <c r="AD28" s="19">
        <v>0</v>
      </c>
      <c r="AE28" s="19">
        <v>0</v>
      </c>
      <c r="AF28" s="16">
        <f t="shared" si="67"/>
        <v>0</v>
      </c>
      <c r="AG28" s="16">
        <f t="shared" si="68"/>
        <v>0</v>
      </c>
      <c r="AH28" s="18">
        <f t="shared" si="15"/>
        <v>10</v>
      </c>
      <c r="AI28" s="16">
        <f t="shared" si="16"/>
        <v>83</v>
      </c>
      <c r="AJ28" s="19">
        <v>0</v>
      </c>
      <c r="AK28" s="19">
        <v>0</v>
      </c>
      <c r="AL28" s="16">
        <f t="shared" si="45"/>
        <v>0</v>
      </c>
      <c r="AM28" s="16">
        <f t="shared" si="46"/>
        <v>0</v>
      </c>
      <c r="AN28" s="18">
        <f t="shared" si="47"/>
        <v>10</v>
      </c>
      <c r="AO28" s="16">
        <f t="shared" si="48"/>
        <v>83</v>
      </c>
      <c r="AP28" s="19">
        <v>0</v>
      </c>
      <c r="AQ28" s="19">
        <v>0</v>
      </c>
      <c r="AR28" s="16">
        <f t="shared" si="49"/>
        <v>0</v>
      </c>
      <c r="AS28" s="16">
        <f t="shared" si="50"/>
        <v>0</v>
      </c>
      <c r="AT28" s="18">
        <f t="shared" si="51"/>
        <v>10</v>
      </c>
      <c r="AU28" s="16">
        <f t="shared" si="52"/>
        <v>83</v>
      </c>
      <c r="AV28" s="19">
        <v>0</v>
      </c>
      <c r="AW28" s="19">
        <v>0</v>
      </c>
      <c r="AX28" s="16">
        <f t="shared" si="53"/>
        <v>0</v>
      </c>
      <c r="AY28" s="16">
        <f t="shared" si="54"/>
        <v>0</v>
      </c>
      <c r="AZ28" s="18">
        <f t="shared" si="69"/>
        <v>10</v>
      </c>
      <c r="BA28" s="16">
        <f t="shared" si="70"/>
        <v>83</v>
      </c>
      <c r="BB28" s="19">
        <v>0</v>
      </c>
      <c r="BC28" s="19">
        <v>0</v>
      </c>
      <c r="BD28" s="16">
        <f t="shared" si="89"/>
        <v>0</v>
      </c>
      <c r="BE28" s="16">
        <f t="shared" si="88"/>
        <v>0</v>
      </c>
      <c r="BF28" s="18">
        <f t="shared" si="71"/>
        <v>10</v>
      </c>
      <c r="BG28" s="16">
        <f t="shared" si="72"/>
        <v>83</v>
      </c>
      <c r="BH28" s="19">
        <v>0</v>
      </c>
      <c r="BI28" s="19">
        <v>0</v>
      </c>
      <c r="BJ28" s="16">
        <f t="shared" si="73"/>
        <v>0</v>
      </c>
      <c r="BK28" s="16">
        <f t="shared" si="74"/>
        <v>0</v>
      </c>
      <c r="BL28" s="18">
        <f t="shared" si="75"/>
        <v>10</v>
      </c>
      <c r="BM28" s="16">
        <f t="shared" si="76"/>
        <v>83</v>
      </c>
      <c r="BN28" s="19">
        <v>0</v>
      </c>
      <c r="BO28" s="19">
        <v>0</v>
      </c>
      <c r="BP28" s="16">
        <f t="shared" si="77"/>
        <v>0</v>
      </c>
      <c r="BQ28" s="16">
        <f t="shared" si="78"/>
        <v>0</v>
      </c>
      <c r="BR28" s="18">
        <f t="shared" si="79"/>
        <v>10</v>
      </c>
      <c r="BS28" s="16">
        <f t="shared" si="80"/>
        <v>83</v>
      </c>
      <c r="BT28" s="19">
        <v>0</v>
      </c>
      <c r="BU28" s="19">
        <v>0</v>
      </c>
      <c r="BV28" s="16">
        <f t="shared" si="81"/>
        <v>0</v>
      </c>
      <c r="BW28" s="16">
        <f t="shared" si="82"/>
        <v>0</v>
      </c>
      <c r="BX28" s="18">
        <f t="shared" si="83"/>
        <v>10</v>
      </c>
      <c r="BY28" s="16">
        <f t="shared" si="84"/>
        <v>83</v>
      </c>
      <c r="BZ28" s="19">
        <v>0</v>
      </c>
      <c r="CA28" s="19">
        <v>0</v>
      </c>
      <c r="CB28" s="16">
        <f t="shared" si="85"/>
        <v>0</v>
      </c>
      <c r="CC28" s="16">
        <f t="shared" si="86"/>
        <v>0</v>
      </c>
      <c r="CD28" s="20">
        <f t="shared" si="87"/>
        <v>10</v>
      </c>
      <c r="CE28" s="21">
        <f t="shared" si="44"/>
        <v>83</v>
      </c>
    </row>
    <row r="29" spans="1:85" x14ac:dyDescent="0.25">
      <c r="A29" s="23">
        <v>14</v>
      </c>
      <c r="B29" s="70">
        <v>23</v>
      </c>
      <c r="C29" s="174" t="s">
        <v>61</v>
      </c>
      <c r="D29" s="13" t="s">
        <v>62</v>
      </c>
      <c r="E29" s="168">
        <v>10</v>
      </c>
      <c r="F29" s="168">
        <v>15</v>
      </c>
      <c r="G29" s="168">
        <v>20</v>
      </c>
      <c r="H29" s="17">
        <v>30</v>
      </c>
      <c r="I29" s="25">
        <v>2.15</v>
      </c>
      <c r="J29" s="72">
        <v>30</v>
      </c>
      <c r="K29" s="16">
        <f t="shared" si="0"/>
        <v>64.5</v>
      </c>
      <c r="L29" s="19">
        <v>0</v>
      </c>
      <c r="M29" s="19">
        <v>0</v>
      </c>
      <c r="N29" s="16">
        <f t="shared" si="55"/>
        <v>0</v>
      </c>
      <c r="O29" s="16">
        <f t="shared" si="56"/>
        <v>0</v>
      </c>
      <c r="P29" s="18">
        <f t="shared" si="57"/>
        <v>30</v>
      </c>
      <c r="Q29" s="16">
        <f t="shared" si="58"/>
        <v>64.5</v>
      </c>
      <c r="R29" s="19">
        <v>0</v>
      </c>
      <c r="S29" s="18">
        <v>0</v>
      </c>
      <c r="T29" s="16">
        <f t="shared" si="59"/>
        <v>0</v>
      </c>
      <c r="U29" s="16">
        <f t="shared" si="60"/>
        <v>0</v>
      </c>
      <c r="V29" s="18">
        <f t="shared" si="61"/>
        <v>30</v>
      </c>
      <c r="W29" s="16">
        <f t="shared" si="62"/>
        <v>64.5</v>
      </c>
      <c r="X29" s="19">
        <v>0</v>
      </c>
      <c r="Y29" s="19">
        <v>0</v>
      </c>
      <c r="Z29" s="16">
        <f t="shared" si="63"/>
        <v>0</v>
      </c>
      <c r="AA29" s="16">
        <f t="shared" si="64"/>
        <v>0</v>
      </c>
      <c r="AB29" s="18">
        <f t="shared" si="65"/>
        <v>30</v>
      </c>
      <c r="AC29" s="16">
        <f t="shared" si="66"/>
        <v>64.5</v>
      </c>
      <c r="AD29" s="19">
        <v>0</v>
      </c>
      <c r="AE29" s="19">
        <v>0</v>
      </c>
      <c r="AF29" s="16">
        <f t="shared" si="67"/>
        <v>0</v>
      </c>
      <c r="AG29" s="16">
        <f t="shared" si="68"/>
        <v>0</v>
      </c>
      <c r="AH29" s="18">
        <f t="shared" si="15"/>
        <v>30</v>
      </c>
      <c r="AI29" s="16">
        <f t="shared" si="16"/>
        <v>64.5</v>
      </c>
      <c r="AJ29" s="19">
        <v>0</v>
      </c>
      <c r="AK29" s="19">
        <v>0</v>
      </c>
      <c r="AL29" s="16">
        <f t="shared" si="45"/>
        <v>0</v>
      </c>
      <c r="AM29" s="16">
        <f t="shared" si="46"/>
        <v>0</v>
      </c>
      <c r="AN29" s="18">
        <f t="shared" si="47"/>
        <v>30</v>
      </c>
      <c r="AO29" s="16">
        <f t="shared" si="48"/>
        <v>64.5</v>
      </c>
      <c r="AP29" s="19">
        <v>0</v>
      </c>
      <c r="AQ29" s="19">
        <v>0</v>
      </c>
      <c r="AR29" s="16">
        <f t="shared" si="49"/>
        <v>0</v>
      </c>
      <c r="AS29" s="16">
        <f t="shared" si="50"/>
        <v>0</v>
      </c>
      <c r="AT29" s="18">
        <f t="shared" si="51"/>
        <v>30</v>
      </c>
      <c r="AU29" s="16">
        <f t="shared" si="52"/>
        <v>64.5</v>
      </c>
      <c r="AV29" s="19">
        <v>0</v>
      </c>
      <c r="AW29" s="19">
        <v>0</v>
      </c>
      <c r="AX29" s="16">
        <f t="shared" si="53"/>
        <v>0</v>
      </c>
      <c r="AY29" s="16">
        <f t="shared" si="54"/>
        <v>0</v>
      </c>
      <c r="AZ29" s="18">
        <f t="shared" si="69"/>
        <v>30</v>
      </c>
      <c r="BA29" s="16">
        <f t="shared" si="70"/>
        <v>64.5</v>
      </c>
      <c r="BB29" s="19">
        <v>0</v>
      </c>
      <c r="BC29" s="19">
        <v>0</v>
      </c>
      <c r="BD29" s="16">
        <f t="shared" si="89"/>
        <v>0</v>
      </c>
      <c r="BE29" s="16">
        <f t="shared" si="88"/>
        <v>0</v>
      </c>
      <c r="BF29" s="18">
        <f t="shared" si="71"/>
        <v>30</v>
      </c>
      <c r="BG29" s="16">
        <f t="shared" si="72"/>
        <v>64.5</v>
      </c>
      <c r="BH29" s="19">
        <v>0</v>
      </c>
      <c r="BI29" s="19">
        <v>0</v>
      </c>
      <c r="BJ29" s="16">
        <f t="shared" si="73"/>
        <v>0</v>
      </c>
      <c r="BK29" s="16">
        <f t="shared" si="74"/>
        <v>0</v>
      </c>
      <c r="BL29" s="18">
        <f t="shared" si="75"/>
        <v>30</v>
      </c>
      <c r="BM29" s="16">
        <f t="shared" si="76"/>
        <v>64.5</v>
      </c>
      <c r="BN29" s="19">
        <v>0</v>
      </c>
      <c r="BO29" s="19">
        <v>0</v>
      </c>
      <c r="BP29" s="16">
        <f t="shared" si="77"/>
        <v>0</v>
      </c>
      <c r="BQ29" s="16">
        <f t="shared" si="78"/>
        <v>0</v>
      </c>
      <c r="BR29" s="18">
        <f t="shared" si="79"/>
        <v>30</v>
      </c>
      <c r="BS29" s="16">
        <f t="shared" si="80"/>
        <v>64.5</v>
      </c>
      <c r="BT29" s="19">
        <v>0</v>
      </c>
      <c r="BU29" s="19">
        <v>0</v>
      </c>
      <c r="BV29" s="16">
        <f t="shared" si="81"/>
        <v>0</v>
      </c>
      <c r="BW29" s="16">
        <f t="shared" si="82"/>
        <v>0</v>
      </c>
      <c r="BX29" s="18">
        <f t="shared" si="83"/>
        <v>30</v>
      </c>
      <c r="BY29" s="16">
        <f t="shared" si="84"/>
        <v>64.5</v>
      </c>
      <c r="BZ29" s="19">
        <v>0</v>
      </c>
      <c r="CA29" s="19">
        <v>0</v>
      </c>
      <c r="CB29" s="16">
        <f t="shared" si="85"/>
        <v>0</v>
      </c>
      <c r="CC29" s="16">
        <f t="shared" si="86"/>
        <v>0</v>
      </c>
      <c r="CD29" s="20">
        <f t="shared" si="87"/>
        <v>30</v>
      </c>
      <c r="CE29" s="21">
        <f t="shared" si="44"/>
        <v>64.5</v>
      </c>
      <c r="CG29" s="1" t="s">
        <v>455</v>
      </c>
    </row>
    <row r="30" spans="1:85" x14ac:dyDescent="0.25">
      <c r="A30" s="23"/>
      <c r="B30" s="70">
        <v>24</v>
      </c>
      <c r="C30" s="175"/>
      <c r="D30" s="13" t="s">
        <v>63</v>
      </c>
      <c r="E30" s="169"/>
      <c r="F30" s="169"/>
      <c r="G30" s="169"/>
      <c r="H30" s="17">
        <v>16</v>
      </c>
      <c r="I30" s="25">
        <v>2.35</v>
      </c>
      <c r="J30" s="72">
        <v>16</v>
      </c>
      <c r="K30" s="16">
        <f t="shared" si="0"/>
        <v>37.6</v>
      </c>
      <c r="L30" s="19">
        <v>0</v>
      </c>
      <c r="M30" s="19">
        <v>0</v>
      </c>
      <c r="N30" s="16">
        <f t="shared" si="55"/>
        <v>0</v>
      </c>
      <c r="O30" s="16">
        <f t="shared" si="56"/>
        <v>0</v>
      </c>
      <c r="P30" s="18">
        <f t="shared" si="57"/>
        <v>16</v>
      </c>
      <c r="Q30" s="16">
        <f t="shared" si="58"/>
        <v>37.6</v>
      </c>
      <c r="R30" s="19">
        <v>0</v>
      </c>
      <c r="S30" s="18">
        <v>0</v>
      </c>
      <c r="T30" s="16">
        <f t="shared" si="59"/>
        <v>0</v>
      </c>
      <c r="U30" s="16">
        <f t="shared" si="60"/>
        <v>0</v>
      </c>
      <c r="V30" s="18">
        <f t="shared" si="61"/>
        <v>16</v>
      </c>
      <c r="W30" s="16">
        <f t="shared" si="62"/>
        <v>37.6</v>
      </c>
      <c r="X30" s="19">
        <v>0</v>
      </c>
      <c r="Y30" s="19">
        <v>0</v>
      </c>
      <c r="Z30" s="16">
        <f t="shared" si="63"/>
        <v>0</v>
      </c>
      <c r="AA30" s="16">
        <f t="shared" si="64"/>
        <v>0</v>
      </c>
      <c r="AB30" s="18">
        <f t="shared" si="65"/>
        <v>16</v>
      </c>
      <c r="AC30" s="16">
        <f t="shared" si="66"/>
        <v>37.6</v>
      </c>
      <c r="AD30" s="19">
        <v>0</v>
      </c>
      <c r="AE30" s="19">
        <v>0</v>
      </c>
      <c r="AF30" s="16">
        <f t="shared" si="67"/>
        <v>0</v>
      </c>
      <c r="AG30" s="16">
        <f t="shared" si="68"/>
        <v>0</v>
      </c>
      <c r="AH30" s="18">
        <f t="shared" si="15"/>
        <v>16</v>
      </c>
      <c r="AI30" s="16">
        <f t="shared" si="16"/>
        <v>37.6</v>
      </c>
      <c r="AJ30" s="19">
        <v>0</v>
      </c>
      <c r="AK30" s="19">
        <v>0</v>
      </c>
      <c r="AL30" s="16">
        <f t="shared" si="45"/>
        <v>0</v>
      </c>
      <c r="AM30" s="16">
        <f t="shared" si="46"/>
        <v>0</v>
      </c>
      <c r="AN30" s="18">
        <f t="shared" si="47"/>
        <v>16</v>
      </c>
      <c r="AO30" s="16">
        <f t="shared" si="48"/>
        <v>37.6</v>
      </c>
      <c r="AP30" s="19">
        <v>0</v>
      </c>
      <c r="AQ30" s="19">
        <v>0</v>
      </c>
      <c r="AR30" s="16">
        <f t="shared" si="49"/>
        <v>0</v>
      </c>
      <c r="AS30" s="16">
        <f t="shared" si="50"/>
        <v>0</v>
      </c>
      <c r="AT30" s="18">
        <f t="shared" si="51"/>
        <v>16</v>
      </c>
      <c r="AU30" s="16">
        <f t="shared" si="52"/>
        <v>37.6</v>
      </c>
      <c r="AV30" s="19">
        <v>0</v>
      </c>
      <c r="AW30" s="19">
        <v>0</v>
      </c>
      <c r="AX30" s="16">
        <f t="shared" si="53"/>
        <v>0</v>
      </c>
      <c r="AY30" s="16">
        <f t="shared" si="54"/>
        <v>0</v>
      </c>
      <c r="AZ30" s="18">
        <f t="shared" si="69"/>
        <v>16</v>
      </c>
      <c r="BA30" s="16">
        <f t="shared" si="70"/>
        <v>37.6</v>
      </c>
      <c r="BB30" s="19">
        <v>0</v>
      </c>
      <c r="BC30" s="19">
        <v>0</v>
      </c>
      <c r="BD30" s="16">
        <f t="shared" si="89"/>
        <v>0</v>
      </c>
      <c r="BE30" s="16">
        <f t="shared" si="88"/>
        <v>0</v>
      </c>
      <c r="BF30" s="18">
        <f t="shared" si="71"/>
        <v>16</v>
      </c>
      <c r="BG30" s="16">
        <f t="shared" si="72"/>
        <v>37.6</v>
      </c>
      <c r="BH30" s="19">
        <v>0</v>
      </c>
      <c r="BI30" s="19">
        <v>0</v>
      </c>
      <c r="BJ30" s="16">
        <f t="shared" si="73"/>
        <v>0</v>
      </c>
      <c r="BK30" s="16">
        <f t="shared" si="74"/>
        <v>0</v>
      </c>
      <c r="BL30" s="18">
        <f t="shared" si="75"/>
        <v>16</v>
      </c>
      <c r="BM30" s="16">
        <f t="shared" si="76"/>
        <v>37.6</v>
      </c>
      <c r="BN30" s="19">
        <v>0</v>
      </c>
      <c r="BO30" s="19">
        <v>0</v>
      </c>
      <c r="BP30" s="16">
        <f t="shared" si="77"/>
        <v>0</v>
      </c>
      <c r="BQ30" s="16">
        <f t="shared" si="78"/>
        <v>0</v>
      </c>
      <c r="BR30" s="18">
        <f t="shared" si="79"/>
        <v>16</v>
      </c>
      <c r="BS30" s="16">
        <f t="shared" si="80"/>
        <v>37.6</v>
      </c>
      <c r="BT30" s="19">
        <v>0</v>
      </c>
      <c r="BU30" s="19">
        <v>0</v>
      </c>
      <c r="BV30" s="16">
        <f t="shared" si="81"/>
        <v>0</v>
      </c>
      <c r="BW30" s="16">
        <f t="shared" si="82"/>
        <v>0</v>
      </c>
      <c r="BX30" s="18">
        <f t="shared" si="83"/>
        <v>16</v>
      </c>
      <c r="BY30" s="16">
        <f t="shared" si="84"/>
        <v>37.6</v>
      </c>
      <c r="BZ30" s="19">
        <v>0</v>
      </c>
      <c r="CA30" s="19">
        <v>0</v>
      </c>
      <c r="CB30" s="16">
        <f t="shared" si="85"/>
        <v>0</v>
      </c>
      <c r="CC30" s="16">
        <f t="shared" si="86"/>
        <v>0</v>
      </c>
      <c r="CD30" s="20">
        <f t="shared" si="87"/>
        <v>16</v>
      </c>
      <c r="CE30" s="21">
        <f t="shared" si="44"/>
        <v>37.6</v>
      </c>
      <c r="CG30" s="1" t="s">
        <v>455</v>
      </c>
    </row>
    <row r="31" spans="1:85" x14ac:dyDescent="0.25">
      <c r="A31" s="23">
        <v>15</v>
      </c>
      <c r="B31" s="70">
        <v>25</v>
      </c>
      <c r="C31" s="174" t="s">
        <v>64</v>
      </c>
      <c r="D31" s="13" t="s">
        <v>65</v>
      </c>
      <c r="E31" s="168">
        <v>10</v>
      </c>
      <c r="F31" s="168">
        <v>15</v>
      </c>
      <c r="G31" s="168">
        <v>20</v>
      </c>
      <c r="H31" s="17">
        <v>14</v>
      </c>
      <c r="I31" s="25">
        <v>2.15</v>
      </c>
      <c r="J31" s="72">
        <v>14</v>
      </c>
      <c r="K31" s="16">
        <f t="shared" si="0"/>
        <v>30.099999999999998</v>
      </c>
      <c r="L31" s="19">
        <v>0</v>
      </c>
      <c r="M31" s="19">
        <v>0</v>
      </c>
      <c r="N31" s="16">
        <f t="shared" si="55"/>
        <v>0</v>
      </c>
      <c r="O31" s="16">
        <f t="shared" si="56"/>
        <v>0</v>
      </c>
      <c r="P31" s="18">
        <f t="shared" si="57"/>
        <v>14</v>
      </c>
      <c r="Q31" s="16">
        <f t="shared" si="58"/>
        <v>30.099999999999998</v>
      </c>
      <c r="R31" s="19">
        <v>0</v>
      </c>
      <c r="S31" s="18">
        <v>0</v>
      </c>
      <c r="T31" s="16">
        <f t="shared" si="59"/>
        <v>0</v>
      </c>
      <c r="U31" s="16">
        <f t="shared" si="60"/>
        <v>0</v>
      </c>
      <c r="V31" s="18">
        <f t="shared" si="61"/>
        <v>14</v>
      </c>
      <c r="W31" s="16">
        <f t="shared" si="62"/>
        <v>30.099999999999998</v>
      </c>
      <c r="X31" s="19">
        <v>0</v>
      </c>
      <c r="Y31" s="19">
        <v>0</v>
      </c>
      <c r="Z31" s="16">
        <f t="shared" si="63"/>
        <v>0</v>
      </c>
      <c r="AA31" s="16">
        <f t="shared" si="64"/>
        <v>0</v>
      </c>
      <c r="AB31" s="18">
        <f t="shared" si="65"/>
        <v>14</v>
      </c>
      <c r="AC31" s="16">
        <f t="shared" si="66"/>
        <v>30.099999999999998</v>
      </c>
      <c r="AD31" s="19">
        <v>0</v>
      </c>
      <c r="AE31" s="19">
        <v>0</v>
      </c>
      <c r="AF31" s="16">
        <f t="shared" si="67"/>
        <v>0</v>
      </c>
      <c r="AG31" s="16">
        <f t="shared" si="68"/>
        <v>0</v>
      </c>
      <c r="AH31" s="18">
        <f t="shared" si="15"/>
        <v>14</v>
      </c>
      <c r="AI31" s="16">
        <f t="shared" si="16"/>
        <v>30.099999999999998</v>
      </c>
      <c r="AJ31" s="19">
        <v>0</v>
      </c>
      <c r="AK31" s="19">
        <v>0</v>
      </c>
      <c r="AL31" s="16">
        <f t="shared" si="45"/>
        <v>0</v>
      </c>
      <c r="AM31" s="16">
        <f t="shared" si="46"/>
        <v>0</v>
      </c>
      <c r="AN31" s="18">
        <f t="shared" si="47"/>
        <v>14</v>
      </c>
      <c r="AO31" s="16">
        <f t="shared" si="48"/>
        <v>30.099999999999998</v>
      </c>
      <c r="AP31" s="19">
        <v>0</v>
      </c>
      <c r="AQ31" s="19">
        <v>0</v>
      </c>
      <c r="AR31" s="16">
        <f t="shared" si="49"/>
        <v>0</v>
      </c>
      <c r="AS31" s="16">
        <f t="shared" si="50"/>
        <v>0</v>
      </c>
      <c r="AT31" s="18">
        <f t="shared" si="51"/>
        <v>14</v>
      </c>
      <c r="AU31" s="16">
        <f t="shared" si="52"/>
        <v>30.099999999999998</v>
      </c>
      <c r="AV31" s="19">
        <v>0</v>
      </c>
      <c r="AW31" s="19">
        <v>0</v>
      </c>
      <c r="AX31" s="16">
        <f t="shared" si="53"/>
        <v>0</v>
      </c>
      <c r="AY31" s="16">
        <f t="shared" si="54"/>
        <v>0</v>
      </c>
      <c r="AZ31" s="18">
        <f t="shared" si="69"/>
        <v>14</v>
      </c>
      <c r="BA31" s="16">
        <f t="shared" si="70"/>
        <v>30.099999999999998</v>
      </c>
      <c r="BB31" s="19">
        <v>0</v>
      </c>
      <c r="BC31" s="19">
        <v>0</v>
      </c>
      <c r="BD31" s="16">
        <f t="shared" si="89"/>
        <v>0</v>
      </c>
      <c r="BE31" s="16">
        <f t="shared" si="88"/>
        <v>0</v>
      </c>
      <c r="BF31" s="18">
        <f t="shared" si="71"/>
        <v>14</v>
      </c>
      <c r="BG31" s="16">
        <f t="shared" si="72"/>
        <v>30.099999999999998</v>
      </c>
      <c r="BH31" s="19">
        <v>0</v>
      </c>
      <c r="BI31" s="19">
        <v>0</v>
      </c>
      <c r="BJ31" s="16">
        <f t="shared" si="73"/>
        <v>0</v>
      </c>
      <c r="BK31" s="16">
        <f t="shared" si="74"/>
        <v>0</v>
      </c>
      <c r="BL31" s="18">
        <f t="shared" si="75"/>
        <v>14</v>
      </c>
      <c r="BM31" s="16">
        <f t="shared" si="76"/>
        <v>30.099999999999998</v>
      </c>
      <c r="BN31" s="19">
        <v>0</v>
      </c>
      <c r="BO31" s="19">
        <v>0</v>
      </c>
      <c r="BP31" s="16">
        <f t="shared" si="77"/>
        <v>0</v>
      </c>
      <c r="BQ31" s="16">
        <f t="shared" si="78"/>
        <v>0</v>
      </c>
      <c r="BR31" s="18">
        <f t="shared" si="79"/>
        <v>14</v>
      </c>
      <c r="BS31" s="16">
        <f t="shared" si="80"/>
        <v>30.099999999999998</v>
      </c>
      <c r="BT31" s="19">
        <v>0</v>
      </c>
      <c r="BU31" s="19">
        <v>0</v>
      </c>
      <c r="BV31" s="16">
        <f t="shared" si="81"/>
        <v>0</v>
      </c>
      <c r="BW31" s="16">
        <f t="shared" si="82"/>
        <v>0</v>
      </c>
      <c r="BX31" s="18">
        <f t="shared" si="83"/>
        <v>14</v>
      </c>
      <c r="BY31" s="16">
        <f t="shared" si="84"/>
        <v>30.099999999999998</v>
      </c>
      <c r="BZ31" s="19">
        <v>0</v>
      </c>
      <c r="CA31" s="19">
        <v>0</v>
      </c>
      <c r="CB31" s="16">
        <f t="shared" si="85"/>
        <v>0</v>
      </c>
      <c r="CC31" s="16">
        <f t="shared" si="86"/>
        <v>0</v>
      </c>
      <c r="CD31" s="20">
        <f t="shared" si="87"/>
        <v>14</v>
      </c>
      <c r="CE31" s="21">
        <f t="shared" si="44"/>
        <v>30.099999999999998</v>
      </c>
      <c r="CG31" s="1" t="s">
        <v>455</v>
      </c>
    </row>
    <row r="32" spans="1:85" x14ac:dyDescent="0.25">
      <c r="A32" s="23"/>
      <c r="B32" s="70">
        <v>26</v>
      </c>
      <c r="C32" s="175"/>
      <c r="D32" s="13" t="s">
        <v>66</v>
      </c>
      <c r="E32" s="169"/>
      <c r="F32" s="169"/>
      <c r="G32" s="169"/>
      <c r="H32" s="17">
        <v>26</v>
      </c>
      <c r="I32" s="25">
        <v>2.35</v>
      </c>
      <c r="J32" s="72">
        <v>26</v>
      </c>
      <c r="K32" s="16">
        <f t="shared" si="0"/>
        <v>61.1</v>
      </c>
      <c r="L32" s="19">
        <v>0</v>
      </c>
      <c r="M32" s="19">
        <v>0</v>
      </c>
      <c r="N32" s="16">
        <f t="shared" si="55"/>
        <v>0</v>
      </c>
      <c r="O32" s="16">
        <f t="shared" si="56"/>
        <v>0</v>
      </c>
      <c r="P32" s="18">
        <f t="shared" si="57"/>
        <v>26</v>
      </c>
      <c r="Q32" s="16">
        <f t="shared" si="58"/>
        <v>61.1</v>
      </c>
      <c r="R32" s="19">
        <v>0</v>
      </c>
      <c r="S32" s="18">
        <v>0</v>
      </c>
      <c r="T32" s="16">
        <f t="shared" si="59"/>
        <v>0</v>
      </c>
      <c r="U32" s="16">
        <f t="shared" si="60"/>
        <v>0</v>
      </c>
      <c r="V32" s="18">
        <f t="shared" si="61"/>
        <v>26</v>
      </c>
      <c r="W32" s="16">
        <f t="shared" si="62"/>
        <v>61.1</v>
      </c>
      <c r="X32" s="19">
        <v>0</v>
      </c>
      <c r="Y32" s="19">
        <v>0</v>
      </c>
      <c r="Z32" s="16">
        <f t="shared" si="63"/>
        <v>0</v>
      </c>
      <c r="AA32" s="16">
        <f t="shared" si="64"/>
        <v>0</v>
      </c>
      <c r="AB32" s="18">
        <f t="shared" si="65"/>
        <v>26</v>
      </c>
      <c r="AC32" s="16">
        <f t="shared" si="66"/>
        <v>61.1</v>
      </c>
      <c r="AD32" s="19">
        <v>0</v>
      </c>
      <c r="AE32" s="19">
        <v>0</v>
      </c>
      <c r="AF32" s="16">
        <f t="shared" si="67"/>
        <v>0</v>
      </c>
      <c r="AG32" s="16">
        <f t="shared" si="68"/>
        <v>0</v>
      </c>
      <c r="AH32" s="18">
        <f t="shared" si="15"/>
        <v>26</v>
      </c>
      <c r="AI32" s="16">
        <f t="shared" si="16"/>
        <v>61.1</v>
      </c>
      <c r="AJ32" s="19">
        <v>0</v>
      </c>
      <c r="AK32" s="19">
        <v>0</v>
      </c>
      <c r="AL32" s="16">
        <f t="shared" si="45"/>
        <v>0</v>
      </c>
      <c r="AM32" s="16">
        <f t="shared" si="46"/>
        <v>0</v>
      </c>
      <c r="AN32" s="18">
        <f t="shared" si="47"/>
        <v>26</v>
      </c>
      <c r="AO32" s="16">
        <f t="shared" si="48"/>
        <v>61.1</v>
      </c>
      <c r="AP32" s="19">
        <v>0</v>
      </c>
      <c r="AQ32" s="19">
        <v>0</v>
      </c>
      <c r="AR32" s="16">
        <f t="shared" si="49"/>
        <v>0</v>
      </c>
      <c r="AS32" s="16">
        <f t="shared" si="50"/>
        <v>0</v>
      </c>
      <c r="AT32" s="18">
        <f t="shared" si="51"/>
        <v>26</v>
      </c>
      <c r="AU32" s="16">
        <f t="shared" si="52"/>
        <v>61.1</v>
      </c>
      <c r="AV32" s="19">
        <v>0</v>
      </c>
      <c r="AW32" s="19">
        <v>0</v>
      </c>
      <c r="AX32" s="16">
        <f t="shared" si="53"/>
        <v>0</v>
      </c>
      <c r="AY32" s="16">
        <f t="shared" si="54"/>
        <v>0</v>
      </c>
      <c r="AZ32" s="18">
        <f t="shared" si="69"/>
        <v>26</v>
      </c>
      <c r="BA32" s="16">
        <f t="shared" si="70"/>
        <v>61.1</v>
      </c>
      <c r="BB32" s="19">
        <v>0</v>
      </c>
      <c r="BC32" s="19">
        <v>0</v>
      </c>
      <c r="BD32" s="16">
        <f t="shared" si="89"/>
        <v>0</v>
      </c>
      <c r="BE32" s="16">
        <f t="shared" si="88"/>
        <v>0</v>
      </c>
      <c r="BF32" s="18">
        <f t="shared" si="71"/>
        <v>26</v>
      </c>
      <c r="BG32" s="16">
        <f t="shared" si="72"/>
        <v>61.1</v>
      </c>
      <c r="BH32" s="19">
        <v>0</v>
      </c>
      <c r="BI32" s="19">
        <v>0</v>
      </c>
      <c r="BJ32" s="16">
        <f t="shared" si="73"/>
        <v>0</v>
      </c>
      <c r="BK32" s="16">
        <f t="shared" si="74"/>
        <v>0</v>
      </c>
      <c r="BL32" s="18">
        <f t="shared" si="75"/>
        <v>26</v>
      </c>
      <c r="BM32" s="16">
        <f t="shared" si="76"/>
        <v>61.1</v>
      </c>
      <c r="BN32" s="19">
        <v>0</v>
      </c>
      <c r="BO32" s="19">
        <v>0</v>
      </c>
      <c r="BP32" s="16">
        <f t="shared" si="77"/>
        <v>0</v>
      </c>
      <c r="BQ32" s="16">
        <f t="shared" si="78"/>
        <v>0</v>
      </c>
      <c r="BR32" s="18">
        <f t="shared" si="79"/>
        <v>26</v>
      </c>
      <c r="BS32" s="16">
        <f t="shared" si="80"/>
        <v>61.1</v>
      </c>
      <c r="BT32" s="19">
        <v>0</v>
      </c>
      <c r="BU32" s="19">
        <v>0</v>
      </c>
      <c r="BV32" s="16">
        <f t="shared" si="81"/>
        <v>0</v>
      </c>
      <c r="BW32" s="16">
        <f t="shared" si="82"/>
        <v>0</v>
      </c>
      <c r="BX32" s="18">
        <f t="shared" si="83"/>
        <v>26</v>
      </c>
      <c r="BY32" s="16">
        <f t="shared" si="84"/>
        <v>61.1</v>
      </c>
      <c r="BZ32" s="19">
        <v>0</v>
      </c>
      <c r="CA32" s="19">
        <v>0</v>
      </c>
      <c r="CB32" s="16">
        <f t="shared" si="85"/>
        <v>0</v>
      </c>
      <c r="CC32" s="16">
        <f t="shared" si="86"/>
        <v>0</v>
      </c>
      <c r="CD32" s="20">
        <f t="shared" si="87"/>
        <v>26</v>
      </c>
      <c r="CE32" s="21">
        <f t="shared" si="44"/>
        <v>61.1</v>
      </c>
      <c r="CG32" s="1" t="s">
        <v>455</v>
      </c>
    </row>
    <row r="33" spans="1:85" x14ac:dyDescent="0.25">
      <c r="A33" s="23">
        <v>16</v>
      </c>
      <c r="B33" s="70">
        <v>27</v>
      </c>
      <c r="C33" s="174" t="s">
        <v>67</v>
      </c>
      <c r="D33" s="13" t="s">
        <v>68</v>
      </c>
      <c r="E33" s="168">
        <v>10</v>
      </c>
      <c r="F33" s="168">
        <v>15</v>
      </c>
      <c r="G33" s="168">
        <v>20</v>
      </c>
      <c r="H33" s="17">
        <v>28</v>
      </c>
      <c r="I33" s="25">
        <v>2.15</v>
      </c>
      <c r="J33" s="72">
        <v>28</v>
      </c>
      <c r="K33" s="16">
        <f t="shared" si="0"/>
        <v>60.199999999999996</v>
      </c>
      <c r="L33" s="19">
        <v>0</v>
      </c>
      <c r="M33" s="19">
        <v>0</v>
      </c>
      <c r="N33" s="16">
        <f t="shared" si="55"/>
        <v>0</v>
      </c>
      <c r="O33" s="16">
        <f t="shared" si="56"/>
        <v>0</v>
      </c>
      <c r="P33" s="18">
        <f t="shared" si="57"/>
        <v>28</v>
      </c>
      <c r="Q33" s="16">
        <f t="shared" si="58"/>
        <v>60.199999999999996</v>
      </c>
      <c r="R33" s="19">
        <v>0</v>
      </c>
      <c r="S33" s="18">
        <v>0</v>
      </c>
      <c r="T33" s="16">
        <f t="shared" si="59"/>
        <v>0</v>
      </c>
      <c r="U33" s="16">
        <f t="shared" si="60"/>
        <v>0</v>
      </c>
      <c r="V33" s="18">
        <f t="shared" si="61"/>
        <v>28</v>
      </c>
      <c r="W33" s="16">
        <f t="shared" si="62"/>
        <v>60.199999999999996</v>
      </c>
      <c r="X33" s="19">
        <v>0</v>
      </c>
      <c r="Y33" s="19">
        <v>0</v>
      </c>
      <c r="Z33" s="16">
        <f t="shared" si="63"/>
        <v>0</v>
      </c>
      <c r="AA33" s="16">
        <f t="shared" si="64"/>
        <v>0</v>
      </c>
      <c r="AB33" s="18">
        <f t="shared" si="65"/>
        <v>28</v>
      </c>
      <c r="AC33" s="16">
        <f t="shared" si="66"/>
        <v>60.199999999999996</v>
      </c>
      <c r="AD33" s="19">
        <v>0</v>
      </c>
      <c r="AE33" s="19">
        <v>0</v>
      </c>
      <c r="AF33" s="16">
        <f t="shared" si="67"/>
        <v>0</v>
      </c>
      <c r="AG33" s="16">
        <f t="shared" si="68"/>
        <v>0</v>
      </c>
      <c r="AH33" s="18">
        <f t="shared" si="15"/>
        <v>28</v>
      </c>
      <c r="AI33" s="16">
        <f t="shared" si="16"/>
        <v>60.199999999999996</v>
      </c>
      <c r="AJ33" s="19">
        <v>0</v>
      </c>
      <c r="AK33" s="19">
        <v>0</v>
      </c>
      <c r="AL33" s="16">
        <f t="shared" si="45"/>
        <v>0</v>
      </c>
      <c r="AM33" s="16">
        <f t="shared" si="46"/>
        <v>0</v>
      </c>
      <c r="AN33" s="18">
        <f t="shared" si="47"/>
        <v>28</v>
      </c>
      <c r="AO33" s="16">
        <f t="shared" si="48"/>
        <v>60.199999999999996</v>
      </c>
      <c r="AP33" s="19">
        <v>0</v>
      </c>
      <c r="AQ33" s="19">
        <v>0</v>
      </c>
      <c r="AR33" s="16">
        <f t="shared" si="49"/>
        <v>0</v>
      </c>
      <c r="AS33" s="16">
        <f t="shared" si="50"/>
        <v>0</v>
      </c>
      <c r="AT33" s="18">
        <f t="shared" si="51"/>
        <v>28</v>
      </c>
      <c r="AU33" s="16">
        <f t="shared" si="52"/>
        <v>60.199999999999996</v>
      </c>
      <c r="AV33" s="19">
        <v>0</v>
      </c>
      <c r="AW33" s="19">
        <v>0</v>
      </c>
      <c r="AX33" s="16">
        <f t="shared" si="53"/>
        <v>0</v>
      </c>
      <c r="AY33" s="16">
        <f t="shared" si="54"/>
        <v>0</v>
      </c>
      <c r="AZ33" s="18">
        <f t="shared" si="69"/>
        <v>28</v>
      </c>
      <c r="BA33" s="16">
        <f t="shared" si="70"/>
        <v>60.199999999999996</v>
      </c>
      <c r="BB33" s="19">
        <v>0</v>
      </c>
      <c r="BC33" s="19">
        <v>0</v>
      </c>
      <c r="BD33" s="16">
        <f t="shared" si="89"/>
        <v>0</v>
      </c>
      <c r="BE33" s="16">
        <f t="shared" si="88"/>
        <v>0</v>
      </c>
      <c r="BF33" s="18">
        <f t="shared" si="71"/>
        <v>28</v>
      </c>
      <c r="BG33" s="16">
        <f t="shared" si="72"/>
        <v>60.199999999999996</v>
      </c>
      <c r="BH33" s="19">
        <v>0</v>
      </c>
      <c r="BI33" s="19">
        <v>0</v>
      </c>
      <c r="BJ33" s="16">
        <f t="shared" si="73"/>
        <v>0</v>
      </c>
      <c r="BK33" s="16">
        <f t="shared" si="74"/>
        <v>0</v>
      </c>
      <c r="BL33" s="18">
        <f t="shared" si="75"/>
        <v>28</v>
      </c>
      <c r="BM33" s="16">
        <f t="shared" si="76"/>
        <v>60.199999999999996</v>
      </c>
      <c r="BN33" s="19">
        <v>0</v>
      </c>
      <c r="BO33" s="19">
        <v>0</v>
      </c>
      <c r="BP33" s="16">
        <f t="shared" si="77"/>
        <v>0</v>
      </c>
      <c r="BQ33" s="16">
        <f t="shared" si="78"/>
        <v>0</v>
      </c>
      <c r="BR33" s="18">
        <f t="shared" si="79"/>
        <v>28</v>
      </c>
      <c r="BS33" s="16">
        <f t="shared" si="80"/>
        <v>60.199999999999996</v>
      </c>
      <c r="BT33" s="19">
        <v>0</v>
      </c>
      <c r="BU33" s="19">
        <v>0</v>
      </c>
      <c r="BV33" s="16">
        <f t="shared" si="81"/>
        <v>0</v>
      </c>
      <c r="BW33" s="16">
        <f t="shared" si="82"/>
        <v>0</v>
      </c>
      <c r="BX33" s="18">
        <f t="shared" si="83"/>
        <v>28</v>
      </c>
      <c r="BY33" s="16">
        <f t="shared" si="84"/>
        <v>60.199999999999996</v>
      </c>
      <c r="BZ33" s="19">
        <v>0</v>
      </c>
      <c r="CA33" s="19">
        <v>0</v>
      </c>
      <c r="CB33" s="16">
        <f t="shared" si="85"/>
        <v>0</v>
      </c>
      <c r="CC33" s="16">
        <f t="shared" si="86"/>
        <v>0</v>
      </c>
      <c r="CD33" s="20">
        <f t="shared" si="87"/>
        <v>28</v>
      </c>
      <c r="CE33" s="21">
        <f t="shared" si="44"/>
        <v>60.199999999999996</v>
      </c>
      <c r="CG33" s="1" t="s">
        <v>455</v>
      </c>
    </row>
    <row r="34" spans="1:85" x14ac:dyDescent="0.25">
      <c r="A34" s="23"/>
      <c r="B34" s="70">
        <v>28</v>
      </c>
      <c r="C34" s="175"/>
      <c r="D34" s="13" t="s">
        <v>69</v>
      </c>
      <c r="E34" s="169"/>
      <c r="F34" s="169"/>
      <c r="G34" s="169"/>
      <c r="H34" s="17">
        <v>16</v>
      </c>
      <c r="I34" s="25">
        <v>2.35</v>
      </c>
      <c r="J34" s="72">
        <v>16</v>
      </c>
      <c r="K34" s="16">
        <f t="shared" si="0"/>
        <v>37.6</v>
      </c>
      <c r="L34" s="19">
        <v>0</v>
      </c>
      <c r="M34" s="19">
        <v>0</v>
      </c>
      <c r="N34" s="16">
        <f t="shared" si="55"/>
        <v>0</v>
      </c>
      <c r="O34" s="16">
        <f t="shared" si="56"/>
        <v>0</v>
      </c>
      <c r="P34" s="18">
        <f t="shared" si="57"/>
        <v>16</v>
      </c>
      <c r="Q34" s="16">
        <f t="shared" si="58"/>
        <v>37.6</v>
      </c>
      <c r="R34" s="19">
        <v>0</v>
      </c>
      <c r="S34" s="18">
        <v>0</v>
      </c>
      <c r="T34" s="16">
        <f t="shared" si="59"/>
        <v>0</v>
      </c>
      <c r="U34" s="16">
        <f t="shared" si="60"/>
        <v>0</v>
      </c>
      <c r="V34" s="18">
        <f t="shared" si="61"/>
        <v>16</v>
      </c>
      <c r="W34" s="16">
        <f t="shared" si="62"/>
        <v>37.6</v>
      </c>
      <c r="X34" s="19">
        <v>0</v>
      </c>
      <c r="Y34" s="19">
        <v>0</v>
      </c>
      <c r="Z34" s="16">
        <f t="shared" si="63"/>
        <v>0</v>
      </c>
      <c r="AA34" s="16">
        <f t="shared" si="64"/>
        <v>0</v>
      </c>
      <c r="AB34" s="18">
        <f t="shared" si="65"/>
        <v>16</v>
      </c>
      <c r="AC34" s="16">
        <f t="shared" si="66"/>
        <v>37.6</v>
      </c>
      <c r="AD34" s="19">
        <v>0</v>
      </c>
      <c r="AE34" s="19">
        <v>0</v>
      </c>
      <c r="AF34" s="16">
        <f t="shared" si="67"/>
        <v>0</v>
      </c>
      <c r="AG34" s="16">
        <f t="shared" si="68"/>
        <v>0</v>
      </c>
      <c r="AH34" s="18">
        <f t="shared" si="15"/>
        <v>16</v>
      </c>
      <c r="AI34" s="16">
        <f t="shared" si="16"/>
        <v>37.6</v>
      </c>
      <c r="AJ34" s="19">
        <v>0</v>
      </c>
      <c r="AK34" s="19">
        <v>0</v>
      </c>
      <c r="AL34" s="16">
        <f t="shared" si="45"/>
        <v>0</v>
      </c>
      <c r="AM34" s="16">
        <f t="shared" si="46"/>
        <v>0</v>
      </c>
      <c r="AN34" s="18">
        <f t="shared" si="47"/>
        <v>16</v>
      </c>
      <c r="AO34" s="16">
        <f t="shared" si="48"/>
        <v>37.6</v>
      </c>
      <c r="AP34" s="19">
        <v>0</v>
      </c>
      <c r="AQ34" s="19">
        <v>0</v>
      </c>
      <c r="AR34" s="16">
        <f t="shared" si="49"/>
        <v>0</v>
      </c>
      <c r="AS34" s="16">
        <f t="shared" si="50"/>
        <v>0</v>
      </c>
      <c r="AT34" s="18">
        <f t="shared" si="51"/>
        <v>16</v>
      </c>
      <c r="AU34" s="16">
        <f t="shared" si="52"/>
        <v>37.6</v>
      </c>
      <c r="AV34" s="19">
        <v>0</v>
      </c>
      <c r="AW34" s="19">
        <v>0</v>
      </c>
      <c r="AX34" s="16">
        <f t="shared" si="53"/>
        <v>0</v>
      </c>
      <c r="AY34" s="16">
        <f t="shared" si="54"/>
        <v>0</v>
      </c>
      <c r="AZ34" s="18">
        <f t="shared" si="69"/>
        <v>16</v>
      </c>
      <c r="BA34" s="16">
        <f t="shared" si="70"/>
        <v>37.6</v>
      </c>
      <c r="BB34" s="19">
        <v>0</v>
      </c>
      <c r="BC34" s="19">
        <v>0</v>
      </c>
      <c r="BD34" s="16">
        <f t="shared" si="89"/>
        <v>0</v>
      </c>
      <c r="BE34" s="16">
        <f t="shared" si="88"/>
        <v>0</v>
      </c>
      <c r="BF34" s="18">
        <f t="shared" si="71"/>
        <v>16</v>
      </c>
      <c r="BG34" s="16">
        <f t="shared" si="72"/>
        <v>37.6</v>
      </c>
      <c r="BH34" s="19">
        <v>0</v>
      </c>
      <c r="BI34" s="19">
        <v>0</v>
      </c>
      <c r="BJ34" s="16">
        <f t="shared" si="73"/>
        <v>0</v>
      </c>
      <c r="BK34" s="16">
        <f t="shared" si="74"/>
        <v>0</v>
      </c>
      <c r="BL34" s="18">
        <f t="shared" si="75"/>
        <v>16</v>
      </c>
      <c r="BM34" s="16">
        <f t="shared" si="76"/>
        <v>37.6</v>
      </c>
      <c r="BN34" s="19">
        <v>0</v>
      </c>
      <c r="BO34" s="19">
        <v>0</v>
      </c>
      <c r="BP34" s="16">
        <f t="shared" si="77"/>
        <v>0</v>
      </c>
      <c r="BQ34" s="16">
        <f t="shared" si="78"/>
        <v>0</v>
      </c>
      <c r="BR34" s="18">
        <f t="shared" si="79"/>
        <v>16</v>
      </c>
      <c r="BS34" s="16">
        <f t="shared" si="80"/>
        <v>37.6</v>
      </c>
      <c r="BT34" s="19">
        <v>0</v>
      </c>
      <c r="BU34" s="19">
        <v>0</v>
      </c>
      <c r="BV34" s="16">
        <f t="shared" si="81"/>
        <v>0</v>
      </c>
      <c r="BW34" s="16">
        <f t="shared" si="82"/>
        <v>0</v>
      </c>
      <c r="BX34" s="18">
        <f t="shared" si="83"/>
        <v>16</v>
      </c>
      <c r="BY34" s="16">
        <f t="shared" si="84"/>
        <v>37.6</v>
      </c>
      <c r="BZ34" s="19">
        <v>0</v>
      </c>
      <c r="CA34" s="19">
        <v>0</v>
      </c>
      <c r="CB34" s="16">
        <f t="shared" si="85"/>
        <v>0</v>
      </c>
      <c r="CC34" s="16">
        <f t="shared" si="86"/>
        <v>0</v>
      </c>
      <c r="CD34" s="20">
        <f t="shared" si="87"/>
        <v>16</v>
      </c>
      <c r="CE34" s="21">
        <f t="shared" si="44"/>
        <v>37.6</v>
      </c>
      <c r="CG34" s="1" t="s">
        <v>455</v>
      </c>
    </row>
    <row r="35" spans="1:85" x14ac:dyDescent="0.25">
      <c r="A35" s="23"/>
      <c r="B35" s="70">
        <v>29</v>
      </c>
      <c r="C35" s="86" t="s">
        <v>70</v>
      </c>
      <c r="D35" s="27" t="s">
        <v>375</v>
      </c>
      <c r="E35" s="22"/>
      <c r="F35" s="22"/>
      <c r="G35" s="22"/>
      <c r="H35" s="17">
        <v>8</v>
      </c>
      <c r="I35" s="25">
        <v>3.4</v>
      </c>
      <c r="J35" s="72">
        <v>8</v>
      </c>
      <c r="K35" s="16">
        <f t="shared" si="0"/>
        <v>27.2</v>
      </c>
      <c r="L35" s="19">
        <v>1</v>
      </c>
      <c r="M35" s="19">
        <v>0</v>
      </c>
      <c r="N35" s="16">
        <f t="shared" si="55"/>
        <v>0</v>
      </c>
      <c r="O35" s="16">
        <f t="shared" si="56"/>
        <v>3.4</v>
      </c>
      <c r="P35" s="18">
        <f t="shared" si="57"/>
        <v>7</v>
      </c>
      <c r="Q35" s="16">
        <f t="shared" si="58"/>
        <v>23.8</v>
      </c>
      <c r="R35" s="19">
        <v>0</v>
      </c>
      <c r="S35" s="18">
        <v>0</v>
      </c>
      <c r="T35" s="16">
        <f t="shared" si="59"/>
        <v>0</v>
      </c>
      <c r="U35" s="16">
        <f t="shared" si="60"/>
        <v>0</v>
      </c>
      <c r="V35" s="18">
        <f t="shared" si="61"/>
        <v>7</v>
      </c>
      <c r="W35" s="16">
        <f t="shared" si="62"/>
        <v>23.8</v>
      </c>
      <c r="X35" s="19">
        <v>0</v>
      </c>
      <c r="Y35" s="19">
        <v>0</v>
      </c>
      <c r="Z35" s="16">
        <f t="shared" si="63"/>
        <v>0</v>
      </c>
      <c r="AA35" s="16">
        <f t="shared" si="64"/>
        <v>0</v>
      </c>
      <c r="AB35" s="18">
        <f t="shared" si="65"/>
        <v>7</v>
      </c>
      <c r="AC35" s="16">
        <f t="shared" si="66"/>
        <v>23.8</v>
      </c>
      <c r="AD35" s="19">
        <v>0</v>
      </c>
      <c r="AE35" s="19">
        <v>0</v>
      </c>
      <c r="AF35" s="16">
        <f t="shared" si="67"/>
        <v>0</v>
      </c>
      <c r="AG35" s="16">
        <f t="shared" si="68"/>
        <v>0</v>
      </c>
      <c r="AH35" s="18">
        <f t="shared" si="15"/>
        <v>7</v>
      </c>
      <c r="AI35" s="16">
        <f t="shared" si="16"/>
        <v>23.8</v>
      </c>
      <c r="AJ35" s="19">
        <v>0</v>
      </c>
      <c r="AK35" s="19">
        <v>0</v>
      </c>
      <c r="AL35" s="16">
        <f t="shared" si="45"/>
        <v>0</v>
      </c>
      <c r="AM35" s="16">
        <f t="shared" si="46"/>
        <v>0</v>
      </c>
      <c r="AN35" s="18">
        <f t="shared" si="47"/>
        <v>7</v>
      </c>
      <c r="AO35" s="16">
        <f t="shared" si="48"/>
        <v>23.8</v>
      </c>
      <c r="AP35" s="19">
        <v>0</v>
      </c>
      <c r="AQ35" s="19">
        <v>0</v>
      </c>
      <c r="AR35" s="16">
        <f t="shared" si="49"/>
        <v>0</v>
      </c>
      <c r="AS35" s="16">
        <f t="shared" si="50"/>
        <v>0</v>
      </c>
      <c r="AT35" s="18">
        <f t="shared" si="51"/>
        <v>7</v>
      </c>
      <c r="AU35" s="16">
        <f t="shared" si="52"/>
        <v>23.8</v>
      </c>
      <c r="AV35" s="19">
        <v>0</v>
      </c>
      <c r="AW35" s="19">
        <v>0</v>
      </c>
      <c r="AX35" s="16">
        <f t="shared" si="53"/>
        <v>0</v>
      </c>
      <c r="AY35" s="16">
        <f t="shared" si="54"/>
        <v>0</v>
      </c>
      <c r="AZ35" s="18">
        <f t="shared" si="69"/>
        <v>7</v>
      </c>
      <c r="BA35" s="16">
        <f t="shared" si="70"/>
        <v>23.8</v>
      </c>
      <c r="BB35" s="19">
        <v>0</v>
      </c>
      <c r="BC35" s="19">
        <v>0</v>
      </c>
      <c r="BD35" s="16">
        <f t="shared" si="89"/>
        <v>0</v>
      </c>
      <c r="BE35" s="16">
        <f t="shared" si="88"/>
        <v>0</v>
      </c>
      <c r="BF35" s="18">
        <f t="shared" si="71"/>
        <v>7</v>
      </c>
      <c r="BG35" s="16">
        <f t="shared" si="72"/>
        <v>23.8</v>
      </c>
      <c r="BH35" s="19">
        <v>0</v>
      </c>
      <c r="BI35" s="19">
        <v>0</v>
      </c>
      <c r="BJ35" s="16">
        <f t="shared" si="73"/>
        <v>0</v>
      </c>
      <c r="BK35" s="16">
        <f t="shared" si="74"/>
        <v>0</v>
      </c>
      <c r="BL35" s="18">
        <f t="shared" si="75"/>
        <v>7</v>
      </c>
      <c r="BM35" s="16">
        <f t="shared" si="76"/>
        <v>23.8</v>
      </c>
      <c r="BN35" s="19">
        <v>0</v>
      </c>
      <c r="BO35" s="19">
        <v>0</v>
      </c>
      <c r="BP35" s="16">
        <f t="shared" si="77"/>
        <v>0</v>
      </c>
      <c r="BQ35" s="16">
        <f t="shared" si="78"/>
        <v>0</v>
      </c>
      <c r="BR35" s="18">
        <f t="shared" si="79"/>
        <v>7</v>
      </c>
      <c r="BS35" s="16">
        <f t="shared" si="80"/>
        <v>23.8</v>
      </c>
      <c r="BT35" s="19">
        <v>0</v>
      </c>
      <c r="BU35" s="19">
        <v>0</v>
      </c>
      <c r="BV35" s="16">
        <f t="shared" si="81"/>
        <v>0</v>
      </c>
      <c r="BW35" s="16">
        <f t="shared" si="82"/>
        <v>0</v>
      </c>
      <c r="BX35" s="18">
        <f t="shared" si="83"/>
        <v>7</v>
      </c>
      <c r="BY35" s="16">
        <f t="shared" si="84"/>
        <v>23.8</v>
      </c>
      <c r="BZ35" s="19">
        <v>0</v>
      </c>
      <c r="CA35" s="19">
        <v>0</v>
      </c>
      <c r="CB35" s="16">
        <f t="shared" si="85"/>
        <v>0</v>
      </c>
      <c r="CC35" s="16">
        <f t="shared" si="86"/>
        <v>0</v>
      </c>
      <c r="CD35" s="20">
        <f t="shared" si="87"/>
        <v>7</v>
      </c>
      <c r="CE35" s="21">
        <f t="shared" si="44"/>
        <v>23.8</v>
      </c>
    </row>
    <row r="36" spans="1:85" x14ac:dyDescent="0.25">
      <c r="A36" s="23"/>
      <c r="B36" s="70">
        <v>30</v>
      </c>
      <c r="C36" s="86" t="s">
        <v>72</v>
      </c>
      <c r="D36" s="13" t="s">
        <v>73</v>
      </c>
      <c r="E36" s="22"/>
      <c r="F36" s="22"/>
      <c r="G36" s="22"/>
      <c r="H36" s="17">
        <v>10</v>
      </c>
      <c r="I36" s="25">
        <v>3.4</v>
      </c>
      <c r="J36" s="72">
        <v>10</v>
      </c>
      <c r="K36" s="16">
        <f t="shared" si="0"/>
        <v>34</v>
      </c>
      <c r="L36" s="19">
        <v>3</v>
      </c>
      <c r="M36" s="19">
        <v>0</v>
      </c>
      <c r="N36" s="16">
        <f t="shared" si="55"/>
        <v>0</v>
      </c>
      <c r="O36" s="16">
        <f t="shared" si="56"/>
        <v>10.199999999999999</v>
      </c>
      <c r="P36" s="18">
        <f t="shared" si="57"/>
        <v>7</v>
      </c>
      <c r="Q36" s="16">
        <f t="shared" si="58"/>
        <v>23.8</v>
      </c>
      <c r="R36" s="19">
        <v>0</v>
      </c>
      <c r="S36" s="18">
        <v>0</v>
      </c>
      <c r="T36" s="16">
        <f t="shared" si="59"/>
        <v>0</v>
      </c>
      <c r="U36" s="16">
        <f t="shared" si="60"/>
        <v>0</v>
      </c>
      <c r="V36" s="18">
        <f t="shared" si="61"/>
        <v>7</v>
      </c>
      <c r="W36" s="16">
        <f t="shared" si="62"/>
        <v>23.8</v>
      </c>
      <c r="X36" s="19">
        <v>0</v>
      </c>
      <c r="Y36" s="19">
        <v>0</v>
      </c>
      <c r="Z36" s="16">
        <f t="shared" si="63"/>
        <v>0</v>
      </c>
      <c r="AA36" s="16">
        <f t="shared" si="64"/>
        <v>0</v>
      </c>
      <c r="AB36" s="18">
        <f t="shared" si="65"/>
        <v>7</v>
      </c>
      <c r="AC36" s="16">
        <f t="shared" si="66"/>
        <v>23.8</v>
      </c>
      <c r="AD36" s="19">
        <v>0</v>
      </c>
      <c r="AE36" s="19">
        <v>0</v>
      </c>
      <c r="AF36" s="16">
        <f t="shared" si="67"/>
        <v>0</v>
      </c>
      <c r="AG36" s="16">
        <f t="shared" si="68"/>
        <v>0</v>
      </c>
      <c r="AH36" s="18">
        <f t="shared" si="15"/>
        <v>7</v>
      </c>
      <c r="AI36" s="16">
        <f t="shared" si="16"/>
        <v>23.8</v>
      </c>
      <c r="AJ36" s="19">
        <v>0</v>
      </c>
      <c r="AK36" s="19">
        <v>0</v>
      </c>
      <c r="AL36" s="16">
        <f t="shared" si="45"/>
        <v>0</v>
      </c>
      <c r="AM36" s="16">
        <f t="shared" si="46"/>
        <v>0</v>
      </c>
      <c r="AN36" s="18">
        <f t="shared" si="47"/>
        <v>7</v>
      </c>
      <c r="AO36" s="16">
        <f t="shared" si="48"/>
        <v>23.8</v>
      </c>
      <c r="AP36" s="19">
        <v>0</v>
      </c>
      <c r="AQ36" s="19">
        <v>0</v>
      </c>
      <c r="AR36" s="16">
        <f t="shared" si="49"/>
        <v>0</v>
      </c>
      <c r="AS36" s="16">
        <f t="shared" si="50"/>
        <v>0</v>
      </c>
      <c r="AT36" s="18">
        <f t="shared" si="51"/>
        <v>7</v>
      </c>
      <c r="AU36" s="16">
        <f t="shared" si="52"/>
        <v>23.8</v>
      </c>
      <c r="AV36" s="19">
        <v>1</v>
      </c>
      <c r="AW36" s="19">
        <v>0</v>
      </c>
      <c r="AX36" s="16">
        <f t="shared" si="53"/>
        <v>0</v>
      </c>
      <c r="AY36" s="16">
        <f t="shared" si="54"/>
        <v>3.4</v>
      </c>
      <c r="AZ36" s="18">
        <f t="shared" si="69"/>
        <v>6</v>
      </c>
      <c r="BA36" s="16">
        <f t="shared" si="70"/>
        <v>20.399999999999999</v>
      </c>
      <c r="BB36" s="19">
        <v>0</v>
      </c>
      <c r="BC36" s="19">
        <v>0</v>
      </c>
      <c r="BD36" s="16">
        <f t="shared" si="89"/>
        <v>0</v>
      </c>
      <c r="BE36" s="16">
        <f t="shared" si="88"/>
        <v>0</v>
      </c>
      <c r="BF36" s="18">
        <f t="shared" si="71"/>
        <v>6</v>
      </c>
      <c r="BG36" s="16">
        <f t="shared" si="72"/>
        <v>20.399999999999999</v>
      </c>
      <c r="BH36" s="19">
        <v>0</v>
      </c>
      <c r="BI36" s="19">
        <v>0</v>
      </c>
      <c r="BJ36" s="16">
        <f t="shared" si="73"/>
        <v>0</v>
      </c>
      <c r="BK36" s="16">
        <f t="shared" si="74"/>
        <v>0</v>
      </c>
      <c r="BL36" s="18">
        <f t="shared" si="75"/>
        <v>6</v>
      </c>
      <c r="BM36" s="16">
        <f t="shared" si="76"/>
        <v>20.399999999999999</v>
      </c>
      <c r="BN36" s="19">
        <v>0</v>
      </c>
      <c r="BO36" s="19">
        <v>0</v>
      </c>
      <c r="BP36" s="16">
        <f t="shared" si="77"/>
        <v>0</v>
      </c>
      <c r="BQ36" s="16">
        <f t="shared" si="78"/>
        <v>0</v>
      </c>
      <c r="BR36" s="18">
        <f t="shared" si="79"/>
        <v>6</v>
      </c>
      <c r="BS36" s="16">
        <f t="shared" si="80"/>
        <v>20.399999999999999</v>
      </c>
      <c r="BT36" s="19">
        <v>0</v>
      </c>
      <c r="BU36" s="19">
        <v>0</v>
      </c>
      <c r="BV36" s="16">
        <f t="shared" si="81"/>
        <v>0</v>
      </c>
      <c r="BW36" s="16">
        <f t="shared" si="82"/>
        <v>0</v>
      </c>
      <c r="BX36" s="18">
        <f t="shared" si="83"/>
        <v>6</v>
      </c>
      <c r="BY36" s="16">
        <f t="shared" si="84"/>
        <v>20.399999999999999</v>
      </c>
      <c r="BZ36" s="19">
        <v>0</v>
      </c>
      <c r="CA36" s="19">
        <v>0</v>
      </c>
      <c r="CB36" s="16">
        <f t="shared" si="85"/>
        <v>0</v>
      </c>
      <c r="CC36" s="16">
        <f t="shared" si="86"/>
        <v>0</v>
      </c>
      <c r="CD36" s="20">
        <f t="shared" si="87"/>
        <v>6</v>
      </c>
      <c r="CE36" s="21">
        <f t="shared" si="44"/>
        <v>20.399999999999999</v>
      </c>
    </row>
    <row r="37" spans="1:85" x14ac:dyDescent="0.25">
      <c r="A37" s="23"/>
      <c r="B37" s="70">
        <v>31</v>
      </c>
      <c r="C37" s="86" t="s">
        <v>75</v>
      </c>
      <c r="D37" s="13" t="s">
        <v>385</v>
      </c>
      <c r="E37" s="22"/>
      <c r="F37" s="22"/>
      <c r="G37" s="22"/>
      <c r="H37" s="17">
        <v>15</v>
      </c>
      <c r="I37" s="25">
        <v>3.4</v>
      </c>
      <c r="J37" s="72">
        <v>15</v>
      </c>
      <c r="K37" s="16">
        <f t="shared" si="0"/>
        <v>51</v>
      </c>
      <c r="L37" s="19">
        <v>1</v>
      </c>
      <c r="M37" s="19">
        <v>0</v>
      </c>
      <c r="N37" s="16">
        <f t="shared" si="55"/>
        <v>0</v>
      </c>
      <c r="O37" s="16">
        <f t="shared" si="56"/>
        <v>3.4</v>
      </c>
      <c r="P37" s="18">
        <f t="shared" si="57"/>
        <v>14</v>
      </c>
      <c r="Q37" s="16">
        <f t="shared" si="58"/>
        <v>47.6</v>
      </c>
      <c r="R37" s="19">
        <v>0</v>
      </c>
      <c r="S37" s="18">
        <v>0</v>
      </c>
      <c r="T37" s="16">
        <f t="shared" si="59"/>
        <v>0</v>
      </c>
      <c r="U37" s="16">
        <f t="shared" si="60"/>
        <v>0</v>
      </c>
      <c r="V37" s="18">
        <f t="shared" si="61"/>
        <v>14</v>
      </c>
      <c r="W37" s="16">
        <f t="shared" si="62"/>
        <v>47.6</v>
      </c>
      <c r="X37" s="19">
        <v>0</v>
      </c>
      <c r="Y37" s="19">
        <v>0</v>
      </c>
      <c r="Z37" s="16">
        <f t="shared" si="63"/>
        <v>0</v>
      </c>
      <c r="AA37" s="16">
        <f t="shared" si="64"/>
        <v>0</v>
      </c>
      <c r="AB37" s="18">
        <f t="shared" si="65"/>
        <v>14</v>
      </c>
      <c r="AC37" s="16">
        <f t="shared" si="66"/>
        <v>47.6</v>
      </c>
      <c r="AD37" s="19">
        <v>0</v>
      </c>
      <c r="AE37" s="19">
        <v>0</v>
      </c>
      <c r="AF37" s="16">
        <f t="shared" si="67"/>
        <v>0</v>
      </c>
      <c r="AG37" s="16">
        <f t="shared" si="68"/>
        <v>0</v>
      </c>
      <c r="AH37" s="18">
        <f t="shared" si="15"/>
        <v>14</v>
      </c>
      <c r="AI37" s="16">
        <f t="shared" si="16"/>
        <v>47.6</v>
      </c>
      <c r="AJ37" s="19">
        <v>0</v>
      </c>
      <c r="AK37" s="19">
        <v>0</v>
      </c>
      <c r="AL37" s="16">
        <f t="shared" si="45"/>
        <v>0</v>
      </c>
      <c r="AM37" s="16">
        <f t="shared" si="46"/>
        <v>0</v>
      </c>
      <c r="AN37" s="18">
        <f t="shared" si="47"/>
        <v>14</v>
      </c>
      <c r="AO37" s="16">
        <f t="shared" si="48"/>
        <v>47.6</v>
      </c>
      <c r="AP37" s="19">
        <v>0</v>
      </c>
      <c r="AQ37" s="19">
        <v>0</v>
      </c>
      <c r="AR37" s="16">
        <f t="shared" si="49"/>
        <v>0</v>
      </c>
      <c r="AS37" s="16">
        <f t="shared" si="50"/>
        <v>0</v>
      </c>
      <c r="AT37" s="18">
        <f t="shared" si="51"/>
        <v>14</v>
      </c>
      <c r="AU37" s="16">
        <f t="shared" si="52"/>
        <v>47.6</v>
      </c>
      <c r="AV37" s="19">
        <v>0</v>
      </c>
      <c r="AW37" s="19">
        <v>0</v>
      </c>
      <c r="AX37" s="16">
        <f t="shared" si="53"/>
        <v>0</v>
      </c>
      <c r="AY37" s="16">
        <f t="shared" si="54"/>
        <v>0</v>
      </c>
      <c r="AZ37" s="18">
        <f t="shared" si="69"/>
        <v>14</v>
      </c>
      <c r="BA37" s="16">
        <f t="shared" si="70"/>
        <v>47.6</v>
      </c>
      <c r="BB37" s="19">
        <v>0</v>
      </c>
      <c r="BC37" s="19">
        <v>0</v>
      </c>
      <c r="BD37" s="16">
        <f t="shared" si="89"/>
        <v>0</v>
      </c>
      <c r="BE37" s="16">
        <f t="shared" si="88"/>
        <v>0</v>
      </c>
      <c r="BF37" s="18">
        <f t="shared" si="71"/>
        <v>14</v>
      </c>
      <c r="BG37" s="16">
        <f t="shared" si="72"/>
        <v>47.6</v>
      </c>
      <c r="BH37" s="19">
        <v>0</v>
      </c>
      <c r="BI37" s="19">
        <v>0</v>
      </c>
      <c r="BJ37" s="16">
        <f t="shared" si="73"/>
        <v>0</v>
      </c>
      <c r="BK37" s="16">
        <f t="shared" si="74"/>
        <v>0</v>
      </c>
      <c r="BL37" s="18">
        <f t="shared" si="75"/>
        <v>14</v>
      </c>
      <c r="BM37" s="16">
        <f t="shared" si="76"/>
        <v>47.6</v>
      </c>
      <c r="BN37" s="19">
        <v>0</v>
      </c>
      <c r="BO37" s="19">
        <v>0</v>
      </c>
      <c r="BP37" s="16">
        <f t="shared" si="77"/>
        <v>0</v>
      </c>
      <c r="BQ37" s="16">
        <f t="shared" si="78"/>
        <v>0</v>
      </c>
      <c r="BR37" s="18">
        <f t="shared" si="79"/>
        <v>14</v>
      </c>
      <c r="BS37" s="16">
        <f t="shared" si="80"/>
        <v>47.6</v>
      </c>
      <c r="BT37" s="19">
        <v>0</v>
      </c>
      <c r="BU37" s="19">
        <v>0</v>
      </c>
      <c r="BV37" s="16">
        <f t="shared" si="81"/>
        <v>0</v>
      </c>
      <c r="BW37" s="16">
        <f t="shared" si="82"/>
        <v>0</v>
      </c>
      <c r="BX37" s="18">
        <f t="shared" si="83"/>
        <v>14</v>
      </c>
      <c r="BY37" s="16">
        <f t="shared" si="84"/>
        <v>47.6</v>
      </c>
      <c r="BZ37" s="19">
        <v>0</v>
      </c>
      <c r="CA37" s="19">
        <v>0</v>
      </c>
      <c r="CB37" s="16">
        <f t="shared" si="85"/>
        <v>0</v>
      </c>
      <c r="CC37" s="16">
        <f t="shared" si="86"/>
        <v>0</v>
      </c>
      <c r="CD37" s="20">
        <f t="shared" si="87"/>
        <v>14</v>
      </c>
      <c r="CE37" s="21">
        <f t="shared" si="44"/>
        <v>47.6</v>
      </c>
    </row>
    <row r="38" spans="1:85" x14ac:dyDescent="0.3">
      <c r="A38" s="23"/>
      <c r="B38" s="70">
        <v>32</v>
      </c>
      <c r="C38" s="174" t="s">
        <v>77</v>
      </c>
      <c r="D38" s="13" t="s">
        <v>386</v>
      </c>
      <c r="E38" s="190"/>
      <c r="F38" s="190"/>
      <c r="G38" s="190"/>
      <c r="H38" s="17">
        <v>4</v>
      </c>
      <c r="I38" s="25">
        <v>2.2000000000000002</v>
      </c>
      <c r="J38" s="17">
        <v>4</v>
      </c>
      <c r="K38" s="16">
        <f t="shared" si="0"/>
        <v>8.8000000000000007</v>
      </c>
      <c r="L38" s="19">
        <v>2</v>
      </c>
      <c r="M38" s="19">
        <v>0</v>
      </c>
      <c r="N38" s="16">
        <f t="shared" si="55"/>
        <v>0</v>
      </c>
      <c r="O38" s="16">
        <f t="shared" si="56"/>
        <v>4.4000000000000004</v>
      </c>
      <c r="P38" s="18">
        <f t="shared" si="57"/>
        <v>2</v>
      </c>
      <c r="Q38" s="16">
        <f t="shared" si="58"/>
        <v>4.4000000000000004</v>
      </c>
      <c r="R38" s="19">
        <v>0</v>
      </c>
      <c r="S38" s="18">
        <v>0</v>
      </c>
      <c r="T38" s="16">
        <f t="shared" si="59"/>
        <v>0</v>
      </c>
      <c r="U38" s="16">
        <f t="shared" si="60"/>
        <v>0</v>
      </c>
      <c r="V38" s="18">
        <f t="shared" si="61"/>
        <v>2</v>
      </c>
      <c r="W38" s="16">
        <f t="shared" si="62"/>
        <v>4.4000000000000004</v>
      </c>
      <c r="X38" s="19">
        <v>0</v>
      </c>
      <c r="Y38" s="19">
        <v>0</v>
      </c>
      <c r="Z38" s="16">
        <f t="shared" si="63"/>
        <v>0</v>
      </c>
      <c r="AA38" s="16">
        <f t="shared" si="64"/>
        <v>0</v>
      </c>
      <c r="AB38" s="18">
        <f t="shared" si="65"/>
        <v>2</v>
      </c>
      <c r="AC38" s="16">
        <f t="shared" si="66"/>
        <v>4.4000000000000004</v>
      </c>
      <c r="AD38" s="19">
        <v>0</v>
      </c>
      <c r="AE38" s="19">
        <v>0</v>
      </c>
      <c r="AF38" s="16">
        <f t="shared" si="67"/>
        <v>0</v>
      </c>
      <c r="AG38" s="16">
        <f t="shared" si="68"/>
        <v>0</v>
      </c>
      <c r="AH38" s="18">
        <f t="shared" si="15"/>
        <v>2</v>
      </c>
      <c r="AI38" s="16">
        <f t="shared" si="16"/>
        <v>4.4000000000000004</v>
      </c>
      <c r="AJ38" s="19">
        <v>0</v>
      </c>
      <c r="AK38" s="19">
        <v>0</v>
      </c>
      <c r="AL38" s="16">
        <f t="shared" si="45"/>
        <v>0</v>
      </c>
      <c r="AM38" s="16">
        <f t="shared" si="46"/>
        <v>0</v>
      </c>
      <c r="AN38" s="18">
        <f t="shared" si="47"/>
        <v>2</v>
      </c>
      <c r="AO38" s="16">
        <f t="shared" si="48"/>
        <v>4.4000000000000004</v>
      </c>
      <c r="AP38" s="19">
        <v>0</v>
      </c>
      <c r="AQ38" s="19">
        <v>0</v>
      </c>
      <c r="AR38" s="16">
        <f t="shared" si="49"/>
        <v>0</v>
      </c>
      <c r="AS38" s="16">
        <f t="shared" si="50"/>
        <v>0</v>
      </c>
      <c r="AT38" s="18">
        <f t="shared" si="51"/>
        <v>2</v>
      </c>
      <c r="AU38" s="16">
        <f t="shared" si="52"/>
        <v>4.4000000000000004</v>
      </c>
      <c r="AV38" s="19">
        <v>0</v>
      </c>
      <c r="AW38" s="19">
        <v>0</v>
      </c>
      <c r="AX38" s="16">
        <f t="shared" si="53"/>
        <v>0</v>
      </c>
      <c r="AY38" s="16">
        <f t="shared" si="54"/>
        <v>0</v>
      </c>
      <c r="AZ38" s="18">
        <f t="shared" si="69"/>
        <v>2</v>
      </c>
      <c r="BA38" s="16">
        <f t="shared" si="70"/>
        <v>4.4000000000000004</v>
      </c>
      <c r="BB38" s="19">
        <v>0</v>
      </c>
      <c r="BC38" s="19">
        <v>0</v>
      </c>
      <c r="BD38" s="16">
        <f t="shared" si="89"/>
        <v>0</v>
      </c>
      <c r="BE38" s="16">
        <f t="shared" si="88"/>
        <v>0</v>
      </c>
      <c r="BF38" s="18">
        <f t="shared" si="71"/>
        <v>2</v>
      </c>
      <c r="BG38" s="16">
        <f t="shared" si="72"/>
        <v>4.4000000000000004</v>
      </c>
      <c r="BH38" s="19">
        <v>0</v>
      </c>
      <c r="BI38" s="19">
        <v>0</v>
      </c>
      <c r="BJ38" s="16">
        <f t="shared" si="73"/>
        <v>0</v>
      </c>
      <c r="BK38" s="16">
        <f t="shared" si="74"/>
        <v>0</v>
      </c>
      <c r="BL38" s="18">
        <f t="shared" si="75"/>
        <v>2</v>
      </c>
      <c r="BM38" s="16">
        <f t="shared" si="76"/>
        <v>4.4000000000000004</v>
      </c>
      <c r="BN38" s="19">
        <v>0</v>
      </c>
      <c r="BO38" s="19">
        <v>0</v>
      </c>
      <c r="BP38" s="16">
        <f t="shared" si="77"/>
        <v>0</v>
      </c>
      <c r="BQ38" s="16">
        <f t="shared" si="78"/>
        <v>0</v>
      </c>
      <c r="BR38" s="18">
        <f t="shared" si="79"/>
        <v>2</v>
      </c>
      <c r="BS38" s="16">
        <f t="shared" si="80"/>
        <v>4.4000000000000004</v>
      </c>
      <c r="BT38" s="19">
        <v>0</v>
      </c>
      <c r="BU38" s="19">
        <v>0</v>
      </c>
      <c r="BV38" s="16">
        <f t="shared" si="81"/>
        <v>0</v>
      </c>
      <c r="BW38" s="16">
        <f t="shared" si="82"/>
        <v>0</v>
      </c>
      <c r="BX38" s="18">
        <f t="shared" si="83"/>
        <v>2</v>
      </c>
      <c r="BY38" s="16">
        <f t="shared" si="84"/>
        <v>4.4000000000000004</v>
      </c>
      <c r="BZ38" s="19">
        <v>0</v>
      </c>
      <c r="CA38" s="19">
        <v>0</v>
      </c>
      <c r="CB38" s="16">
        <f t="shared" si="85"/>
        <v>0</v>
      </c>
      <c r="CC38" s="16">
        <f t="shared" si="86"/>
        <v>0</v>
      </c>
      <c r="CD38" s="20">
        <f t="shared" si="87"/>
        <v>2</v>
      </c>
      <c r="CE38" s="21">
        <f t="shared" si="44"/>
        <v>4.4000000000000004</v>
      </c>
    </row>
    <row r="39" spans="1:85" x14ac:dyDescent="0.3">
      <c r="A39" s="23"/>
      <c r="B39" s="70">
        <v>33</v>
      </c>
      <c r="C39" s="175"/>
      <c r="D39" s="13" t="s">
        <v>79</v>
      </c>
      <c r="E39" s="190"/>
      <c r="F39" s="190"/>
      <c r="G39" s="190"/>
      <c r="H39" s="17">
        <v>13</v>
      </c>
      <c r="I39" s="25">
        <v>3.4</v>
      </c>
      <c r="J39" s="17">
        <v>13</v>
      </c>
      <c r="K39" s="16">
        <f t="shared" si="0"/>
        <v>44.199999999999996</v>
      </c>
      <c r="L39" s="19">
        <v>0</v>
      </c>
      <c r="M39" s="19">
        <v>0</v>
      </c>
      <c r="N39" s="16">
        <f t="shared" si="55"/>
        <v>0</v>
      </c>
      <c r="O39" s="16">
        <f t="shared" si="56"/>
        <v>0</v>
      </c>
      <c r="P39" s="18">
        <f t="shared" si="57"/>
        <v>13</v>
      </c>
      <c r="Q39" s="16">
        <f t="shared" si="58"/>
        <v>44.199999999999996</v>
      </c>
      <c r="R39" s="19">
        <v>0</v>
      </c>
      <c r="S39" s="18">
        <v>0</v>
      </c>
      <c r="T39" s="16">
        <f t="shared" si="59"/>
        <v>0</v>
      </c>
      <c r="U39" s="16">
        <f t="shared" si="60"/>
        <v>0</v>
      </c>
      <c r="V39" s="18">
        <f t="shared" si="61"/>
        <v>13</v>
      </c>
      <c r="W39" s="16">
        <f t="shared" si="62"/>
        <v>44.199999999999996</v>
      </c>
      <c r="X39" s="19">
        <v>0</v>
      </c>
      <c r="Y39" s="19">
        <v>0</v>
      </c>
      <c r="Z39" s="16">
        <f t="shared" si="63"/>
        <v>0</v>
      </c>
      <c r="AA39" s="16">
        <f t="shared" si="64"/>
        <v>0</v>
      </c>
      <c r="AB39" s="18">
        <f t="shared" si="65"/>
        <v>13</v>
      </c>
      <c r="AC39" s="16">
        <f t="shared" si="66"/>
        <v>44.199999999999996</v>
      </c>
      <c r="AD39" s="19">
        <v>0</v>
      </c>
      <c r="AE39" s="19">
        <v>0</v>
      </c>
      <c r="AF39" s="16">
        <f t="shared" si="67"/>
        <v>0</v>
      </c>
      <c r="AG39" s="16">
        <f t="shared" si="68"/>
        <v>0</v>
      </c>
      <c r="AH39" s="18">
        <f t="shared" si="15"/>
        <v>13</v>
      </c>
      <c r="AI39" s="16">
        <f t="shared" si="16"/>
        <v>44.199999999999996</v>
      </c>
      <c r="AJ39" s="19">
        <v>0</v>
      </c>
      <c r="AK39" s="19">
        <v>0</v>
      </c>
      <c r="AL39" s="16">
        <f t="shared" si="45"/>
        <v>0</v>
      </c>
      <c r="AM39" s="16">
        <f t="shared" si="46"/>
        <v>0</v>
      </c>
      <c r="AN39" s="18">
        <f t="shared" si="47"/>
        <v>13</v>
      </c>
      <c r="AO39" s="16">
        <f t="shared" si="48"/>
        <v>44.199999999999996</v>
      </c>
      <c r="AP39" s="19">
        <v>0</v>
      </c>
      <c r="AQ39" s="19">
        <v>0</v>
      </c>
      <c r="AR39" s="16">
        <f t="shared" si="49"/>
        <v>0</v>
      </c>
      <c r="AS39" s="16">
        <f t="shared" si="50"/>
        <v>0</v>
      </c>
      <c r="AT39" s="18">
        <f t="shared" si="51"/>
        <v>13</v>
      </c>
      <c r="AU39" s="16">
        <f t="shared" si="52"/>
        <v>44.199999999999996</v>
      </c>
      <c r="AV39" s="19">
        <v>0</v>
      </c>
      <c r="AW39" s="19">
        <v>0</v>
      </c>
      <c r="AX39" s="16">
        <f t="shared" si="53"/>
        <v>0</v>
      </c>
      <c r="AY39" s="16">
        <f t="shared" si="54"/>
        <v>0</v>
      </c>
      <c r="AZ39" s="18">
        <f t="shared" si="69"/>
        <v>13</v>
      </c>
      <c r="BA39" s="16">
        <f t="shared" si="70"/>
        <v>44.199999999999996</v>
      </c>
      <c r="BB39" s="19">
        <v>0</v>
      </c>
      <c r="BC39" s="19">
        <v>0</v>
      </c>
      <c r="BD39" s="16">
        <f t="shared" si="89"/>
        <v>0</v>
      </c>
      <c r="BE39" s="16">
        <f t="shared" si="88"/>
        <v>0</v>
      </c>
      <c r="BF39" s="18">
        <f t="shared" si="71"/>
        <v>13</v>
      </c>
      <c r="BG39" s="16">
        <f t="shared" si="72"/>
        <v>44.199999999999996</v>
      </c>
      <c r="BH39" s="19">
        <v>0</v>
      </c>
      <c r="BI39" s="19">
        <v>0</v>
      </c>
      <c r="BJ39" s="16">
        <f t="shared" si="73"/>
        <v>0</v>
      </c>
      <c r="BK39" s="16">
        <f t="shared" si="74"/>
        <v>0</v>
      </c>
      <c r="BL39" s="18">
        <f t="shared" si="75"/>
        <v>13</v>
      </c>
      <c r="BM39" s="16">
        <f t="shared" si="76"/>
        <v>44.199999999999996</v>
      </c>
      <c r="BN39" s="19">
        <v>0</v>
      </c>
      <c r="BO39" s="19">
        <v>0</v>
      </c>
      <c r="BP39" s="16">
        <f t="shared" si="77"/>
        <v>0</v>
      </c>
      <c r="BQ39" s="16">
        <f t="shared" si="78"/>
        <v>0</v>
      </c>
      <c r="BR39" s="18">
        <f t="shared" si="79"/>
        <v>13</v>
      </c>
      <c r="BS39" s="16">
        <f t="shared" si="80"/>
        <v>44.199999999999996</v>
      </c>
      <c r="BT39" s="19">
        <v>0</v>
      </c>
      <c r="BU39" s="19">
        <v>0</v>
      </c>
      <c r="BV39" s="16">
        <f t="shared" si="81"/>
        <v>0</v>
      </c>
      <c r="BW39" s="16">
        <f t="shared" si="82"/>
        <v>0</v>
      </c>
      <c r="BX39" s="18">
        <f t="shared" si="83"/>
        <v>13</v>
      </c>
      <c r="BY39" s="16">
        <f t="shared" si="84"/>
        <v>44.199999999999996</v>
      </c>
      <c r="BZ39" s="19">
        <v>0</v>
      </c>
      <c r="CA39" s="19">
        <v>0</v>
      </c>
      <c r="CB39" s="16">
        <f t="shared" si="85"/>
        <v>0</v>
      </c>
      <c r="CC39" s="16">
        <f t="shared" si="86"/>
        <v>0</v>
      </c>
      <c r="CD39" s="20">
        <f t="shared" si="87"/>
        <v>13</v>
      </c>
      <c r="CE39" s="21">
        <f t="shared" ref="CE39:CE78" si="90">CD39*I39</f>
        <v>44.199999999999996</v>
      </c>
    </row>
    <row r="40" spans="1:85" ht="20.25" customHeight="1" x14ac:dyDescent="0.3">
      <c r="A40" s="23"/>
      <c r="B40" s="70">
        <v>34</v>
      </c>
      <c r="C40" s="174" t="s">
        <v>80</v>
      </c>
      <c r="D40" s="13" t="s">
        <v>371</v>
      </c>
      <c r="E40" s="22"/>
      <c r="F40" s="22"/>
      <c r="G40" s="22"/>
      <c r="H40" s="17">
        <v>10</v>
      </c>
      <c r="I40" s="25">
        <v>0.6</v>
      </c>
      <c r="J40" s="17">
        <v>10</v>
      </c>
      <c r="K40" s="16">
        <f t="shared" si="0"/>
        <v>6</v>
      </c>
      <c r="L40" s="19">
        <v>5</v>
      </c>
      <c r="M40" s="19">
        <v>0</v>
      </c>
      <c r="N40" s="16">
        <f t="shared" si="55"/>
        <v>0</v>
      </c>
      <c r="O40" s="16">
        <f t="shared" si="56"/>
        <v>3</v>
      </c>
      <c r="P40" s="18">
        <f t="shared" si="57"/>
        <v>5</v>
      </c>
      <c r="Q40" s="16">
        <f t="shared" si="58"/>
        <v>3</v>
      </c>
      <c r="R40" s="19">
        <v>0</v>
      </c>
      <c r="S40" s="18">
        <v>0</v>
      </c>
      <c r="T40" s="16">
        <f t="shared" si="59"/>
        <v>0</v>
      </c>
      <c r="U40" s="16">
        <f t="shared" si="60"/>
        <v>0</v>
      </c>
      <c r="V40" s="18">
        <f t="shared" si="61"/>
        <v>5</v>
      </c>
      <c r="W40" s="16">
        <f t="shared" si="62"/>
        <v>3</v>
      </c>
      <c r="X40" s="19">
        <v>0</v>
      </c>
      <c r="Y40" s="19">
        <v>0</v>
      </c>
      <c r="Z40" s="16">
        <f t="shared" si="63"/>
        <v>0</v>
      </c>
      <c r="AA40" s="16">
        <f t="shared" si="64"/>
        <v>0</v>
      </c>
      <c r="AB40" s="18">
        <f t="shared" si="65"/>
        <v>5</v>
      </c>
      <c r="AC40" s="16">
        <f t="shared" si="66"/>
        <v>3</v>
      </c>
      <c r="AD40" s="19">
        <v>1</v>
      </c>
      <c r="AE40" s="19">
        <v>0</v>
      </c>
      <c r="AF40" s="16">
        <f t="shared" si="67"/>
        <v>0</v>
      </c>
      <c r="AG40" s="16">
        <f t="shared" si="68"/>
        <v>0.6</v>
      </c>
      <c r="AH40" s="18">
        <f t="shared" si="15"/>
        <v>4</v>
      </c>
      <c r="AI40" s="16">
        <f t="shared" si="16"/>
        <v>2.4</v>
      </c>
      <c r="AJ40" s="19">
        <v>0</v>
      </c>
      <c r="AK40" s="19">
        <v>0</v>
      </c>
      <c r="AL40" s="16">
        <f t="shared" si="45"/>
        <v>0</v>
      </c>
      <c r="AM40" s="16">
        <f t="shared" si="46"/>
        <v>0</v>
      </c>
      <c r="AN40" s="18">
        <f t="shared" si="47"/>
        <v>4</v>
      </c>
      <c r="AO40" s="16">
        <f t="shared" si="48"/>
        <v>2.4</v>
      </c>
      <c r="AP40" s="19">
        <v>0</v>
      </c>
      <c r="AQ40" s="19">
        <v>0</v>
      </c>
      <c r="AR40" s="16">
        <f t="shared" si="49"/>
        <v>0</v>
      </c>
      <c r="AS40" s="16">
        <f t="shared" si="50"/>
        <v>0</v>
      </c>
      <c r="AT40" s="18">
        <f t="shared" si="51"/>
        <v>4</v>
      </c>
      <c r="AU40" s="16">
        <f t="shared" si="52"/>
        <v>2.4</v>
      </c>
      <c r="AV40" s="19">
        <v>3</v>
      </c>
      <c r="AW40" s="19">
        <v>0</v>
      </c>
      <c r="AX40" s="16">
        <f t="shared" si="53"/>
        <v>0</v>
      </c>
      <c r="AY40" s="16">
        <f t="shared" si="54"/>
        <v>1.7999999999999998</v>
      </c>
      <c r="AZ40" s="18">
        <f t="shared" si="69"/>
        <v>1</v>
      </c>
      <c r="BA40" s="16">
        <f t="shared" si="70"/>
        <v>0.6</v>
      </c>
      <c r="BB40" s="19">
        <v>0</v>
      </c>
      <c r="BC40" s="19">
        <v>0</v>
      </c>
      <c r="BD40" s="16">
        <f t="shared" si="89"/>
        <v>0</v>
      </c>
      <c r="BE40" s="16">
        <f t="shared" si="88"/>
        <v>0</v>
      </c>
      <c r="BF40" s="18">
        <f t="shared" si="71"/>
        <v>1</v>
      </c>
      <c r="BG40" s="16">
        <f t="shared" si="72"/>
        <v>0.6</v>
      </c>
      <c r="BH40" s="19">
        <v>0</v>
      </c>
      <c r="BI40" s="19">
        <v>0</v>
      </c>
      <c r="BJ40" s="16">
        <f t="shared" si="73"/>
        <v>0</v>
      </c>
      <c r="BK40" s="16">
        <f t="shared" si="74"/>
        <v>0</v>
      </c>
      <c r="BL40" s="18">
        <f t="shared" si="75"/>
        <v>1</v>
      </c>
      <c r="BM40" s="16">
        <f t="shared" si="76"/>
        <v>0.6</v>
      </c>
      <c r="BN40" s="19">
        <v>0</v>
      </c>
      <c r="BO40" s="19">
        <v>0</v>
      </c>
      <c r="BP40" s="16">
        <f t="shared" si="77"/>
        <v>0</v>
      </c>
      <c r="BQ40" s="16">
        <f t="shared" si="78"/>
        <v>0</v>
      </c>
      <c r="BR40" s="18">
        <f t="shared" si="79"/>
        <v>1</v>
      </c>
      <c r="BS40" s="16">
        <f t="shared" si="80"/>
        <v>0.6</v>
      </c>
      <c r="BT40" s="19">
        <v>0</v>
      </c>
      <c r="BU40" s="19">
        <v>0</v>
      </c>
      <c r="BV40" s="16">
        <f t="shared" si="81"/>
        <v>0</v>
      </c>
      <c r="BW40" s="16">
        <f t="shared" si="82"/>
        <v>0</v>
      </c>
      <c r="BX40" s="18">
        <f t="shared" si="83"/>
        <v>1</v>
      </c>
      <c r="BY40" s="16">
        <f t="shared" si="84"/>
        <v>0.6</v>
      </c>
      <c r="BZ40" s="19">
        <v>0</v>
      </c>
      <c r="CA40" s="19">
        <v>0</v>
      </c>
      <c r="CB40" s="16">
        <f t="shared" si="85"/>
        <v>0</v>
      </c>
      <c r="CC40" s="16">
        <f t="shared" si="86"/>
        <v>0</v>
      </c>
      <c r="CD40" s="20">
        <f t="shared" ref="CD40:CD79" si="91">BX40-BZ40+CA40</f>
        <v>1</v>
      </c>
      <c r="CE40" s="21">
        <f t="shared" si="90"/>
        <v>0.6</v>
      </c>
    </row>
    <row r="41" spans="1:85" ht="20.25" customHeight="1" x14ac:dyDescent="0.3">
      <c r="A41" s="23"/>
      <c r="B41" s="70"/>
      <c r="C41" s="175"/>
      <c r="D41" s="13" t="s">
        <v>81</v>
      </c>
      <c r="E41" s="22"/>
      <c r="F41" s="22"/>
      <c r="G41" s="22"/>
      <c r="H41" s="17"/>
      <c r="I41" s="25">
        <v>0.85</v>
      </c>
      <c r="J41" s="17"/>
      <c r="K41" s="16"/>
      <c r="L41" s="19"/>
      <c r="M41" s="19"/>
      <c r="N41" s="16"/>
      <c r="O41" s="16"/>
      <c r="P41" s="18"/>
      <c r="Q41" s="16"/>
      <c r="R41" s="19"/>
      <c r="S41" s="18"/>
      <c r="T41" s="16"/>
      <c r="U41" s="16"/>
      <c r="V41" s="18"/>
      <c r="W41" s="16"/>
      <c r="X41" s="19"/>
      <c r="Y41" s="19"/>
      <c r="Z41" s="16"/>
      <c r="AA41" s="16"/>
      <c r="AB41" s="18">
        <v>0</v>
      </c>
      <c r="AC41" s="16">
        <v>0</v>
      </c>
      <c r="AD41" s="19">
        <v>0</v>
      </c>
      <c r="AE41" s="19">
        <v>0</v>
      </c>
      <c r="AF41" s="16">
        <v>0</v>
      </c>
      <c r="AG41" s="16">
        <v>0</v>
      </c>
      <c r="AH41" s="18">
        <f t="shared" si="15"/>
        <v>0</v>
      </c>
      <c r="AI41" s="16">
        <f t="shared" si="16"/>
        <v>0</v>
      </c>
      <c r="AJ41" s="19">
        <v>0</v>
      </c>
      <c r="AK41" s="19">
        <v>24</v>
      </c>
      <c r="AL41" s="16">
        <f t="shared" si="45"/>
        <v>20.399999999999999</v>
      </c>
      <c r="AM41" s="16">
        <f t="shared" si="46"/>
        <v>0</v>
      </c>
      <c r="AN41" s="18">
        <f t="shared" si="47"/>
        <v>24</v>
      </c>
      <c r="AO41" s="16">
        <f t="shared" si="48"/>
        <v>20.399999999999999</v>
      </c>
      <c r="AP41" s="19">
        <v>0</v>
      </c>
      <c r="AQ41" s="19">
        <v>0</v>
      </c>
      <c r="AR41" s="16">
        <f t="shared" si="49"/>
        <v>0</v>
      </c>
      <c r="AS41" s="16">
        <f t="shared" si="50"/>
        <v>0</v>
      </c>
      <c r="AT41" s="18">
        <f t="shared" si="51"/>
        <v>24</v>
      </c>
      <c r="AU41" s="16">
        <f t="shared" si="52"/>
        <v>20.399999999999999</v>
      </c>
      <c r="AV41" s="19">
        <v>0</v>
      </c>
      <c r="AW41" s="19">
        <v>0</v>
      </c>
      <c r="AX41" s="16">
        <f t="shared" si="53"/>
        <v>0</v>
      </c>
      <c r="AY41" s="16">
        <f t="shared" si="54"/>
        <v>0</v>
      </c>
      <c r="AZ41" s="18">
        <f t="shared" si="69"/>
        <v>24</v>
      </c>
      <c r="BA41" s="16">
        <f t="shared" si="70"/>
        <v>20.399999999999999</v>
      </c>
      <c r="BB41" s="19">
        <v>0</v>
      </c>
      <c r="BC41" s="19">
        <v>0</v>
      </c>
      <c r="BD41" s="16">
        <f t="shared" si="89"/>
        <v>0</v>
      </c>
      <c r="BE41" s="16">
        <f t="shared" si="88"/>
        <v>0</v>
      </c>
      <c r="BF41" s="18">
        <f t="shared" si="71"/>
        <v>24</v>
      </c>
      <c r="BG41" s="16"/>
      <c r="BH41" s="19">
        <v>0</v>
      </c>
      <c r="BI41" s="19">
        <v>0</v>
      </c>
      <c r="BJ41" s="16"/>
      <c r="BK41" s="16"/>
      <c r="BL41" s="18"/>
      <c r="BM41" s="16"/>
      <c r="BN41" s="19"/>
      <c r="BO41" s="19"/>
      <c r="BP41" s="16"/>
      <c r="BQ41" s="16"/>
      <c r="BR41" s="18"/>
      <c r="BS41" s="16"/>
      <c r="BT41" s="19"/>
      <c r="BU41" s="19"/>
      <c r="BV41" s="16"/>
      <c r="BW41" s="16"/>
      <c r="BX41" s="18"/>
      <c r="BY41" s="16"/>
      <c r="BZ41" s="19"/>
      <c r="CA41" s="19"/>
      <c r="CB41" s="16"/>
      <c r="CC41" s="16"/>
      <c r="CD41" s="20"/>
      <c r="CE41" s="21"/>
    </row>
    <row r="42" spans="1:85" x14ac:dyDescent="0.3">
      <c r="A42" s="23"/>
      <c r="B42" s="70">
        <v>35</v>
      </c>
      <c r="C42" s="174" t="s">
        <v>82</v>
      </c>
      <c r="D42" s="13" t="s">
        <v>83</v>
      </c>
      <c r="E42" s="22">
        <v>10</v>
      </c>
      <c r="F42" s="22">
        <v>20</v>
      </c>
      <c r="G42" s="28">
        <v>30</v>
      </c>
      <c r="H42" s="17">
        <v>8</v>
      </c>
      <c r="I42" s="25">
        <v>1.25</v>
      </c>
      <c r="J42" s="17">
        <v>8</v>
      </c>
      <c r="K42" s="16">
        <f t="shared" si="0"/>
        <v>10</v>
      </c>
      <c r="L42" s="19">
        <v>0</v>
      </c>
      <c r="M42" s="19">
        <v>0</v>
      </c>
      <c r="N42" s="16">
        <f t="shared" si="55"/>
        <v>0</v>
      </c>
      <c r="O42" s="16">
        <f t="shared" si="56"/>
        <v>0</v>
      </c>
      <c r="P42" s="18">
        <f t="shared" si="57"/>
        <v>8</v>
      </c>
      <c r="Q42" s="16">
        <f t="shared" si="58"/>
        <v>10</v>
      </c>
      <c r="R42" s="19">
        <v>0</v>
      </c>
      <c r="S42" s="18">
        <v>0</v>
      </c>
      <c r="T42" s="16">
        <f t="shared" si="59"/>
        <v>0</v>
      </c>
      <c r="U42" s="16">
        <f t="shared" si="60"/>
        <v>0</v>
      </c>
      <c r="V42" s="18">
        <f t="shared" si="61"/>
        <v>8</v>
      </c>
      <c r="W42" s="16">
        <f t="shared" si="62"/>
        <v>10</v>
      </c>
      <c r="X42" s="19">
        <v>0</v>
      </c>
      <c r="Y42" s="19">
        <v>0</v>
      </c>
      <c r="Z42" s="16">
        <f t="shared" si="63"/>
        <v>0</v>
      </c>
      <c r="AA42" s="16">
        <f t="shared" si="64"/>
        <v>0</v>
      </c>
      <c r="AB42" s="18">
        <f t="shared" si="65"/>
        <v>8</v>
      </c>
      <c r="AC42" s="16">
        <f t="shared" si="66"/>
        <v>10</v>
      </c>
      <c r="AD42" s="19">
        <v>0</v>
      </c>
      <c r="AE42" s="19">
        <v>0</v>
      </c>
      <c r="AF42" s="16">
        <f t="shared" si="67"/>
        <v>0</v>
      </c>
      <c r="AG42" s="16">
        <f t="shared" si="68"/>
        <v>0</v>
      </c>
      <c r="AH42" s="18">
        <f t="shared" si="15"/>
        <v>8</v>
      </c>
      <c r="AI42" s="16">
        <f t="shared" si="16"/>
        <v>10</v>
      </c>
      <c r="AJ42" s="19">
        <v>0</v>
      </c>
      <c r="AK42" s="19">
        <v>0</v>
      </c>
      <c r="AL42" s="16">
        <f t="shared" si="45"/>
        <v>0</v>
      </c>
      <c r="AM42" s="16">
        <f t="shared" si="46"/>
        <v>0</v>
      </c>
      <c r="AN42" s="18">
        <f t="shared" si="47"/>
        <v>8</v>
      </c>
      <c r="AO42" s="16">
        <f t="shared" si="48"/>
        <v>10</v>
      </c>
      <c r="AP42" s="19">
        <v>0</v>
      </c>
      <c r="AQ42" s="19">
        <v>0</v>
      </c>
      <c r="AR42" s="16">
        <f t="shared" si="49"/>
        <v>0</v>
      </c>
      <c r="AS42" s="16">
        <f t="shared" si="50"/>
        <v>0</v>
      </c>
      <c r="AT42" s="18">
        <f t="shared" si="51"/>
        <v>8</v>
      </c>
      <c r="AU42" s="16">
        <f t="shared" si="52"/>
        <v>10</v>
      </c>
      <c r="AV42" s="19">
        <v>3</v>
      </c>
      <c r="AW42" s="19">
        <v>0</v>
      </c>
      <c r="AX42" s="16">
        <f t="shared" si="53"/>
        <v>0</v>
      </c>
      <c r="AY42" s="16">
        <f t="shared" si="54"/>
        <v>3.75</v>
      </c>
      <c r="AZ42" s="18">
        <f t="shared" si="69"/>
        <v>5</v>
      </c>
      <c r="BA42" s="16">
        <f t="shared" si="70"/>
        <v>6.25</v>
      </c>
      <c r="BB42" s="19">
        <v>0</v>
      </c>
      <c r="BC42" s="19">
        <v>0</v>
      </c>
      <c r="BD42" s="16">
        <f t="shared" si="89"/>
        <v>0</v>
      </c>
      <c r="BE42" s="16">
        <f t="shared" si="88"/>
        <v>0</v>
      </c>
      <c r="BF42" s="18">
        <f t="shared" si="71"/>
        <v>5</v>
      </c>
      <c r="BG42" s="16">
        <f t="shared" si="72"/>
        <v>6.25</v>
      </c>
      <c r="BH42" s="19">
        <v>0</v>
      </c>
      <c r="BI42" s="19">
        <v>0</v>
      </c>
      <c r="BJ42" s="16">
        <f t="shared" si="73"/>
        <v>0</v>
      </c>
      <c r="BK42" s="16">
        <f t="shared" si="74"/>
        <v>0</v>
      </c>
      <c r="BL42" s="18">
        <f t="shared" si="75"/>
        <v>5</v>
      </c>
      <c r="BM42" s="16">
        <f t="shared" si="76"/>
        <v>6.25</v>
      </c>
      <c r="BN42" s="19">
        <v>0</v>
      </c>
      <c r="BO42" s="19">
        <v>0</v>
      </c>
      <c r="BP42" s="16">
        <f t="shared" si="77"/>
        <v>0</v>
      </c>
      <c r="BQ42" s="16">
        <f t="shared" si="78"/>
        <v>0</v>
      </c>
      <c r="BR42" s="18">
        <f t="shared" si="79"/>
        <v>5</v>
      </c>
      <c r="BS42" s="16">
        <f t="shared" si="80"/>
        <v>6.25</v>
      </c>
      <c r="BT42" s="19">
        <v>0</v>
      </c>
      <c r="BU42" s="19">
        <v>0</v>
      </c>
      <c r="BV42" s="16">
        <f t="shared" si="81"/>
        <v>0</v>
      </c>
      <c r="BW42" s="16">
        <f t="shared" si="82"/>
        <v>0</v>
      </c>
      <c r="BX42" s="18">
        <f t="shared" si="83"/>
        <v>5</v>
      </c>
      <c r="BY42" s="16">
        <f t="shared" si="84"/>
        <v>6.25</v>
      </c>
      <c r="BZ42" s="19">
        <v>0</v>
      </c>
      <c r="CA42" s="19">
        <v>0</v>
      </c>
      <c r="CB42" s="16">
        <f t="shared" si="85"/>
        <v>0</v>
      </c>
      <c r="CC42" s="16">
        <f t="shared" si="86"/>
        <v>0</v>
      </c>
      <c r="CD42" s="20">
        <f t="shared" si="91"/>
        <v>5</v>
      </c>
      <c r="CE42" s="21">
        <f t="shared" si="90"/>
        <v>6.25</v>
      </c>
    </row>
    <row r="43" spans="1:85" x14ac:dyDescent="0.3">
      <c r="A43" s="23"/>
      <c r="B43" s="70"/>
      <c r="C43" s="175"/>
      <c r="D43" s="13" t="s">
        <v>314</v>
      </c>
      <c r="E43" s="22"/>
      <c r="F43" s="22"/>
      <c r="G43" s="28"/>
      <c r="H43" s="17"/>
      <c r="I43" s="25">
        <v>0.52</v>
      </c>
      <c r="J43" s="17"/>
      <c r="K43" s="16"/>
      <c r="L43" s="19"/>
      <c r="M43" s="19"/>
      <c r="N43" s="16"/>
      <c r="O43" s="16"/>
      <c r="P43" s="18"/>
      <c r="Q43" s="16"/>
      <c r="R43" s="19"/>
      <c r="S43" s="18"/>
      <c r="T43" s="16"/>
      <c r="U43" s="16"/>
      <c r="V43" s="18"/>
      <c r="W43" s="16"/>
      <c r="X43" s="19"/>
      <c r="Y43" s="19"/>
      <c r="Z43" s="16"/>
      <c r="AA43" s="16"/>
      <c r="AB43" s="18">
        <v>0</v>
      </c>
      <c r="AC43" s="16">
        <v>0</v>
      </c>
      <c r="AD43" s="19">
        <v>0</v>
      </c>
      <c r="AE43" s="19">
        <v>0</v>
      </c>
      <c r="AF43" s="16">
        <v>0</v>
      </c>
      <c r="AG43" s="16">
        <v>0</v>
      </c>
      <c r="AH43" s="18">
        <f t="shared" si="15"/>
        <v>0</v>
      </c>
      <c r="AI43" s="16">
        <f t="shared" si="16"/>
        <v>0</v>
      </c>
      <c r="AJ43" s="19">
        <v>0</v>
      </c>
      <c r="AK43" s="19">
        <v>12</v>
      </c>
      <c r="AL43" s="16">
        <f t="shared" si="45"/>
        <v>6.24</v>
      </c>
      <c r="AM43" s="16">
        <f t="shared" si="46"/>
        <v>0</v>
      </c>
      <c r="AN43" s="18">
        <f t="shared" si="47"/>
        <v>12</v>
      </c>
      <c r="AO43" s="16">
        <f t="shared" si="48"/>
        <v>6.24</v>
      </c>
      <c r="AP43" s="19">
        <v>0</v>
      </c>
      <c r="AQ43" s="19">
        <v>0</v>
      </c>
      <c r="AR43" s="16">
        <f t="shared" si="49"/>
        <v>0</v>
      </c>
      <c r="AS43" s="16">
        <f t="shared" si="50"/>
        <v>0</v>
      </c>
      <c r="AT43" s="18">
        <f t="shared" si="51"/>
        <v>12</v>
      </c>
      <c r="AU43" s="16">
        <f t="shared" si="52"/>
        <v>6.24</v>
      </c>
      <c r="AV43" s="19">
        <v>0</v>
      </c>
      <c r="AW43" s="19"/>
      <c r="AX43" s="16">
        <f t="shared" si="53"/>
        <v>0</v>
      </c>
      <c r="AY43" s="16">
        <f t="shared" si="54"/>
        <v>0</v>
      </c>
      <c r="AZ43" s="18">
        <f t="shared" si="69"/>
        <v>12</v>
      </c>
      <c r="BA43" s="16">
        <f t="shared" si="70"/>
        <v>6.24</v>
      </c>
      <c r="BB43" s="19">
        <v>0</v>
      </c>
      <c r="BC43" s="19">
        <v>0</v>
      </c>
      <c r="BD43" s="16"/>
      <c r="BE43" s="16"/>
      <c r="BF43" s="18">
        <f t="shared" si="71"/>
        <v>12</v>
      </c>
      <c r="BG43" s="16"/>
      <c r="BH43" s="19">
        <v>0</v>
      </c>
      <c r="BI43" s="19">
        <v>0</v>
      </c>
      <c r="BJ43" s="16"/>
      <c r="BK43" s="16"/>
      <c r="BL43" s="18"/>
      <c r="BM43" s="16"/>
      <c r="BN43" s="19"/>
      <c r="BO43" s="19"/>
      <c r="BP43" s="16"/>
      <c r="BQ43" s="16"/>
      <c r="BR43" s="18"/>
      <c r="BS43" s="16"/>
      <c r="BT43" s="19"/>
      <c r="BU43" s="19"/>
      <c r="BV43" s="16"/>
      <c r="BW43" s="16"/>
      <c r="BX43" s="18"/>
      <c r="BY43" s="16"/>
      <c r="BZ43" s="19"/>
      <c r="CA43" s="19"/>
      <c r="CB43" s="16"/>
      <c r="CC43" s="16"/>
      <c r="CD43" s="20"/>
      <c r="CE43" s="21"/>
    </row>
    <row r="44" spans="1:85" x14ac:dyDescent="0.3">
      <c r="A44" s="23"/>
      <c r="B44" s="70">
        <v>36</v>
      </c>
      <c r="C44" s="86" t="s">
        <v>84</v>
      </c>
      <c r="D44" s="29" t="s">
        <v>376</v>
      </c>
      <c r="E44" s="22"/>
      <c r="F44" s="22"/>
      <c r="G44" s="28"/>
      <c r="H44" s="17">
        <v>5</v>
      </c>
      <c r="I44" s="25">
        <v>1.85</v>
      </c>
      <c r="J44" s="17">
        <v>5</v>
      </c>
      <c r="K44" s="16">
        <f t="shared" si="0"/>
        <v>9.25</v>
      </c>
      <c r="L44" s="19">
        <v>3</v>
      </c>
      <c r="M44" s="19">
        <v>0</v>
      </c>
      <c r="N44" s="16">
        <f t="shared" si="55"/>
        <v>0</v>
      </c>
      <c r="O44" s="16">
        <f t="shared" si="56"/>
        <v>5.5500000000000007</v>
      </c>
      <c r="P44" s="18">
        <f t="shared" si="57"/>
        <v>2</v>
      </c>
      <c r="Q44" s="16">
        <f t="shared" si="58"/>
        <v>3.7</v>
      </c>
      <c r="R44" s="19">
        <v>1</v>
      </c>
      <c r="S44" s="18">
        <v>0</v>
      </c>
      <c r="T44" s="16">
        <f t="shared" si="59"/>
        <v>0</v>
      </c>
      <c r="U44" s="16">
        <f t="shared" si="60"/>
        <v>1.85</v>
      </c>
      <c r="V44" s="18">
        <f t="shared" si="61"/>
        <v>1</v>
      </c>
      <c r="W44" s="16">
        <f t="shared" si="62"/>
        <v>1.85</v>
      </c>
      <c r="X44" s="19">
        <v>0</v>
      </c>
      <c r="Y44" s="19">
        <v>0</v>
      </c>
      <c r="Z44" s="16">
        <f t="shared" si="63"/>
        <v>0</v>
      </c>
      <c r="AA44" s="16">
        <f t="shared" si="64"/>
        <v>0</v>
      </c>
      <c r="AB44" s="18">
        <f t="shared" si="65"/>
        <v>1</v>
      </c>
      <c r="AC44" s="16">
        <f t="shared" si="66"/>
        <v>1.85</v>
      </c>
      <c r="AD44" s="19">
        <v>0</v>
      </c>
      <c r="AE44" s="19">
        <v>0</v>
      </c>
      <c r="AF44" s="16">
        <f t="shared" si="67"/>
        <v>0</v>
      </c>
      <c r="AG44" s="16">
        <f t="shared" si="68"/>
        <v>0</v>
      </c>
      <c r="AH44" s="18">
        <f t="shared" si="15"/>
        <v>1</v>
      </c>
      <c r="AI44" s="16">
        <f t="shared" si="16"/>
        <v>1.85</v>
      </c>
      <c r="AJ44" s="19">
        <v>0</v>
      </c>
      <c r="AK44" s="19">
        <v>0</v>
      </c>
      <c r="AL44" s="16">
        <f t="shared" si="45"/>
        <v>0</v>
      </c>
      <c r="AM44" s="16">
        <f t="shared" si="46"/>
        <v>0</v>
      </c>
      <c r="AN44" s="18">
        <f t="shared" si="47"/>
        <v>1</v>
      </c>
      <c r="AO44" s="16">
        <f t="shared" si="48"/>
        <v>1.85</v>
      </c>
      <c r="AP44" s="19">
        <v>0</v>
      </c>
      <c r="AQ44" s="19">
        <v>0</v>
      </c>
      <c r="AR44" s="16">
        <f t="shared" si="49"/>
        <v>0</v>
      </c>
      <c r="AS44" s="16">
        <f t="shared" si="50"/>
        <v>0</v>
      </c>
      <c r="AT44" s="18">
        <f t="shared" si="51"/>
        <v>1</v>
      </c>
      <c r="AU44" s="16">
        <f t="shared" si="52"/>
        <v>1.85</v>
      </c>
      <c r="AV44" s="19">
        <v>0</v>
      </c>
      <c r="AW44" s="19">
        <v>0</v>
      </c>
      <c r="AX44" s="16">
        <f t="shared" si="53"/>
        <v>0</v>
      </c>
      <c r="AY44" s="16">
        <f t="shared" si="54"/>
        <v>0</v>
      </c>
      <c r="AZ44" s="18">
        <f t="shared" si="69"/>
        <v>1</v>
      </c>
      <c r="BA44" s="16">
        <f t="shared" si="70"/>
        <v>1.85</v>
      </c>
      <c r="BB44" s="19">
        <v>0</v>
      </c>
      <c r="BC44" s="19">
        <v>0</v>
      </c>
      <c r="BD44" s="16">
        <f t="shared" si="89"/>
        <v>0</v>
      </c>
      <c r="BE44" s="16">
        <f t="shared" si="88"/>
        <v>0</v>
      </c>
      <c r="BF44" s="18">
        <f t="shared" si="71"/>
        <v>1</v>
      </c>
      <c r="BG44" s="16">
        <f t="shared" si="72"/>
        <v>1.85</v>
      </c>
      <c r="BH44" s="19">
        <v>0</v>
      </c>
      <c r="BI44" s="19">
        <v>0</v>
      </c>
      <c r="BJ44" s="16">
        <f t="shared" si="73"/>
        <v>0</v>
      </c>
      <c r="BK44" s="16">
        <f t="shared" si="74"/>
        <v>0</v>
      </c>
      <c r="BL44" s="18">
        <f t="shared" si="75"/>
        <v>1</v>
      </c>
      <c r="BM44" s="16">
        <f t="shared" si="76"/>
        <v>1.85</v>
      </c>
      <c r="BN44" s="19">
        <v>0</v>
      </c>
      <c r="BO44" s="19">
        <v>0</v>
      </c>
      <c r="BP44" s="16">
        <f t="shared" si="77"/>
        <v>0</v>
      </c>
      <c r="BQ44" s="16">
        <f t="shared" si="78"/>
        <v>0</v>
      </c>
      <c r="BR44" s="18">
        <f t="shared" si="79"/>
        <v>1</v>
      </c>
      <c r="BS44" s="16">
        <f t="shared" si="80"/>
        <v>1.85</v>
      </c>
      <c r="BT44" s="19">
        <v>0</v>
      </c>
      <c r="BU44" s="19">
        <v>0</v>
      </c>
      <c r="BV44" s="16">
        <f t="shared" si="81"/>
        <v>0</v>
      </c>
      <c r="BW44" s="16">
        <f t="shared" si="82"/>
        <v>0</v>
      </c>
      <c r="BX44" s="18">
        <f t="shared" si="83"/>
        <v>1</v>
      </c>
      <c r="BY44" s="16">
        <f t="shared" si="84"/>
        <v>1.85</v>
      </c>
      <c r="BZ44" s="19">
        <v>0</v>
      </c>
      <c r="CA44" s="19">
        <v>0</v>
      </c>
      <c r="CB44" s="16">
        <f t="shared" si="85"/>
        <v>0</v>
      </c>
      <c r="CC44" s="16">
        <f t="shared" si="86"/>
        <v>0</v>
      </c>
      <c r="CD44" s="20">
        <f t="shared" si="91"/>
        <v>1</v>
      </c>
      <c r="CE44" s="21">
        <f t="shared" si="90"/>
        <v>1.85</v>
      </c>
    </row>
    <row r="45" spans="1:85" x14ac:dyDescent="0.3">
      <c r="A45" s="23"/>
      <c r="B45" s="70">
        <v>37</v>
      </c>
      <c r="C45" s="79" t="s">
        <v>86</v>
      </c>
      <c r="D45" s="13" t="s">
        <v>87</v>
      </c>
      <c r="E45" s="23">
        <v>10</v>
      </c>
      <c r="F45" s="23">
        <v>15</v>
      </c>
      <c r="G45" s="23">
        <v>20</v>
      </c>
      <c r="H45" s="17">
        <v>17</v>
      </c>
      <c r="I45" s="25">
        <v>0.74</v>
      </c>
      <c r="J45" s="17">
        <v>17</v>
      </c>
      <c r="K45" s="16">
        <f t="shared" si="0"/>
        <v>12.58</v>
      </c>
      <c r="L45" s="19">
        <v>0</v>
      </c>
      <c r="M45" s="19">
        <v>0</v>
      </c>
      <c r="N45" s="16">
        <f t="shared" si="55"/>
        <v>0</v>
      </c>
      <c r="O45" s="16">
        <f t="shared" si="56"/>
        <v>0</v>
      </c>
      <c r="P45" s="18">
        <f t="shared" si="57"/>
        <v>17</v>
      </c>
      <c r="Q45" s="16">
        <f t="shared" si="58"/>
        <v>12.58</v>
      </c>
      <c r="R45" s="19">
        <v>1</v>
      </c>
      <c r="S45" s="18">
        <v>0</v>
      </c>
      <c r="T45" s="16">
        <f t="shared" si="59"/>
        <v>0</v>
      </c>
      <c r="U45" s="16">
        <f t="shared" si="60"/>
        <v>0.74</v>
      </c>
      <c r="V45" s="18">
        <f t="shared" si="61"/>
        <v>16</v>
      </c>
      <c r="W45" s="16">
        <f t="shared" si="62"/>
        <v>11.84</v>
      </c>
      <c r="X45" s="19">
        <v>0</v>
      </c>
      <c r="Y45" s="19">
        <v>0</v>
      </c>
      <c r="Z45" s="16">
        <f t="shared" si="63"/>
        <v>0</v>
      </c>
      <c r="AA45" s="16">
        <f t="shared" si="64"/>
        <v>0</v>
      </c>
      <c r="AB45" s="18">
        <f t="shared" si="65"/>
        <v>16</v>
      </c>
      <c r="AC45" s="16">
        <f t="shared" si="66"/>
        <v>11.84</v>
      </c>
      <c r="AD45" s="19">
        <v>0</v>
      </c>
      <c r="AE45" s="19">
        <v>0</v>
      </c>
      <c r="AF45" s="16">
        <f t="shared" si="67"/>
        <v>0</v>
      </c>
      <c r="AG45" s="16">
        <f t="shared" si="68"/>
        <v>0</v>
      </c>
      <c r="AH45" s="18">
        <f t="shared" si="15"/>
        <v>16</v>
      </c>
      <c r="AI45" s="16">
        <f t="shared" si="16"/>
        <v>11.84</v>
      </c>
      <c r="AJ45" s="19">
        <v>0</v>
      </c>
      <c r="AK45" s="19">
        <v>0</v>
      </c>
      <c r="AL45" s="16">
        <f t="shared" si="45"/>
        <v>0</v>
      </c>
      <c r="AM45" s="16">
        <f t="shared" si="46"/>
        <v>0</v>
      </c>
      <c r="AN45" s="18">
        <f t="shared" si="47"/>
        <v>16</v>
      </c>
      <c r="AO45" s="16">
        <f t="shared" si="48"/>
        <v>11.84</v>
      </c>
      <c r="AP45" s="19">
        <v>0</v>
      </c>
      <c r="AQ45" s="19">
        <v>0</v>
      </c>
      <c r="AR45" s="16">
        <f t="shared" si="49"/>
        <v>0</v>
      </c>
      <c r="AS45" s="16">
        <f t="shared" si="50"/>
        <v>0</v>
      </c>
      <c r="AT45" s="18">
        <f t="shared" si="51"/>
        <v>16</v>
      </c>
      <c r="AU45" s="16">
        <f t="shared" si="52"/>
        <v>11.84</v>
      </c>
      <c r="AV45" s="19">
        <v>0</v>
      </c>
      <c r="AW45" s="19">
        <v>0</v>
      </c>
      <c r="AX45" s="16">
        <f t="shared" si="53"/>
        <v>0</v>
      </c>
      <c r="AY45" s="16">
        <f t="shared" si="54"/>
        <v>0</v>
      </c>
      <c r="AZ45" s="18">
        <f t="shared" si="69"/>
        <v>16</v>
      </c>
      <c r="BA45" s="16">
        <f t="shared" si="70"/>
        <v>11.84</v>
      </c>
      <c r="BB45" s="19">
        <v>0</v>
      </c>
      <c r="BC45" s="19">
        <v>0</v>
      </c>
      <c r="BD45" s="16">
        <f t="shared" si="89"/>
        <v>0</v>
      </c>
      <c r="BE45" s="16">
        <f t="shared" si="88"/>
        <v>0</v>
      </c>
      <c r="BF45" s="18">
        <f t="shared" si="71"/>
        <v>16</v>
      </c>
      <c r="BG45" s="16">
        <f t="shared" si="72"/>
        <v>11.84</v>
      </c>
      <c r="BH45" s="19">
        <v>0</v>
      </c>
      <c r="BI45" s="19">
        <v>0</v>
      </c>
      <c r="BJ45" s="16">
        <f t="shared" si="73"/>
        <v>0</v>
      </c>
      <c r="BK45" s="16">
        <f t="shared" si="74"/>
        <v>0</v>
      </c>
      <c r="BL45" s="18">
        <f t="shared" si="75"/>
        <v>16</v>
      </c>
      <c r="BM45" s="16">
        <f t="shared" si="76"/>
        <v>11.84</v>
      </c>
      <c r="BN45" s="19">
        <v>0</v>
      </c>
      <c r="BO45" s="19">
        <v>0</v>
      </c>
      <c r="BP45" s="16">
        <f t="shared" si="77"/>
        <v>0</v>
      </c>
      <c r="BQ45" s="16">
        <f t="shared" si="78"/>
        <v>0</v>
      </c>
      <c r="BR45" s="18">
        <f t="shared" si="79"/>
        <v>16</v>
      </c>
      <c r="BS45" s="16">
        <f t="shared" si="80"/>
        <v>11.84</v>
      </c>
      <c r="BT45" s="19">
        <v>0</v>
      </c>
      <c r="BU45" s="19">
        <v>0</v>
      </c>
      <c r="BV45" s="16">
        <f t="shared" si="81"/>
        <v>0</v>
      </c>
      <c r="BW45" s="16">
        <f t="shared" si="82"/>
        <v>0</v>
      </c>
      <c r="BX45" s="18">
        <f t="shared" si="83"/>
        <v>16</v>
      </c>
      <c r="BY45" s="16">
        <f t="shared" si="84"/>
        <v>11.84</v>
      </c>
      <c r="BZ45" s="19">
        <v>0</v>
      </c>
      <c r="CA45" s="19">
        <v>0</v>
      </c>
      <c r="CB45" s="16">
        <f t="shared" si="85"/>
        <v>0</v>
      </c>
      <c r="CC45" s="16">
        <f t="shared" si="86"/>
        <v>0</v>
      </c>
      <c r="CD45" s="20">
        <f t="shared" si="91"/>
        <v>16</v>
      </c>
      <c r="CE45" s="21">
        <f t="shared" si="90"/>
        <v>11.84</v>
      </c>
    </row>
    <row r="46" spans="1:85" x14ac:dyDescent="0.3">
      <c r="A46" s="23"/>
      <c r="B46" s="70">
        <v>38</v>
      </c>
      <c r="C46" s="174" t="s">
        <v>88</v>
      </c>
      <c r="D46" s="13" t="s">
        <v>372</v>
      </c>
      <c r="E46" s="80">
        <v>10</v>
      </c>
      <c r="F46" s="80">
        <v>20</v>
      </c>
      <c r="G46" s="81">
        <v>30</v>
      </c>
      <c r="H46" s="17">
        <v>4</v>
      </c>
      <c r="I46" s="25">
        <v>6.9</v>
      </c>
      <c r="J46" s="17">
        <v>4</v>
      </c>
      <c r="K46" s="16">
        <f t="shared" si="0"/>
        <v>27.6</v>
      </c>
      <c r="L46" s="19">
        <v>4</v>
      </c>
      <c r="M46" s="19">
        <v>0</v>
      </c>
      <c r="N46" s="16">
        <f t="shared" si="55"/>
        <v>0</v>
      </c>
      <c r="O46" s="16">
        <f t="shared" si="56"/>
        <v>27.6</v>
      </c>
      <c r="P46" s="18">
        <f t="shared" si="57"/>
        <v>0</v>
      </c>
      <c r="Q46" s="16">
        <f t="shared" si="58"/>
        <v>0</v>
      </c>
      <c r="R46" s="19">
        <v>0</v>
      </c>
      <c r="S46" s="18">
        <v>0</v>
      </c>
      <c r="T46" s="16">
        <f t="shared" si="59"/>
        <v>0</v>
      </c>
      <c r="U46" s="16">
        <f t="shared" si="60"/>
        <v>0</v>
      </c>
      <c r="V46" s="18">
        <f t="shared" si="61"/>
        <v>0</v>
      </c>
      <c r="W46" s="16">
        <f t="shared" si="62"/>
        <v>0</v>
      </c>
      <c r="X46" s="19">
        <v>0</v>
      </c>
      <c r="Y46" s="19">
        <v>0</v>
      </c>
      <c r="Z46" s="16">
        <f t="shared" si="63"/>
        <v>0</v>
      </c>
      <c r="AA46" s="16">
        <f t="shared" si="64"/>
        <v>0</v>
      </c>
      <c r="AB46" s="18">
        <f t="shared" si="65"/>
        <v>0</v>
      </c>
      <c r="AC46" s="16">
        <f t="shared" si="66"/>
        <v>0</v>
      </c>
      <c r="AD46" s="19">
        <v>0</v>
      </c>
      <c r="AE46" s="19">
        <v>0</v>
      </c>
      <c r="AF46" s="16">
        <f t="shared" si="67"/>
        <v>0</v>
      </c>
      <c r="AG46" s="16">
        <f t="shared" si="68"/>
        <v>0</v>
      </c>
      <c r="AH46" s="18">
        <f t="shared" si="15"/>
        <v>0</v>
      </c>
      <c r="AI46" s="16">
        <f t="shared" si="16"/>
        <v>0</v>
      </c>
      <c r="AJ46" s="19">
        <v>0</v>
      </c>
      <c r="AK46" s="19">
        <v>0</v>
      </c>
      <c r="AL46" s="16">
        <f t="shared" si="45"/>
        <v>0</v>
      </c>
      <c r="AM46" s="16">
        <f t="shared" si="46"/>
        <v>0</v>
      </c>
      <c r="AN46" s="18">
        <f t="shared" si="47"/>
        <v>0</v>
      </c>
      <c r="AO46" s="16">
        <f t="shared" si="48"/>
        <v>0</v>
      </c>
      <c r="AP46" s="19">
        <v>0</v>
      </c>
      <c r="AQ46" s="19">
        <v>0</v>
      </c>
      <c r="AR46" s="16">
        <f t="shared" si="49"/>
        <v>0</v>
      </c>
      <c r="AS46" s="16">
        <f t="shared" si="50"/>
        <v>0</v>
      </c>
      <c r="AT46" s="18">
        <f t="shared" si="51"/>
        <v>0</v>
      </c>
      <c r="AU46" s="16">
        <f t="shared" si="52"/>
        <v>0</v>
      </c>
      <c r="AV46" s="19">
        <v>0</v>
      </c>
      <c r="AW46" s="19">
        <v>0</v>
      </c>
      <c r="AX46" s="16">
        <f t="shared" si="53"/>
        <v>0</v>
      </c>
      <c r="AY46" s="16">
        <f t="shared" si="54"/>
        <v>0</v>
      </c>
      <c r="AZ46" s="18">
        <f t="shared" si="69"/>
        <v>0</v>
      </c>
      <c r="BA46" s="16">
        <f t="shared" si="70"/>
        <v>0</v>
      </c>
      <c r="BB46" s="19">
        <v>0</v>
      </c>
      <c r="BC46" s="19">
        <v>0</v>
      </c>
      <c r="BD46" s="16">
        <f t="shared" si="89"/>
        <v>0</v>
      </c>
      <c r="BE46" s="16">
        <f t="shared" si="88"/>
        <v>0</v>
      </c>
      <c r="BF46" s="18">
        <f t="shared" si="71"/>
        <v>0</v>
      </c>
      <c r="BG46" s="16">
        <f t="shared" si="72"/>
        <v>0</v>
      </c>
      <c r="BH46" s="19">
        <v>0</v>
      </c>
      <c r="BI46" s="19">
        <v>0</v>
      </c>
      <c r="BJ46" s="16">
        <f t="shared" si="73"/>
        <v>0</v>
      </c>
      <c r="BK46" s="16">
        <f t="shared" si="74"/>
        <v>0</v>
      </c>
      <c r="BL46" s="18">
        <f t="shared" si="75"/>
        <v>0</v>
      </c>
      <c r="BM46" s="16">
        <f t="shared" si="76"/>
        <v>0</v>
      </c>
      <c r="BN46" s="19">
        <v>0</v>
      </c>
      <c r="BO46" s="19">
        <v>0</v>
      </c>
      <c r="BP46" s="16">
        <f t="shared" si="77"/>
        <v>0</v>
      </c>
      <c r="BQ46" s="16">
        <f t="shared" si="78"/>
        <v>0</v>
      </c>
      <c r="BR46" s="18">
        <f t="shared" si="79"/>
        <v>0</v>
      </c>
      <c r="BS46" s="16">
        <f t="shared" si="80"/>
        <v>0</v>
      </c>
      <c r="BT46" s="19">
        <v>0</v>
      </c>
      <c r="BU46" s="19">
        <v>0</v>
      </c>
      <c r="BV46" s="16">
        <f t="shared" si="81"/>
        <v>0</v>
      </c>
      <c r="BW46" s="16">
        <f t="shared" si="82"/>
        <v>0</v>
      </c>
      <c r="BX46" s="18">
        <f t="shared" si="83"/>
        <v>0</v>
      </c>
      <c r="BY46" s="16">
        <f t="shared" si="84"/>
        <v>0</v>
      </c>
      <c r="BZ46" s="19">
        <v>0</v>
      </c>
      <c r="CA46" s="19">
        <v>0</v>
      </c>
      <c r="CB46" s="16">
        <f t="shared" si="85"/>
        <v>0</v>
      </c>
      <c r="CC46" s="16">
        <f t="shared" si="86"/>
        <v>0</v>
      </c>
      <c r="CD46" s="20">
        <f t="shared" si="91"/>
        <v>0</v>
      </c>
      <c r="CE46" s="21">
        <f t="shared" si="90"/>
        <v>0</v>
      </c>
    </row>
    <row r="47" spans="1:85" x14ac:dyDescent="0.3">
      <c r="A47" s="23"/>
      <c r="B47" s="70">
        <v>39</v>
      </c>
      <c r="C47" s="175"/>
      <c r="D47" s="13" t="s">
        <v>89</v>
      </c>
      <c r="E47" s="80"/>
      <c r="F47" s="80"/>
      <c r="G47" s="81"/>
      <c r="H47" s="17">
        <v>15</v>
      </c>
      <c r="I47" s="25">
        <v>6.35</v>
      </c>
      <c r="J47" s="17">
        <v>15</v>
      </c>
      <c r="K47" s="16">
        <f t="shared" si="0"/>
        <v>95.25</v>
      </c>
      <c r="L47" s="19">
        <v>1</v>
      </c>
      <c r="M47" s="19">
        <v>0</v>
      </c>
      <c r="N47" s="16">
        <f t="shared" si="55"/>
        <v>0</v>
      </c>
      <c r="O47" s="16">
        <f t="shared" si="56"/>
        <v>6.35</v>
      </c>
      <c r="P47" s="18">
        <f t="shared" si="57"/>
        <v>14</v>
      </c>
      <c r="Q47" s="16">
        <f t="shared" si="58"/>
        <v>88.899999999999991</v>
      </c>
      <c r="R47" s="19">
        <v>0</v>
      </c>
      <c r="S47" s="18">
        <v>0</v>
      </c>
      <c r="T47" s="16">
        <f t="shared" si="59"/>
        <v>0</v>
      </c>
      <c r="U47" s="16">
        <f t="shared" si="60"/>
        <v>0</v>
      </c>
      <c r="V47" s="18">
        <f t="shared" si="61"/>
        <v>14</v>
      </c>
      <c r="W47" s="16">
        <f t="shared" si="62"/>
        <v>88.899999999999991</v>
      </c>
      <c r="X47" s="19">
        <v>0</v>
      </c>
      <c r="Y47" s="19">
        <v>0</v>
      </c>
      <c r="Z47" s="16">
        <f t="shared" si="63"/>
        <v>0</v>
      </c>
      <c r="AA47" s="16">
        <f t="shared" si="64"/>
        <v>0</v>
      </c>
      <c r="AB47" s="18">
        <f t="shared" si="65"/>
        <v>14</v>
      </c>
      <c r="AC47" s="16">
        <f t="shared" si="66"/>
        <v>88.899999999999991</v>
      </c>
      <c r="AD47" s="19">
        <v>2</v>
      </c>
      <c r="AE47" s="19">
        <v>0</v>
      </c>
      <c r="AF47" s="16">
        <f t="shared" si="67"/>
        <v>0</v>
      </c>
      <c r="AG47" s="16">
        <f t="shared" si="68"/>
        <v>12.7</v>
      </c>
      <c r="AH47" s="18">
        <f t="shared" si="15"/>
        <v>12</v>
      </c>
      <c r="AI47" s="16">
        <f t="shared" si="16"/>
        <v>76.199999999999989</v>
      </c>
      <c r="AJ47" s="19">
        <v>0</v>
      </c>
      <c r="AK47" s="19">
        <v>0</v>
      </c>
      <c r="AL47" s="16">
        <f t="shared" si="45"/>
        <v>0</v>
      </c>
      <c r="AM47" s="16">
        <f t="shared" si="46"/>
        <v>0</v>
      </c>
      <c r="AN47" s="18">
        <f t="shared" si="47"/>
        <v>12</v>
      </c>
      <c r="AO47" s="16">
        <f t="shared" si="48"/>
        <v>76.199999999999989</v>
      </c>
      <c r="AP47" s="19">
        <v>0</v>
      </c>
      <c r="AQ47" s="19">
        <v>0</v>
      </c>
      <c r="AR47" s="16">
        <f t="shared" si="49"/>
        <v>0</v>
      </c>
      <c r="AS47" s="16">
        <f t="shared" si="50"/>
        <v>0</v>
      </c>
      <c r="AT47" s="18">
        <f t="shared" si="51"/>
        <v>12</v>
      </c>
      <c r="AU47" s="16">
        <f t="shared" si="52"/>
        <v>76.199999999999989</v>
      </c>
      <c r="AV47" s="19">
        <v>3</v>
      </c>
      <c r="AW47" s="19">
        <v>0</v>
      </c>
      <c r="AX47" s="16">
        <f t="shared" si="53"/>
        <v>0</v>
      </c>
      <c r="AY47" s="16">
        <f t="shared" si="54"/>
        <v>19.049999999999997</v>
      </c>
      <c r="AZ47" s="18">
        <f t="shared" si="69"/>
        <v>9</v>
      </c>
      <c r="BA47" s="16">
        <f t="shared" si="70"/>
        <v>57.15</v>
      </c>
      <c r="BB47" s="19">
        <v>0</v>
      </c>
      <c r="BC47" s="19">
        <v>0</v>
      </c>
      <c r="BD47" s="16">
        <f t="shared" si="89"/>
        <v>0</v>
      </c>
      <c r="BE47" s="16">
        <f t="shared" si="88"/>
        <v>0</v>
      </c>
      <c r="BF47" s="18">
        <f t="shared" si="71"/>
        <v>9</v>
      </c>
      <c r="BG47" s="16">
        <f t="shared" si="72"/>
        <v>57.15</v>
      </c>
      <c r="BH47" s="19">
        <v>0</v>
      </c>
      <c r="BI47" s="19">
        <v>0</v>
      </c>
      <c r="BJ47" s="16">
        <f t="shared" si="73"/>
        <v>0</v>
      </c>
      <c r="BK47" s="16">
        <f t="shared" si="74"/>
        <v>0</v>
      </c>
      <c r="BL47" s="18">
        <f t="shared" si="75"/>
        <v>9</v>
      </c>
      <c r="BM47" s="16">
        <f t="shared" si="76"/>
        <v>57.15</v>
      </c>
      <c r="BN47" s="19">
        <v>0</v>
      </c>
      <c r="BO47" s="19">
        <v>0</v>
      </c>
      <c r="BP47" s="16">
        <f t="shared" si="77"/>
        <v>0</v>
      </c>
      <c r="BQ47" s="16">
        <f t="shared" si="78"/>
        <v>0</v>
      </c>
      <c r="BR47" s="18">
        <f t="shared" si="79"/>
        <v>9</v>
      </c>
      <c r="BS47" s="16">
        <f t="shared" si="80"/>
        <v>57.15</v>
      </c>
      <c r="BT47" s="19">
        <v>0</v>
      </c>
      <c r="BU47" s="19">
        <v>0</v>
      </c>
      <c r="BV47" s="16">
        <f t="shared" si="81"/>
        <v>0</v>
      </c>
      <c r="BW47" s="16">
        <f t="shared" si="82"/>
        <v>0</v>
      </c>
      <c r="BX47" s="18">
        <f t="shared" si="83"/>
        <v>9</v>
      </c>
      <c r="BY47" s="16">
        <f t="shared" si="84"/>
        <v>57.15</v>
      </c>
      <c r="BZ47" s="19">
        <v>0</v>
      </c>
      <c r="CA47" s="19">
        <v>0</v>
      </c>
      <c r="CB47" s="16">
        <f t="shared" si="85"/>
        <v>0</v>
      </c>
      <c r="CC47" s="16">
        <f t="shared" si="86"/>
        <v>0</v>
      </c>
      <c r="CD47" s="20">
        <f t="shared" si="91"/>
        <v>9</v>
      </c>
      <c r="CE47" s="21">
        <f t="shared" si="90"/>
        <v>57.15</v>
      </c>
    </row>
    <row r="48" spans="1:85" ht="20.25" customHeight="1" x14ac:dyDescent="0.3">
      <c r="A48" s="23"/>
      <c r="B48" s="70">
        <v>40</v>
      </c>
      <c r="C48" s="170" t="s">
        <v>90</v>
      </c>
      <c r="D48" s="13" t="s">
        <v>373</v>
      </c>
      <c r="E48" s="80"/>
      <c r="F48" s="80"/>
      <c r="G48" s="81"/>
      <c r="H48" s="17">
        <v>2</v>
      </c>
      <c r="I48" s="25">
        <v>5.5</v>
      </c>
      <c r="J48" s="17">
        <v>2</v>
      </c>
      <c r="K48" s="16">
        <f t="shared" si="0"/>
        <v>11</v>
      </c>
      <c r="L48" s="19">
        <v>2</v>
      </c>
      <c r="M48" s="19">
        <v>0</v>
      </c>
      <c r="N48" s="16">
        <f t="shared" si="55"/>
        <v>0</v>
      </c>
      <c r="O48" s="16">
        <f t="shared" si="56"/>
        <v>11</v>
      </c>
      <c r="P48" s="18">
        <f t="shared" si="57"/>
        <v>0</v>
      </c>
      <c r="Q48" s="16">
        <f t="shared" si="58"/>
        <v>0</v>
      </c>
      <c r="R48" s="19">
        <v>0</v>
      </c>
      <c r="S48" s="18">
        <v>0</v>
      </c>
      <c r="T48" s="16">
        <f t="shared" si="59"/>
        <v>0</v>
      </c>
      <c r="U48" s="16">
        <f t="shared" si="60"/>
        <v>0</v>
      </c>
      <c r="V48" s="18">
        <f t="shared" si="61"/>
        <v>0</v>
      </c>
      <c r="W48" s="16">
        <f t="shared" si="62"/>
        <v>0</v>
      </c>
      <c r="X48" s="19">
        <v>0</v>
      </c>
      <c r="Y48" s="19">
        <v>0</v>
      </c>
      <c r="Z48" s="16">
        <f t="shared" si="63"/>
        <v>0</v>
      </c>
      <c r="AA48" s="16">
        <f t="shared" si="64"/>
        <v>0</v>
      </c>
      <c r="AB48" s="18">
        <f t="shared" si="65"/>
        <v>0</v>
      </c>
      <c r="AC48" s="16">
        <f t="shared" si="66"/>
        <v>0</v>
      </c>
      <c r="AD48" s="19">
        <v>0</v>
      </c>
      <c r="AE48" s="19">
        <v>0</v>
      </c>
      <c r="AF48" s="16">
        <f t="shared" si="67"/>
        <v>0</v>
      </c>
      <c r="AG48" s="16">
        <f t="shared" si="68"/>
        <v>0</v>
      </c>
      <c r="AH48" s="18">
        <f t="shared" si="15"/>
        <v>0</v>
      </c>
      <c r="AI48" s="16">
        <f t="shared" si="16"/>
        <v>0</v>
      </c>
      <c r="AJ48" s="19">
        <v>0</v>
      </c>
      <c r="AK48" s="19">
        <v>0</v>
      </c>
      <c r="AL48" s="16">
        <f t="shared" si="45"/>
        <v>0</v>
      </c>
      <c r="AM48" s="16">
        <f t="shared" si="46"/>
        <v>0</v>
      </c>
      <c r="AN48" s="18">
        <f t="shared" si="47"/>
        <v>0</v>
      </c>
      <c r="AO48" s="16">
        <f t="shared" si="48"/>
        <v>0</v>
      </c>
      <c r="AP48" s="19">
        <v>0</v>
      </c>
      <c r="AQ48" s="19">
        <v>0</v>
      </c>
      <c r="AR48" s="16">
        <f t="shared" si="49"/>
        <v>0</v>
      </c>
      <c r="AS48" s="16">
        <f t="shared" si="50"/>
        <v>0</v>
      </c>
      <c r="AT48" s="18">
        <f t="shared" si="51"/>
        <v>0</v>
      </c>
      <c r="AU48" s="16">
        <f t="shared" si="52"/>
        <v>0</v>
      </c>
      <c r="AV48" s="19">
        <v>0</v>
      </c>
      <c r="AW48" s="19">
        <v>0</v>
      </c>
      <c r="AX48" s="16">
        <f t="shared" si="53"/>
        <v>0</v>
      </c>
      <c r="AY48" s="16">
        <f t="shared" si="54"/>
        <v>0</v>
      </c>
      <c r="AZ48" s="18">
        <f t="shared" si="69"/>
        <v>0</v>
      </c>
      <c r="BA48" s="16">
        <f t="shared" si="70"/>
        <v>0</v>
      </c>
      <c r="BB48" s="19">
        <v>0</v>
      </c>
      <c r="BC48" s="19">
        <v>0</v>
      </c>
      <c r="BD48" s="16">
        <f t="shared" si="89"/>
        <v>0</v>
      </c>
      <c r="BE48" s="16">
        <f t="shared" si="88"/>
        <v>0</v>
      </c>
      <c r="BF48" s="18">
        <f t="shared" si="71"/>
        <v>0</v>
      </c>
      <c r="BG48" s="16">
        <f t="shared" si="72"/>
        <v>0</v>
      </c>
      <c r="BH48" s="19">
        <v>0</v>
      </c>
      <c r="BI48" s="19">
        <v>0</v>
      </c>
      <c r="BJ48" s="16">
        <f t="shared" si="73"/>
        <v>0</v>
      </c>
      <c r="BK48" s="16">
        <f t="shared" si="74"/>
        <v>0</v>
      </c>
      <c r="BL48" s="18">
        <f t="shared" si="75"/>
        <v>0</v>
      </c>
      <c r="BM48" s="16">
        <f t="shared" si="76"/>
        <v>0</v>
      </c>
      <c r="BN48" s="19">
        <v>0</v>
      </c>
      <c r="BO48" s="19">
        <v>0</v>
      </c>
      <c r="BP48" s="16">
        <f t="shared" si="77"/>
        <v>0</v>
      </c>
      <c r="BQ48" s="16">
        <f t="shared" si="78"/>
        <v>0</v>
      </c>
      <c r="BR48" s="18">
        <f t="shared" si="79"/>
        <v>0</v>
      </c>
      <c r="BS48" s="16">
        <f t="shared" si="80"/>
        <v>0</v>
      </c>
      <c r="BT48" s="19">
        <v>0</v>
      </c>
      <c r="BU48" s="19">
        <v>0</v>
      </c>
      <c r="BV48" s="16">
        <f t="shared" si="81"/>
        <v>0</v>
      </c>
      <c r="BW48" s="16">
        <f t="shared" si="82"/>
        <v>0</v>
      </c>
      <c r="BX48" s="18">
        <f t="shared" si="83"/>
        <v>0</v>
      </c>
      <c r="BY48" s="16">
        <f t="shared" si="84"/>
        <v>0</v>
      </c>
      <c r="BZ48" s="19">
        <v>0</v>
      </c>
      <c r="CA48" s="19">
        <v>0</v>
      </c>
      <c r="CB48" s="16">
        <f t="shared" si="85"/>
        <v>0</v>
      </c>
      <c r="CC48" s="16">
        <f t="shared" si="86"/>
        <v>0</v>
      </c>
      <c r="CD48" s="20">
        <f t="shared" si="91"/>
        <v>0</v>
      </c>
      <c r="CE48" s="21">
        <f t="shared" si="90"/>
        <v>0</v>
      </c>
    </row>
    <row r="49" spans="1:85" ht="20.25" customHeight="1" x14ac:dyDescent="0.3">
      <c r="A49" s="23"/>
      <c r="B49" s="70">
        <v>41</v>
      </c>
      <c r="C49" s="186"/>
      <c r="D49" s="13" t="s">
        <v>91</v>
      </c>
      <c r="E49" s="80"/>
      <c r="F49" s="80"/>
      <c r="G49" s="81"/>
      <c r="H49" s="17">
        <v>12</v>
      </c>
      <c r="I49" s="25">
        <v>6.5</v>
      </c>
      <c r="J49" s="17">
        <v>12</v>
      </c>
      <c r="K49" s="16">
        <f t="shared" si="0"/>
        <v>78</v>
      </c>
      <c r="L49" s="19">
        <v>1</v>
      </c>
      <c r="M49" s="19">
        <v>0</v>
      </c>
      <c r="N49" s="16">
        <f t="shared" si="55"/>
        <v>0</v>
      </c>
      <c r="O49" s="16">
        <f t="shared" si="56"/>
        <v>6.5</v>
      </c>
      <c r="P49" s="18">
        <f t="shared" si="57"/>
        <v>11</v>
      </c>
      <c r="Q49" s="16">
        <f t="shared" si="58"/>
        <v>71.5</v>
      </c>
      <c r="R49" s="19">
        <v>1</v>
      </c>
      <c r="S49" s="18">
        <v>0</v>
      </c>
      <c r="T49" s="16">
        <f t="shared" si="59"/>
        <v>0</v>
      </c>
      <c r="U49" s="16">
        <f t="shared" si="60"/>
        <v>6.5</v>
      </c>
      <c r="V49" s="18">
        <f t="shared" si="61"/>
        <v>10</v>
      </c>
      <c r="W49" s="16">
        <f t="shared" si="62"/>
        <v>65</v>
      </c>
      <c r="X49" s="19">
        <v>0</v>
      </c>
      <c r="Y49" s="19">
        <v>0</v>
      </c>
      <c r="Z49" s="16">
        <f t="shared" si="63"/>
        <v>0</v>
      </c>
      <c r="AA49" s="16">
        <f t="shared" si="64"/>
        <v>0</v>
      </c>
      <c r="AB49" s="18">
        <f t="shared" si="65"/>
        <v>10</v>
      </c>
      <c r="AC49" s="16">
        <f t="shared" si="66"/>
        <v>65</v>
      </c>
      <c r="AD49" s="19">
        <v>2</v>
      </c>
      <c r="AE49" s="19">
        <v>0</v>
      </c>
      <c r="AF49" s="16">
        <f t="shared" si="67"/>
        <v>0</v>
      </c>
      <c r="AG49" s="16">
        <f t="shared" si="68"/>
        <v>13</v>
      </c>
      <c r="AH49" s="18">
        <f t="shared" si="15"/>
        <v>8</v>
      </c>
      <c r="AI49" s="16">
        <f t="shared" si="16"/>
        <v>52</v>
      </c>
      <c r="AJ49" s="19">
        <v>0</v>
      </c>
      <c r="AK49" s="19">
        <v>0</v>
      </c>
      <c r="AL49" s="16">
        <f t="shared" si="45"/>
        <v>0</v>
      </c>
      <c r="AM49" s="16">
        <f t="shared" si="46"/>
        <v>0</v>
      </c>
      <c r="AN49" s="18">
        <f t="shared" si="47"/>
        <v>8</v>
      </c>
      <c r="AO49" s="16">
        <f t="shared" si="48"/>
        <v>52</v>
      </c>
      <c r="AP49" s="19">
        <v>0</v>
      </c>
      <c r="AQ49" s="19">
        <v>0</v>
      </c>
      <c r="AR49" s="16">
        <f t="shared" si="49"/>
        <v>0</v>
      </c>
      <c r="AS49" s="16">
        <f t="shared" si="50"/>
        <v>0</v>
      </c>
      <c r="AT49" s="18">
        <f t="shared" si="51"/>
        <v>8</v>
      </c>
      <c r="AU49" s="16">
        <f t="shared" si="52"/>
        <v>52</v>
      </c>
      <c r="AV49" s="19">
        <v>3</v>
      </c>
      <c r="AW49" s="19">
        <v>0</v>
      </c>
      <c r="AX49" s="16">
        <f t="shared" si="53"/>
        <v>0</v>
      </c>
      <c r="AY49" s="16">
        <f t="shared" si="54"/>
        <v>19.5</v>
      </c>
      <c r="AZ49" s="18">
        <f t="shared" si="69"/>
        <v>5</v>
      </c>
      <c r="BA49" s="16">
        <f t="shared" si="70"/>
        <v>32.5</v>
      </c>
      <c r="BB49" s="19">
        <v>3</v>
      </c>
      <c r="BC49" s="19">
        <v>0</v>
      </c>
      <c r="BD49" s="16">
        <f t="shared" si="89"/>
        <v>0</v>
      </c>
      <c r="BE49" s="16">
        <f t="shared" si="88"/>
        <v>19.5</v>
      </c>
      <c r="BF49" s="18">
        <f t="shared" si="71"/>
        <v>2</v>
      </c>
      <c r="BG49" s="16">
        <f t="shared" si="72"/>
        <v>13</v>
      </c>
      <c r="BH49" s="19">
        <v>0</v>
      </c>
      <c r="BI49" s="19">
        <v>0</v>
      </c>
      <c r="BJ49" s="16">
        <f t="shared" si="73"/>
        <v>0</v>
      </c>
      <c r="BK49" s="16">
        <f t="shared" si="74"/>
        <v>0</v>
      </c>
      <c r="BL49" s="18">
        <f t="shared" si="75"/>
        <v>2</v>
      </c>
      <c r="BM49" s="16">
        <f t="shared" si="76"/>
        <v>13</v>
      </c>
      <c r="BN49" s="19">
        <v>0</v>
      </c>
      <c r="BO49" s="19">
        <v>0</v>
      </c>
      <c r="BP49" s="16">
        <f t="shared" si="77"/>
        <v>0</v>
      </c>
      <c r="BQ49" s="16">
        <f t="shared" si="78"/>
        <v>0</v>
      </c>
      <c r="BR49" s="18">
        <f t="shared" si="79"/>
        <v>2</v>
      </c>
      <c r="BS49" s="16">
        <f t="shared" si="80"/>
        <v>13</v>
      </c>
      <c r="BT49" s="19">
        <v>0</v>
      </c>
      <c r="BU49" s="19">
        <v>0</v>
      </c>
      <c r="BV49" s="16">
        <f t="shared" si="81"/>
        <v>0</v>
      </c>
      <c r="BW49" s="16">
        <f t="shared" si="82"/>
        <v>0</v>
      </c>
      <c r="BX49" s="18">
        <f t="shared" si="83"/>
        <v>2</v>
      </c>
      <c r="BY49" s="16">
        <f t="shared" si="84"/>
        <v>13</v>
      </c>
      <c r="BZ49" s="19">
        <v>0</v>
      </c>
      <c r="CA49" s="19">
        <v>0</v>
      </c>
      <c r="CB49" s="16">
        <f t="shared" si="85"/>
        <v>0</v>
      </c>
      <c r="CC49" s="16">
        <f t="shared" si="86"/>
        <v>0</v>
      </c>
      <c r="CD49" s="20">
        <f t="shared" si="91"/>
        <v>2</v>
      </c>
      <c r="CE49" s="21">
        <f t="shared" si="90"/>
        <v>13</v>
      </c>
    </row>
    <row r="50" spans="1:85" ht="20.25" customHeight="1" x14ac:dyDescent="0.3">
      <c r="A50" s="23"/>
      <c r="B50" s="70"/>
      <c r="C50" s="171"/>
      <c r="D50" s="13" t="s">
        <v>91</v>
      </c>
      <c r="E50" s="80"/>
      <c r="F50" s="80"/>
      <c r="G50" s="81"/>
      <c r="H50" s="17"/>
      <c r="I50" s="25">
        <v>6.06</v>
      </c>
      <c r="J50" s="17"/>
      <c r="K50" s="16"/>
      <c r="L50" s="19"/>
      <c r="M50" s="19"/>
      <c r="N50" s="16"/>
      <c r="O50" s="16"/>
      <c r="P50" s="18"/>
      <c r="Q50" s="16"/>
      <c r="R50" s="19"/>
      <c r="S50" s="18"/>
      <c r="T50" s="16"/>
      <c r="U50" s="16"/>
      <c r="V50" s="18"/>
      <c r="W50" s="16"/>
      <c r="X50" s="19"/>
      <c r="Y50" s="19"/>
      <c r="Z50" s="16"/>
      <c r="AA50" s="16"/>
      <c r="AB50" s="18">
        <v>0</v>
      </c>
      <c r="AC50" s="16">
        <v>0</v>
      </c>
      <c r="AD50" s="19">
        <v>0</v>
      </c>
      <c r="AE50" s="19">
        <v>0</v>
      </c>
      <c r="AF50" s="16">
        <f t="shared" si="67"/>
        <v>0</v>
      </c>
      <c r="AG50" s="16">
        <v>0</v>
      </c>
      <c r="AH50" s="18">
        <f t="shared" si="15"/>
        <v>0</v>
      </c>
      <c r="AI50" s="16">
        <f t="shared" si="16"/>
        <v>0</v>
      </c>
      <c r="AJ50" s="19">
        <v>0</v>
      </c>
      <c r="AK50" s="19">
        <v>10</v>
      </c>
      <c r="AL50" s="16">
        <f t="shared" si="45"/>
        <v>60.599999999999994</v>
      </c>
      <c r="AM50" s="16">
        <f t="shared" si="46"/>
        <v>0</v>
      </c>
      <c r="AN50" s="18">
        <f t="shared" si="47"/>
        <v>10</v>
      </c>
      <c r="AO50" s="16">
        <f t="shared" si="48"/>
        <v>60.599999999999994</v>
      </c>
      <c r="AP50" s="19">
        <v>0</v>
      </c>
      <c r="AQ50" s="19">
        <v>0</v>
      </c>
      <c r="AR50" s="16">
        <f t="shared" si="49"/>
        <v>0</v>
      </c>
      <c r="AS50" s="16">
        <f t="shared" si="50"/>
        <v>0</v>
      </c>
      <c r="AT50" s="18">
        <f t="shared" si="51"/>
        <v>10</v>
      </c>
      <c r="AU50" s="16">
        <f t="shared" si="52"/>
        <v>60.599999999999994</v>
      </c>
      <c r="AV50" s="19">
        <v>0</v>
      </c>
      <c r="AW50" s="19"/>
      <c r="AX50" s="16">
        <f t="shared" si="53"/>
        <v>0</v>
      </c>
      <c r="AY50" s="16">
        <f t="shared" si="54"/>
        <v>0</v>
      </c>
      <c r="AZ50" s="18">
        <f t="shared" si="69"/>
        <v>10</v>
      </c>
      <c r="BA50" s="16">
        <f t="shared" si="70"/>
        <v>60.599999999999994</v>
      </c>
      <c r="BB50" s="19">
        <v>0</v>
      </c>
      <c r="BC50" s="19">
        <v>0</v>
      </c>
      <c r="BD50" s="16">
        <f t="shared" si="89"/>
        <v>0</v>
      </c>
      <c r="BE50" s="16">
        <f t="shared" si="88"/>
        <v>0</v>
      </c>
      <c r="BF50" s="18">
        <f t="shared" si="71"/>
        <v>10</v>
      </c>
      <c r="BG50" s="16">
        <f t="shared" si="72"/>
        <v>60.599999999999994</v>
      </c>
      <c r="BH50" s="19">
        <v>0</v>
      </c>
      <c r="BI50" s="19">
        <v>0</v>
      </c>
      <c r="BJ50" s="16"/>
      <c r="BK50" s="16"/>
      <c r="BL50" s="18"/>
      <c r="BM50" s="16"/>
      <c r="BN50" s="19"/>
      <c r="BO50" s="19"/>
      <c r="BP50" s="16"/>
      <c r="BQ50" s="16"/>
      <c r="BR50" s="18"/>
      <c r="BS50" s="16"/>
      <c r="BT50" s="19"/>
      <c r="BU50" s="19"/>
      <c r="BV50" s="16"/>
      <c r="BW50" s="16"/>
      <c r="BX50" s="18"/>
      <c r="BY50" s="16"/>
      <c r="BZ50" s="19"/>
      <c r="CA50" s="19"/>
      <c r="CB50" s="16"/>
      <c r="CC50" s="16"/>
      <c r="CD50" s="20"/>
      <c r="CE50" s="21"/>
    </row>
    <row r="51" spans="1:85" ht="18" customHeight="1" x14ac:dyDescent="0.3">
      <c r="A51" s="23"/>
      <c r="B51" s="70">
        <v>42</v>
      </c>
      <c r="C51" s="174" t="s">
        <v>92</v>
      </c>
      <c r="D51" s="27" t="s">
        <v>387</v>
      </c>
      <c r="E51" s="22"/>
      <c r="F51" s="22"/>
      <c r="G51" s="22"/>
      <c r="H51" s="17">
        <v>22</v>
      </c>
      <c r="I51" s="25">
        <v>0.8</v>
      </c>
      <c r="J51" s="17">
        <v>22</v>
      </c>
      <c r="K51" s="16">
        <f t="shared" si="0"/>
        <v>17.600000000000001</v>
      </c>
      <c r="L51" s="19">
        <v>6</v>
      </c>
      <c r="M51" s="19">
        <v>0</v>
      </c>
      <c r="N51" s="16">
        <f t="shared" si="55"/>
        <v>0</v>
      </c>
      <c r="O51" s="16">
        <f t="shared" si="56"/>
        <v>4.8000000000000007</v>
      </c>
      <c r="P51" s="18">
        <f t="shared" si="57"/>
        <v>16</v>
      </c>
      <c r="Q51" s="16">
        <f t="shared" si="58"/>
        <v>12.8</v>
      </c>
      <c r="R51" s="19">
        <v>6</v>
      </c>
      <c r="S51" s="18">
        <v>0</v>
      </c>
      <c r="T51" s="16">
        <f t="shared" si="59"/>
        <v>0</v>
      </c>
      <c r="U51" s="16">
        <f t="shared" si="60"/>
        <v>4.8000000000000007</v>
      </c>
      <c r="V51" s="18">
        <f t="shared" si="61"/>
        <v>10</v>
      </c>
      <c r="W51" s="16">
        <f t="shared" si="62"/>
        <v>8</v>
      </c>
      <c r="X51" s="19">
        <v>0</v>
      </c>
      <c r="Y51" s="19">
        <v>0</v>
      </c>
      <c r="Z51" s="16">
        <f t="shared" si="63"/>
        <v>0</v>
      </c>
      <c r="AA51" s="16">
        <f t="shared" si="64"/>
        <v>0</v>
      </c>
      <c r="AB51" s="18">
        <f t="shared" si="65"/>
        <v>10</v>
      </c>
      <c r="AC51" s="16">
        <f t="shared" si="66"/>
        <v>8</v>
      </c>
      <c r="AD51" s="19">
        <v>1</v>
      </c>
      <c r="AE51" s="19">
        <v>0</v>
      </c>
      <c r="AF51" s="16">
        <f t="shared" si="67"/>
        <v>0</v>
      </c>
      <c r="AG51" s="16">
        <f t="shared" si="68"/>
        <v>0.8</v>
      </c>
      <c r="AH51" s="18">
        <f t="shared" si="15"/>
        <v>9</v>
      </c>
      <c r="AI51" s="16">
        <f t="shared" si="16"/>
        <v>7.2</v>
      </c>
      <c r="AJ51" s="19">
        <v>1</v>
      </c>
      <c r="AK51" s="19">
        <v>0</v>
      </c>
      <c r="AL51" s="16">
        <f t="shared" si="45"/>
        <v>0</v>
      </c>
      <c r="AM51" s="16">
        <f t="shared" si="46"/>
        <v>0.8</v>
      </c>
      <c r="AN51" s="18">
        <f t="shared" si="47"/>
        <v>8</v>
      </c>
      <c r="AO51" s="16">
        <f t="shared" si="48"/>
        <v>6.4</v>
      </c>
      <c r="AP51" s="19">
        <v>0</v>
      </c>
      <c r="AQ51" s="19">
        <v>0</v>
      </c>
      <c r="AR51" s="16">
        <f t="shared" si="49"/>
        <v>0</v>
      </c>
      <c r="AS51" s="16">
        <f t="shared" si="50"/>
        <v>0</v>
      </c>
      <c r="AT51" s="18">
        <f t="shared" si="51"/>
        <v>8</v>
      </c>
      <c r="AU51" s="16">
        <f t="shared" si="52"/>
        <v>6.4</v>
      </c>
      <c r="AV51" s="19">
        <v>3</v>
      </c>
      <c r="AW51" s="19">
        <v>0</v>
      </c>
      <c r="AX51" s="16">
        <f t="shared" si="53"/>
        <v>0</v>
      </c>
      <c r="AY51" s="16">
        <f t="shared" si="54"/>
        <v>2.4000000000000004</v>
      </c>
      <c r="AZ51" s="18">
        <f t="shared" si="69"/>
        <v>5</v>
      </c>
      <c r="BA51" s="16">
        <f t="shared" si="70"/>
        <v>4</v>
      </c>
      <c r="BB51" s="19">
        <v>0</v>
      </c>
      <c r="BC51" s="19">
        <v>0</v>
      </c>
      <c r="BD51" s="16">
        <f t="shared" si="89"/>
        <v>0</v>
      </c>
      <c r="BE51" s="16">
        <f t="shared" si="88"/>
        <v>0</v>
      </c>
      <c r="BF51" s="18">
        <f t="shared" si="71"/>
        <v>5</v>
      </c>
      <c r="BG51" s="16">
        <f t="shared" si="72"/>
        <v>4</v>
      </c>
      <c r="BH51" s="19">
        <v>0</v>
      </c>
      <c r="BI51" s="19">
        <v>0</v>
      </c>
      <c r="BJ51" s="16">
        <f t="shared" si="73"/>
        <v>0</v>
      </c>
      <c r="BK51" s="16">
        <f t="shared" si="74"/>
        <v>0</v>
      </c>
      <c r="BL51" s="18">
        <f t="shared" si="75"/>
        <v>5</v>
      </c>
      <c r="BM51" s="16">
        <f t="shared" si="76"/>
        <v>4</v>
      </c>
      <c r="BN51" s="19">
        <v>0</v>
      </c>
      <c r="BO51" s="19">
        <v>0</v>
      </c>
      <c r="BP51" s="16">
        <f t="shared" si="77"/>
        <v>0</v>
      </c>
      <c r="BQ51" s="16">
        <f t="shared" si="78"/>
        <v>0</v>
      </c>
      <c r="BR51" s="18">
        <f t="shared" si="79"/>
        <v>5</v>
      </c>
      <c r="BS51" s="16">
        <f t="shared" si="80"/>
        <v>4</v>
      </c>
      <c r="BT51" s="19">
        <v>0</v>
      </c>
      <c r="BU51" s="19">
        <v>0</v>
      </c>
      <c r="BV51" s="16">
        <f t="shared" si="81"/>
        <v>0</v>
      </c>
      <c r="BW51" s="16">
        <f t="shared" si="82"/>
        <v>0</v>
      </c>
      <c r="BX51" s="18">
        <f t="shared" si="83"/>
        <v>5</v>
      </c>
      <c r="BY51" s="16">
        <f t="shared" si="84"/>
        <v>4</v>
      </c>
      <c r="BZ51" s="19">
        <v>0</v>
      </c>
      <c r="CA51" s="19">
        <v>0</v>
      </c>
      <c r="CB51" s="16">
        <f t="shared" si="85"/>
        <v>0</v>
      </c>
      <c r="CC51" s="16">
        <f t="shared" si="86"/>
        <v>0</v>
      </c>
      <c r="CD51" s="20">
        <f t="shared" si="91"/>
        <v>5</v>
      </c>
      <c r="CE51" s="21">
        <f t="shared" si="90"/>
        <v>4</v>
      </c>
    </row>
    <row r="52" spans="1:85" ht="18" customHeight="1" x14ac:dyDescent="0.3">
      <c r="A52" s="23"/>
      <c r="B52" s="70">
        <v>43</v>
      </c>
      <c r="C52" s="175"/>
      <c r="D52" s="27" t="s">
        <v>93</v>
      </c>
      <c r="E52" s="22"/>
      <c r="F52" s="22"/>
      <c r="G52" s="22"/>
      <c r="H52" s="17">
        <v>30</v>
      </c>
      <c r="I52" s="25">
        <v>0.85</v>
      </c>
      <c r="J52" s="17">
        <v>30</v>
      </c>
      <c r="K52" s="16">
        <f t="shared" si="0"/>
        <v>25.5</v>
      </c>
      <c r="L52" s="19">
        <v>0</v>
      </c>
      <c r="M52" s="19">
        <v>0</v>
      </c>
      <c r="N52" s="16">
        <f t="shared" si="55"/>
        <v>0</v>
      </c>
      <c r="O52" s="16">
        <f t="shared" si="56"/>
        <v>0</v>
      </c>
      <c r="P52" s="18">
        <f t="shared" si="57"/>
        <v>30</v>
      </c>
      <c r="Q52" s="16">
        <f t="shared" si="58"/>
        <v>25.5</v>
      </c>
      <c r="R52" s="19">
        <v>0</v>
      </c>
      <c r="S52" s="18">
        <v>0</v>
      </c>
      <c r="T52" s="16">
        <f t="shared" si="59"/>
        <v>0</v>
      </c>
      <c r="U52" s="16">
        <f t="shared" si="60"/>
        <v>0</v>
      </c>
      <c r="V52" s="18">
        <f t="shared" si="61"/>
        <v>30</v>
      </c>
      <c r="W52" s="16">
        <f t="shared" si="62"/>
        <v>25.5</v>
      </c>
      <c r="X52" s="19">
        <v>0</v>
      </c>
      <c r="Y52" s="19">
        <v>0</v>
      </c>
      <c r="Z52" s="16">
        <f t="shared" si="63"/>
        <v>0</v>
      </c>
      <c r="AA52" s="16">
        <f t="shared" si="64"/>
        <v>0</v>
      </c>
      <c r="AB52" s="18">
        <f t="shared" si="65"/>
        <v>30</v>
      </c>
      <c r="AC52" s="16">
        <f t="shared" si="66"/>
        <v>25.5</v>
      </c>
      <c r="AD52" s="19">
        <v>0</v>
      </c>
      <c r="AE52" s="19">
        <v>0</v>
      </c>
      <c r="AF52" s="16">
        <f t="shared" si="67"/>
        <v>0</v>
      </c>
      <c r="AG52" s="16">
        <f t="shared" si="68"/>
        <v>0</v>
      </c>
      <c r="AH52" s="18">
        <f t="shared" si="15"/>
        <v>30</v>
      </c>
      <c r="AI52" s="16">
        <f t="shared" si="16"/>
        <v>25.5</v>
      </c>
      <c r="AJ52" s="19">
        <v>0</v>
      </c>
      <c r="AK52" s="19">
        <v>0</v>
      </c>
      <c r="AL52" s="16">
        <f t="shared" si="45"/>
        <v>0</v>
      </c>
      <c r="AM52" s="16">
        <f t="shared" si="46"/>
        <v>0</v>
      </c>
      <c r="AN52" s="18">
        <f t="shared" si="47"/>
        <v>30</v>
      </c>
      <c r="AO52" s="16">
        <f t="shared" si="48"/>
        <v>25.5</v>
      </c>
      <c r="AP52" s="19">
        <v>0</v>
      </c>
      <c r="AQ52" s="19">
        <v>0</v>
      </c>
      <c r="AR52" s="16">
        <f t="shared" si="49"/>
        <v>0</v>
      </c>
      <c r="AS52" s="16">
        <f t="shared" si="50"/>
        <v>0</v>
      </c>
      <c r="AT52" s="18">
        <f t="shared" si="51"/>
        <v>30</v>
      </c>
      <c r="AU52" s="16">
        <f t="shared" si="52"/>
        <v>25.5</v>
      </c>
      <c r="AV52" s="19">
        <v>0</v>
      </c>
      <c r="AW52" s="19">
        <v>0</v>
      </c>
      <c r="AX52" s="16">
        <f t="shared" si="53"/>
        <v>0</v>
      </c>
      <c r="AY52" s="16">
        <f t="shared" si="54"/>
        <v>0</v>
      </c>
      <c r="AZ52" s="18">
        <f t="shared" si="69"/>
        <v>30</v>
      </c>
      <c r="BA52" s="16">
        <f t="shared" si="70"/>
        <v>25.5</v>
      </c>
      <c r="BB52" s="19">
        <v>0</v>
      </c>
      <c r="BC52" s="19">
        <v>0</v>
      </c>
      <c r="BD52" s="16">
        <f t="shared" si="89"/>
        <v>0</v>
      </c>
      <c r="BE52" s="16">
        <f t="shared" si="88"/>
        <v>0</v>
      </c>
      <c r="BF52" s="18">
        <f t="shared" si="71"/>
        <v>30</v>
      </c>
      <c r="BG52" s="16">
        <f t="shared" si="72"/>
        <v>25.5</v>
      </c>
      <c r="BH52" s="19">
        <v>0</v>
      </c>
      <c r="BI52" s="19">
        <v>0</v>
      </c>
      <c r="BJ52" s="16">
        <f t="shared" si="73"/>
        <v>0</v>
      </c>
      <c r="BK52" s="16">
        <f t="shared" si="74"/>
        <v>0</v>
      </c>
      <c r="BL52" s="18">
        <f t="shared" si="75"/>
        <v>30</v>
      </c>
      <c r="BM52" s="16">
        <f t="shared" si="76"/>
        <v>25.5</v>
      </c>
      <c r="BN52" s="19">
        <v>0</v>
      </c>
      <c r="BO52" s="19">
        <v>0</v>
      </c>
      <c r="BP52" s="16">
        <f t="shared" si="77"/>
        <v>0</v>
      </c>
      <c r="BQ52" s="16">
        <f t="shared" si="78"/>
        <v>0</v>
      </c>
      <c r="BR52" s="18">
        <f t="shared" si="79"/>
        <v>30</v>
      </c>
      <c r="BS52" s="16">
        <f t="shared" si="80"/>
        <v>25.5</v>
      </c>
      <c r="BT52" s="19">
        <v>0</v>
      </c>
      <c r="BU52" s="19">
        <v>0</v>
      </c>
      <c r="BV52" s="16">
        <f t="shared" si="81"/>
        <v>0</v>
      </c>
      <c r="BW52" s="16">
        <f t="shared" si="82"/>
        <v>0</v>
      </c>
      <c r="BX52" s="18">
        <f t="shared" si="83"/>
        <v>30</v>
      </c>
      <c r="BY52" s="16">
        <f t="shared" si="84"/>
        <v>25.5</v>
      </c>
      <c r="BZ52" s="19">
        <v>0</v>
      </c>
      <c r="CA52" s="19">
        <v>0</v>
      </c>
      <c r="CB52" s="16">
        <f t="shared" si="85"/>
        <v>0</v>
      </c>
      <c r="CC52" s="16">
        <f t="shared" si="86"/>
        <v>0</v>
      </c>
      <c r="CD52" s="20">
        <f t="shared" si="91"/>
        <v>30</v>
      </c>
      <c r="CE52" s="21">
        <f t="shared" si="90"/>
        <v>25.5</v>
      </c>
    </row>
    <row r="53" spans="1:85" ht="17.25" customHeight="1" x14ac:dyDescent="0.25">
      <c r="A53" s="23">
        <v>28</v>
      </c>
      <c r="B53" s="70">
        <v>44</v>
      </c>
      <c r="C53" s="79" t="s">
        <v>94</v>
      </c>
      <c r="D53" s="13" t="s">
        <v>95</v>
      </c>
      <c r="E53" s="23">
        <v>5</v>
      </c>
      <c r="F53" s="23">
        <v>10</v>
      </c>
      <c r="G53" s="23">
        <v>15</v>
      </c>
      <c r="H53" s="17">
        <v>44</v>
      </c>
      <c r="I53" s="30">
        <v>4.9000000000000004</v>
      </c>
      <c r="J53" s="17">
        <v>44</v>
      </c>
      <c r="K53" s="16">
        <f t="shared" si="0"/>
        <v>215.60000000000002</v>
      </c>
      <c r="L53" s="19">
        <v>0</v>
      </c>
      <c r="M53" s="19">
        <v>0</v>
      </c>
      <c r="N53" s="16">
        <f t="shared" si="55"/>
        <v>0</v>
      </c>
      <c r="O53" s="16">
        <f t="shared" si="56"/>
        <v>0</v>
      </c>
      <c r="P53" s="18">
        <f t="shared" si="57"/>
        <v>44</v>
      </c>
      <c r="Q53" s="16">
        <f t="shared" si="58"/>
        <v>215.60000000000002</v>
      </c>
      <c r="R53" s="19">
        <v>0</v>
      </c>
      <c r="S53" s="18">
        <v>0</v>
      </c>
      <c r="T53" s="16">
        <f t="shared" si="59"/>
        <v>0</v>
      </c>
      <c r="U53" s="16">
        <f t="shared" si="60"/>
        <v>0</v>
      </c>
      <c r="V53" s="18">
        <f t="shared" si="61"/>
        <v>44</v>
      </c>
      <c r="W53" s="16">
        <f t="shared" si="62"/>
        <v>215.60000000000002</v>
      </c>
      <c r="X53" s="19">
        <v>0</v>
      </c>
      <c r="Y53" s="19">
        <v>0</v>
      </c>
      <c r="Z53" s="16">
        <f t="shared" si="63"/>
        <v>0</v>
      </c>
      <c r="AA53" s="16">
        <f t="shared" si="64"/>
        <v>0</v>
      </c>
      <c r="AB53" s="18">
        <f t="shared" si="65"/>
        <v>44</v>
      </c>
      <c r="AC53" s="16">
        <f t="shared" si="66"/>
        <v>215.60000000000002</v>
      </c>
      <c r="AD53" s="19">
        <v>0</v>
      </c>
      <c r="AE53" s="19">
        <v>0</v>
      </c>
      <c r="AF53" s="16">
        <f t="shared" si="67"/>
        <v>0</v>
      </c>
      <c r="AG53" s="16">
        <f t="shared" si="68"/>
        <v>0</v>
      </c>
      <c r="AH53" s="18">
        <f t="shared" si="15"/>
        <v>44</v>
      </c>
      <c r="AI53" s="16">
        <f t="shared" si="16"/>
        <v>215.60000000000002</v>
      </c>
      <c r="AJ53" s="19">
        <v>0</v>
      </c>
      <c r="AK53" s="19">
        <v>0</v>
      </c>
      <c r="AL53" s="16">
        <f t="shared" si="45"/>
        <v>0</v>
      </c>
      <c r="AM53" s="16">
        <f t="shared" si="46"/>
        <v>0</v>
      </c>
      <c r="AN53" s="18">
        <f t="shared" si="47"/>
        <v>44</v>
      </c>
      <c r="AO53" s="16">
        <f t="shared" si="48"/>
        <v>215.60000000000002</v>
      </c>
      <c r="AP53" s="19">
        <v>0</v>
      </c>
      <c r="AQ53" s="19">
        <v>0</v>
      </c>
      <c r="AR53" s="16">
        <f t="shared" si="49"/>
        <v>0</v>
      </c>
      <c r="AS53" s="16">
        <f t="shared" si="50"/>
        <v>0</v>
      </c>
      <c r="AT53" s="18">
        <f t="shared" si="51"/>
        <v>44</v>
      </c>
      <c r="AU53" s="16">
        <f t="shared" si="52"/>
        <v>215.60000000000002</v>
      </c>
      <c r="AV53" s="19">
        <v>0</v>
      </c>
      <c r="AW53" s="19">
        <v>0</v>
      </c>
      <c r="AX53" s="16">
        <f t="shared" si="53"/>
        <v>0</v>
      </c>
      <c r="AY53" s="16">
        <f t="shared" si="54"/>
        <v>0</v>
      </c>
      <c r="AZ53" s="18">
        <f t="shared" si="69"/>
        <v>44</v>
      </c>
      <c r="BA53" s="16">
        <f t="shared" si="70"/>
        <v>215.60000000000002</v>
      </c>
      <c r="BB53" s="19">
        <v>0</v>
      </c>
      <c r="BC53" s="19">
        <v>0</v>
      </c>
      <c r="BD53" s="16">
        <f t="shared" si="89"/>
        <v>0</v>
      </c>
      <c r="BE53" s="16">
        <f t="shared" si="88"/>
        <v>0</v>
      </c>
      <c r="BF53" s="18">
        <f t="shared" si="71"/>
        <v>44</v>
      </c>
      <c r="BG53" s="16">
        <f t="shared" si="72"/>
        <v>215.60000000000002</v>
      </c>
      <c r="BH53" s="19">
        <v>0</v>
      </c>
      <c r="BI53" s="19">
        <v>0</v>
      </c>
      <c r="BJ53" s="16">
        <f t="shared" si="73"/>
        <v>0</v>
      </c>
      <c r="BK53" s="16">
        <f t="shared" si="74"/>
        <v>0</v>
      </c>
      <c r="BL53" s="18">
        <f t="shared" si="75"/>
        <v>44</v>
      </c>
      <c r="BM53" s="16">
        <f t="shared" si="76"/>
        <v>215.60000000000002</v>
      </c>
      <c r="BN53" s="19">
        <v>0</v>
      </c>
      <c r="BO53" s="19">
        <v>0</v>
      </c>
      <c r="BP53" s="16">
        <f t="shared" si="77"/>
        <v>0</v>
      </c>
      <c r="BQ53" s="16">
        <f t="shared" si="78"/>
        <v>0</v>
      </c>
      <c r="BR53" s="18">
        <f t="shared" si="79"/>
        <v>44</v>
      </c>
      <c r="BS53" s="16">
        <f t="shared" si="80"/>
        <v>215.60000000000002</v>
      </c>
      <c r="BT53" s="19">
        <v>0</v>
      </c>
      <c r="BU53" s="19">
        <v>0</v>
      </c>
      <c r="BV53" s="16">
        <f t="shared" si="81"/>
        <v>0</v>
      </c>
      <c r="BW53" s="16">
        <f t="shared" si="82"/>
        <v>0</v>
      </c>
      <c r="BX53" s="18">
        <f t="shared" si="83"/>
        <v>44</v>
      </c>
      <c r="BY53" s="16">
        <f t="shared" si="84"/>
        <v>215.60000000000002</v>
      </c>
      <c r="BZ53" s="19">
        <v>0</v>
      </c>
      <c r="CA53" s="19">
        <v>0</v>
      </c>
      <c r="CB53" s="16">
        <f t="shared" si="85"/>
        <v>0</v>
      </c>
      <c r="CC53" s="16">
        <f t="shared" si="86"/>
        <v>0</v>
      </c>
      <c r="CD53" s="20">
        <f t="shared" si="91"/>
        <v>44</v>
      </c>
      <c r="CE53" s="21">
        <f t="shared" si="90"/>
        <v>215.60000000000002</v>
      </c>
      <c r="CG53" s="1" t="s">
        <v>455</v>
      </c>
    </row>
    <row r="54" spans="1:85" x14ac:dyDescent="0.25">
      <c r="A54" s="23">
        <v>29</v>
      </c>
      <c r="B54" s="70">
        <v>45</v>
      </c>
      <c r="C54" s="79" t="s">
        <v>96</v>
      </c>
      <c r="D54" s="13" t="s">
        <v>97</v>
      </c>
      <c r="E54" s="23">
        <v>5</v>
      </c>
      <c r="F54" s="23">
        <v>10</v>
      </c>
      <c r="G54" s="23">
        <v>20</v>
      </c>
      <c r="H54" s="17">
        <v>21</v>
      </c>
      <c r="I54" s="30">
        <v>11.9</v>
      </c>
      <c r="J54" s="17">
        <v>21</v>
      </c>
      <c r="K54" s="16">
        <f t="shared" si="0"/>
        <v>249.9</v>
      </c>
      <c r="L54" s="19">
        <v>0</v>
      </c>
      <c r="M54" s="19">
        <v>0</v>
      </c>
      <c r="N54" s="16">
        <f t="shared" si="55"/>
        <v>0</v>
      </c>
      <c r="O54" s="16">
        <f t="shared" si="56"/>
        <v>0</v>
      </c>
      <c r="P54" s="18">
        <f t="shared" si="57"/>
        <v>21</v>
      </c>
      <c r="Q54" s="16">
        <f t="shared" si="58"/>
        <v>249.9</v>
      </c>
      <c r="R54" s="19">
        <v>0</v>
      </c>
      <c r="S54" s="18">
        <v>0</v>
      </c>
      <c r="T54" s="16">
        <f t="shared" si="59"/>
        <v>0</v>
      </c>
      <c r="U54" s="16">
        <f t="shared" si="60"/>
        <v>0</v>
      </c>
      <c r="V54" s="18">
        <f t="shared" si="61"/>
        <v>21</v>
      </c>
      <c r="W54" s="16">
        <f t="shared" si="62"/>
        <v>249.9</v>
      </c>
      <c r="X54" s="19">
        <v>0</v>
      </c>
      <c r="Y54" s="19">
        <v>0</v>
      </c>
      <c r="Z54" s="16">
        <f t="shared" si="63"/>
        <v>0</v>
      </c>
      <c r="AA54" s="16">
        <f t="shared" si="64"/>
        <v>0</v>
      </c>
      <c r="AB54" s="18">
        <f t="shared" si="65"/>
        <v>21</v>
      </c>
      <c r="AC54" s="16">
        <f t="shared" si="66"/>
        <v>249.9</v>
      </c>
      <c r="AD54" s="19">
        <v>0</v>
      </c>
      <c r="AE54" s="19">
        <v>0</v>
      </c>
      <c r="AF54" s="16">
        <f t="shared" si="67"/>
        <v>0</v>
      </c>
      <c r="AG54" s="16">
        <f t="shared" si="68"/>
        <v>0</v>
      </c>
      <c r="AH54" s="18">
        <f t="shared" si="15"/>
        <v>21</v>
      </c>
      <c r="AI54" s="16">
        <f t="shared" si="16"/>
        <v>249.9</v>
      </c>
      <c r="AJ54" s="19">
        <v>0</v>
      </c>
      <c r="AK54" s="19">
        <v>0</v>
      </c>
      <c r="AL54" s="16">
        <f t="shared" si="45"/>
        <v>0</v>
      </c>
      <c r="AM54" s="16">
        <f t="shared" si="46"/>
        <v>0</v>
      </c>
      <c r="AN54" s="18">
        <f t="shared" si="47"/>
        <v>21</v>
      </c>
      <c r="AO54" s="16">
        <f t="shared" si="48"/>
        <v>249.9</v>
      </c>
      <c r="AP54" s="19">
        <v>0</v>
      </c>
      <c r="AQ54" s="19">
        <v>0</v>
      </c>
      <c r="AR54" s="16">
        <f t="shared" si="49"/>
        <v>0</v>
      </c>
      <c r="AS54" s="16">
        <f t="shared" si="50"/>
        <v>0</v>
      </c>
      <c r="AT54" s="18">
        <f t="shared" si="51"/>
        <v>21</v>
      </c>
      <c r="AU54" s="16">
        <f t="shared" si="52"/>
        <v>249.9</v>
      </c>
      <c r="AV54" s="19">
        <v>0</v>
      </c>
      <c r="AW54" s="19">
        <v>0</v>
      </c>
      <c r="AX54" s="16">
        <f t="shared" si="53"/>
        <v>0</v>
      </c>
      <c r="AY54" s="16">
        <f t="shared" si="54"/>
        <v>0</v>
      </c>
      <c r="AZ54" s="18">
        <f t="shared" si="69"/>
        <v>21</v>
      </c>
      <c r="BA54" s="16">
        <f t="shared" si="70"/>
        <v>249.9</v>
      </c>
      <c r="BB54" s="19">
        <v>0</v>
      </c>
      <c r="BC54" s="19">
        <v>0</v>
      </c>
      <c r="BD54" s="16">
        <f t="shared" si="89"/>
        <v>0</v>
      </c>
      <c r="BE54" s="16">
        <f t="shared" si="88"/>
        <v>0</v>
      </c>
      <c r="BF54" s="18">
        <f t="shared" si="71"/>
        <v>21</v>
      </c>
      <c r="BG54" s="16">
        <f t="shared" si="72"/>
        <v>249.9</v>
      </c>
      <c r="BH54" s="19">
        <v>0</v>
      </c>
      <c r="BI54" s="19">
        <v>0</v>
      </c>
      <c r="BJ54" s="16">
        <f t="shared" si="73"/>
        <v>0</v>
      </c>
      <c r="BK54" s="16">
        <f t="shared" si="74"/>
        <v>0</v>
      </c>
      <c r="BL54" s="18">
        <f t="shared" si="75"/>
        <v>21</v>
      </c>
      <c r="BM54" s="16">
        <f t="shared" si="76"/>
        <v>249.9</v>
      </c>
      <c r="BN54" s="19">
        <v>0</v>
      </c>
      <c r="BO54" s="19">
        <v>0</v>
      </c>
      <c r="BP54" s="16">
        <f t="shared" si="77"/>
        <v>0</v>
      </c>
      <c r="BQ54" s="16">
        <f t="shared" si="78"/>
        <v>0</v>
      </c>
      <c r="BR54" s="18">
        <f t="shared" si="79"/>
        <v>21</v>
      </c>
      <c r="BS54" s="16">
        <f t="shared" si="80"/>
        <v>249.9</v>
      </c>
      <c r="BT54" s="19">
        <v>0</v>
      </c>
      <c r="BU54" s="19">
        <v>0</v>
      </c>
      <c r="BV54" s="16">
        <f t="shared" si="81"/>
        <v>0</v>
      </c>
      <c r="BW54" s="16">
        <f t="shared" si="82"/>
        <v>0</v>
      </c>
      <c r="BX54" s="18">
        <f t="shared" si="83"/>
        <v>21</v>
      </c>
      <c r="BY54" s="16">
        <f t="shared" si="84"/>
        <v>249.9</v>
      </c>
      <c r="BZ54" s="19">
        <v>0</v>
      </c>
      <c r="CA54" s="19">
        <v>0</v>
      </c>
      <c r="CB54" s="16">
        <f t="shared" si="85"/>
        <v>0</v>
      </c>
      <c r="CC54" s="16">
        <f t="shared" si="86"/>
        <v>0</v>
      </c>
      <c r="CD54" s="20">
        <f t="shared" si="91"/>
        <v>21</v>
      </c>
      <c r="CE54" s="21">
        <f t="shared" si="90"/>
        <v>249.9</v>
      </c>
      <c r="CG54" s="1" t="s">
        <v>455</v>
      </c>
    </row>
    <row r="55" spans="1:85" x14ac:dyDescent="0.25">
      <c r="A55" s="23"/>
      <c r="B55" s="70">
        <v>46</v>
      </c>
      <c r="C55" s="174" t="s">
        <v>98</v>
      </c>
      <c r="D55" s="13" t="s">
        <v>377</v>
      </c>
      <c r="E55" s="19"/>
      <c r="F55" s="19"/>
      <c r="G55" s="19"/>
      <c r="H55" s="17">
        <v>3</v>
      </c>
      <c r="I55" s="30">
        <v>6.3</v>
      </c>
      <c r="J55" s="17">
        <v>3</v>
      </c>
      <c r="K55" s="16">
        <f t="shared" si="0"/>
        <v>18.899999999999999</v>
      </c>
      <c r="L55" s="19">
        <v>2</v>
      </c>
      <c r="M55" s="19">
        <v>0</v>
      </c>
      <c r="N55" s="16">
        <f t="shared" si="55"/>
        <v>0</v>
      </c>
      <c r="O55" s="16">
        <f t="shared" si="56"/>
        <v>12.6</v>
      </c>
      <c r="P55" s="18">
        <f t="shared" si="57"/>
        <v>1</v>
      </c>
      <c r="Q55" s="16">
        <f t="shared" si="58"/>
        <v>6.3</v>
      </c>
      <c r="R55" s="19">
        <v>0</v>
      </c>
      <c r="S55" s="18">
        <v>0</v>
      </c>
      <c r="T55" s="16">
        <f t="shared" si="59"/>
        <v>0</v>
      </c>
      <c r="U55" s="16">
        <f t="shared" si="60"/>
        <v>0</v>
      </c>
      <c r="V55" s="18">
        <f t="shared" si="61"/>
        <v>1</v>
      </c>
      <c r="W55" s="16">
        <f t="shared" si="62"/>
        <v>6.3</v>
      </c>
      <c r="X55" s="19">
        <v>0</v>
      </c>
      <c r="Y55" s="19">
        <v>0</v>
      </c>
      <c r="Z55" s="16">
        <f t="shared" si="63"/>
        <v>0</v>
      </c>
      <c r="AA55" s="16">
        <f t="shared" si="64"/>
        <v>0</v>
      </c>
      <c r="AB55" s="18">
        <f t="shared" si="65"/>
        <v>1</v>
      </c>
      <c r="AC55" s="16">
        <f t="shared" si="66"/>
        <v>6.3</v>
      </c>
      <c r="AD55" s="19">
        <v>0</v>
      </c>
      <c r="AE55" s="19">
        <v>0</v>
      </c>
      <c r="AF55" s="16">
        <f t="shared" si="67"/>
        <v>0</v>
      </c>
      <c r="AG55" s="16">
        <f t="shared" si="68"/>
        <v>0</v>
      </c>
      <c r="AH55" s="18">
        <f t="shared" si="15"/>
        <v>1</v>
      </c>
      <c r="AI55" s="16">
        <f t="shared" si="16"/>
        <v>6.3</v>
      </c>
      <c r="AJ55" s="19">
        <v>0</v>
      </c>
      <c r="AK55" s="19">
        <v>0</v>
      </c>
      <c r="AL55" s="16">
        <f t="shared" si="45"/>
        <v>0</v>
      </c>
      <c r="AM55" s="16">
        <f t="shared" si="46"/>
        <v>0</v>
      </c>
      <c r="AN55" s="18">
        <f t="shared" si="47"/>
        <v>1</v>
      </c>
      <c r="AO55" s="16">
        <f t="shared" si="48"/>
        <v>6.3</v>
      </c>
      <c r="AP55" s="19">
        <v>0</v>
      </c>
      <c r="AQ55" s="19">
        <v>0</v>
      </c>
      <c r="AR55" s="16">
        <f t="shared" si="49"/>
        <v>0</v>
      </c>
      <c r="AS55" s="16">
        <f t="shared" si="50"/>
        <v>0</v>
      </c>
      <c r="AT55" s="18">
        <f t="shared" si="51"/>
        <v>1</v>
      </c>
      <c r="AU55" s="16">
        <f t="shared" si="52"/>
        <v>6.3</v>
      </c>
      <c r="AV55" s="19">
        <v>0</v>
      </c>
      <c r="AW55" s="19">
        <v>0</v>
      </c>
      <c r="AX55" s="16">
        <f t="shared" si="53"/>
        <v>0</v>
      </c>
      <c r="AY55" s="16">
        <f t="shared" si="54"/>
        <v>0</v>
      </c>
      <c r="AZ55" s="18">
        <f t="shared" si="69"/>
        <v>1</v>
      </c>
      <c r="BA55" s="16">
        <f t="shared" si="70"/>
        <v>6.3</v>
      </c>
      <c r="BB55" s="19">
        <v>1</v>
      </c>
      <c r="BC55" s="19">
        <v>0</v>
      </c>
      <c r="BD55" s="16">
        <f t="shared" si="89"/>
        <v>0</v>
      </c>
      <c r="BE55" s="16">
        <f t="shared" si="88"/>
        <v>6.3</v>
      </c>
      <c r="BF55" s="18">
        <f t="shared" si="71"/>
        <v>0</v>
      </c>
      <c r="BG55" s="16">
        <f t="shared" si="72"/>
        <v>0</v>
      </c>
      <c r="BH55" s="19">
        <v>0</v>
      </c>
      <c r="BI55" s="19">
        <v>0</v>
      </c>
      <c r="BJ55" s="16">
        <f t="shared" si="73"/>
        <v>0</v>
      </c>
      <c r="BK55" s="16">
        <f t="shared" si="74"/>
        <v>0</v>
      </c>
      <c r="BL55" s="18">
        <f t="shared" si="75"/>
        <v>0</v>
      </c>
      <c r="BM55" s="16">
        <f t="shared" si="76"/>
        <v>0</v>
      </c>
      <c r="BN55" s="19">
        <v>0</v>
      </c>
      <c r="BO55" s="19">
        <v>0</v>
      </c>
      <c r="BP55" s="16">
        <f t="shared" si="77"/>
        <v>0</v>
      </c>
      <c r="BQ55" s="16">
        <f t="shared" si="78"/>
        <v>0</v>
      </c>
      <c r="BR55" s="18">
        <f t="shared" si="79"/>
        <v>0</v>
      </c>
      <c r="BS55" s="16">
        <f t="shared" si="80"/>
        <v>0</v>
      </c>
      <c r="BT55" s="19">
        <v>0</v>
      </c>
      <c r="BU55" s="19">
        <v>0</v>
      </c>
      <c r="BV55" s="16">
        <f t="shared" si="81"/>
        <v>0</v>
      </c>
      <c r="BW55" s="16">
        <f t="shared" si="82"/>
        <v>0</v>
      </c>
      <c r="BX55" s="18">
        <f t="shared" si="83"/>
        <v>0</v>
      </c>
      <c r="BY55" s="16">
        <f t="shared" si="84"/>
        <v>0</v>
      </c>
      <c r="BZ55" s="19">
        <v>0</v>
      </c>
      <c r="CA55" s="19">
        <v>0</v>
      </c>
      <c r="CB55" s="16">
        <f t="shared" si="85"/>
        <v>0</v>
      </c>
      <c r="CC55" s="16">
        <f t="shared" si="86"/>
        <v>0</v>
      </c>
      <c r="CD55" s="20">
        <f t="shared" si="91"/>
        <v>0</v>
      </c>
      <c r="CE55" s="21">
        <f t="shared" si="90"/>
        <v>0</v>
      </c>
    </row>
    <row r="56" spans="1:85" x14ac:dyDescent="0.25">
      <c r="A56" s="23"/>
      <c r="B56" s="70">
        <v>47</v>
      </c>
      <c r="C56" s="175"/>
      <c r="D56" s="13" t="s">
        <v>315</v>
      </c>
      <c r="E56" s="19"/>
      <c r="F56" s="19"/>
      <c r="G56" s="19"/>
      <c r="H56" s="17">
        <v>22</v>
      </c>
      <c r="I56" s="30">
        <v>5.65</v>
      </c>
      <c r="J56" s="17">
        <v>22</v>
      </c>
      <c r="K56" s="16">
        <f t="shared" si="0"/>
        <v>124.30000000000001</v>
      </c>
      <c r="L56" s="19">
        <v>0</v>
      </c>
      <c r="M56" s="19">
        <v>0</v>
      </c>
      <c r="N56" s="16">
        <f t="shared" si="55"/>
        <v>0</v>
      </c>
      <c r="O56" s="16">
        <f t="shared" si="56"/>
        <v>0</v>
      </c>
      <c r="P56" s="18">
        <f t="shared" si="57"/>
        <v>22</v>
      </c>
      <c r="Q56" s="16">
        <f t="shared" si="58"/>
        <v>124.30000000000001</v>
      </c>
      <c r="R56" s="19">
        <v>0</v>
      </c>
      <c r="S56" s="18">
        <v>0</v>
      </c>
      <c r="T56" s="16">
        <f t="shared" si="59"/>
        <v>0</v>
      </c>
      <c r="U56" s="16">
        <f t="shared" si="60"/>
        <v>0</v>
      </c>
      <c r="V56" s="18">
        <f t="shared" si="61"/>
        <v>22</v>
      </c>
      <c r="W56" s="16">
        <f t="shared" si="62"/>
        <v>124.30000000000001</v>
      </c>
      <c r="X56" s="19">
        <v>0</v>
      </c>
      <c r="Y56" s="19">
        <v>0</v>
      </c>
      <c r="Z56" s="16">
        <f t="shared" si="63"/>
        <v>0</v>
      </c>
      <c r="AA56" s="16">
        <f t="shared" si="64"/>
        <v>0</v>
      </c>
      <c r="AB56" s="18">
        <f t="shared" si="65"/>
        <v>22</v>
      </c>
      <c r="AC56" s="16">
        <f t="shared" si="66"/>
        <v>124.30000000000001</v>
      </c>
      <c r="AD56" s="19">
        <v>0</v>
      </c>
      <c r="AE56" s="19">
        <v>0</v>
      </c>
      <c r="AF56" s="16">
        <f t="shared" si="67"/>
        <v>0</v>
      </c>
      <c r="AG56" s="16">
        <f t="shared" si="68"/>
        <v>0</v>
      </c>
      <c r="AH56" s="18">
        <f t="shared" si="15"/>
        <v>22</v>
      </c>
      <c r="AI56" s="16">
        <f t="shared" si="16"/>
        <v>124.30000000000001</v>
      </c>
      <c r="AJ56" s="19">
        <v>0</v>
      </c>
      <c r="AK56" s="19">
        <v>0</v>
      </c>
      <c r="AL56" s="16">
        <f t="shared" si="45"/>
        <v>0</v>
      </c>
      <c r="AM56" s="16">
        <f t="shared" si="46"/>
        <v>0</v>
      </c>
      <c r="AN56" s="18">
        <f t="shared" si="47"/>
        <v>22</v>
      </c>
      <c r="AO56" s="16">
        <f t="shared" si="48"/>
        <v>124.30000000000001</v>
      </c>
      <c r="AP56" s="19">
        <v>0</v>
      </c>
      <c r="AQ56" s="19">
        <v>0</v>
      </c>
      <c r="AR56" s="16">
        <f t="shared" si="49"/>
        <v>0</v>
      </c>
      <c r="AS56" s="16">
        <f t="shared" si="50"/>
        <v>0</v>
      </c>
      <c r="AT56" s="18">
        <f t="shared" si="51"/>
        <v>22</v>
      </c>
      <c r="AU56" s="16">
        <f t="shared" si="52"/>
        <v>124.30000000000001</v>
      </c>
      <c r="AV56" s="19">
        <v>0</v>
      </c>
      <c r="AW56" s="19">
        <v>0</v>
      </c>
      <c r="AX56" s="16">
        <f t="shared" si="53"/>
        <v>0</v>
      </c>
      <c r="AY56" s="16">
        <f t="shared" si="54"/>
        <v>0</v>
      </c>
      <c r="AZ56" s="18">
        <f t="shared" si="69"/>
        <v>22</v>
      </c>
      <c r="BA56" s="16">
        <f t="shared" si="70"/>
        <v>124.30000000000001</v>
      </c>
      <c r="BB56" s="19">
        <v>0</v>
      </c>
      <c r="BC56" s="19">
        <v>0</v>
      </c>
      <c r="BD56" s="16">
        <f t="shared" si="89"/>
        <v>0</v>
      </c>
      <c r="BE56" s="16">
        <f t="shared" si="88"/>
        <v>0</v>
      </c>
      <c r="BF56" s="18">
        <f t="shared" si="71"/>
        <v>22</v>
      </c>
      <c r="BG56" s="16">
        <f t="shared" si="72"/>
        <v>124.30000000000001</v>
      </c>
      <c r="BH56" s="19">
        <v>0</v>
      </c>
      <c r="BI56" s="19">
        <v>0</v>
      </c>
      <c r="BJ56" s="16">
        <f t="shared" si="73"/>
        <v>0</v>
      </c>
      <c r="BK56" s="16">
        <f t="shared" si="74"/>
        <v>0</v>
      </c>
      <c r="BL56" s="18">
        <f t="shared" si="75"/>
        <v>22</v>
      </c>
      <c r="BM56" s="16">
        <f t="shared" si="76"/>
        <v>124.30000000000001</v>
      </c>
      <c r="BN56" s="19">
        <v>0</v>
      </c>
      <c r="BO56" s="19">
        <v>0</v>
      </c>
      <c r="BP56" s="16">
        <f t="shared" si="77"/>
        <v>0</v>
      </c>
      <c r="BQ56" s="16">
        <f t="shared" si="78"/>
        <v>0</v>
      </c>
      <c r="BR56" s="18">
        <f t="shared" si="79"/>
        <v>22</v>
      </c>
      <c r="BS56" s="16">
        <f t="shared" si="80"/>
        <v>124.30000000000001</v>
      </c>
      <c r="BT56" s="19">
        <v>0</v>
      </c>
      <c r="BU56" s="19">
        <v>0</v>
      </c>
      <c r="BV56" s="16">
        <f t="shared" si="81"/>
        <v>0</v>
      </c>
      <c r="BW56" s="16">
        <f t="shared" si="82"/>
        <v>0</v>
      </c>
      <c r="BX56" s="18">
        <f t="shared" si="83"/>
        <v>22</v>
      </c>
      <c r="BY56" s="16">
        <f t="shared" si="84"/>
        <v>124.30000000000001</v>
      </c>
      <c r="BZ56" s="19">
        <v>0</v>
      </c>
      <c r="CA56" s="19">
        <v>0</v>
      </c>
      <c r="CB56" s="16">
        <f t="shared" si="85"/>
        <v>0</v>
      </c>
      <c r="CC56" s="16">
        <f t="shared" si="86"/>
        <v>0</v>
      </c>
      <c r="CD56" s="20">
        <f t="shared" si="91"/>
        <v>22</v>
      </c>
      <c r="CE56" s="21">
        <f t="shared" si="90"/>
        <v>124.30000000000001</v>
      </c>
    </row>
    <row r="57" spans="1:85" ht="18" customHeight="1" x14ac:dyDescent="0.25">
      <c r="A57" s="23"/>
      <c r="B57" s="70">
        <v>48</v>
      </c>
      <c r="C57" s="174" t="s">
        <v>99</v>
      </c>
      <c r="D57" s="13" t="s">
        <v>100</v>
      </c>
      <c r="E57" s="23">
        <v>5</v>
      </c>
      <c r="F57" s="23">
        <v>10</v>
      </c>
      <c r="G57" s="23">
        <v>15</v>
      </c>
      <c r="H57" s="17">
        <v>6</v>
      </c>
      <c r="I57" s="30">
        <v>2.09</v>
      </c>
      <c r="J57" s="17">
        <v>6</v>
      </c>
      <c r="K57" s="16">
        <f t="shared" si="0"/>
        <v>12.54</v>
      </c>
      <c r="L57" s="19">
        <v>0</v>
      </c>
      <c r="M57" s="19">
        <v>0</v>
      </c>
      <c r="N57" s="16">
        <f t="shared" si="55"/>
        <v>0</v>
      </c>
      <c r="O57" s="16">
        <f t="shared" si="56"/>
        <v>0</v>
      </c>
      <c r="P57" s="18">
        <f t="shared" si="57"/>
        <v>6</v>
      </c>
      <c r="Q57" s="16">
        <f t="shared" si="58"/>
        <v>12.54</v>
      </c>
      <c r="R57" s="19">
        <v>0</v>
      </c>
      <c r="S57" s="18">
        <v>0</v>
      </c>
      <c r="T57" s="16">
        <f t="shared" si="59"/>
        <v>0</v>
      </c>
      <c r="U57" s="16">
        <f t="shared" si="60"/>
        <v>0</v>
      </c>
      <c r="V57" s="18">
        <f t="shared" si="61"/>
        <v>6</v>
      </c>
      <c r="W57" s="16">
        <f t="shared" si="62"/>
        <v>12.54</v>
      </c>
      <c r="X57" s="19">
        <v>0</v>
      </c>
      <c r="Y57" s="19">
        <v>0</v>
      </c>
      <c r="Z57" s="16">
        <f t="shared" si="63"/>
        <v>0</v>
      </c>
      <c r="AA57" s="16">
        <f t="shared" si="64"/>
        <v>0</v>
      </c>
      <c r="AB57" s="18">
        <f t="shared" si="65"/>
        <v>6</v>
      </c>
      <c r="AC57" s="16">
        <f t="shared" si="66"/>
        <v>12.54</v>
      </c>
      <c r="AD57" s="19">
        <v>0</v>
      </c>
      <c r="AE57" s="19">
        <v>0</v>
      </c>
      <c r="AF57" s="16">
        <f t="shared" si="67"/>
        <v>0</v>
      </c>
      <c r="AG57" s="16">
        <f t="shared" si="68"/>
        <v>0</v>
      </c>
      <c r="AH57" s="18">
        <f t="shared" si="15"/>
        <v>6</v>
      </c>
      <c r="AI57" s="16">
        <f t="shared" si="16"/>
        <v>12.54</v>
      </c>
      <c r="AJ57" s="19">
        <v>0</v>
      </c>
      <c r="AK57" s="19">
        <v>0</v>
      </c>
      <c r="AL57" s="16">
        <f t="shared" si="45"/>
        <v>0</v>
      </c>
      <c r="AM57" s="16">
        <f t="shared" si="46"/>
        <v>0</v>
      </c>
      <c r="AN57" s="18">
        <f t="shared" si="47"/>
        <v>6</v>
      </c>
      <c r="AO57" s="16">
        <f t="shared" si="48"/>
        <v>12.54</v>
      </c>
      <c r="AP57" s="19">
        <v>0</v>
      </c>
      <c r="AQ57" s="19">
        <v>0</v>
      </c>
      <c r="AR57" s="16">
        <f t="shared" si="49"/>
        <v>0</v>
      </c>
      <c r="AS57" s="16">
        <f t="shared" si="50"/>
        <v>0</v>
      </c>
      <c r="AT57" s="18">
        <f t="shared" si="51"/>
        <v>6</v>
      </c>
      <c r="AU57" s="16">
        <f t="shared" si="52"/>
        <v>12.54</v>
      </c>
      <c r="AV57" s="19">
        <v>0</v>
      </c>
      <c r="AW57" s="19">
        <v>0</v>
      </c>
      <c r="AX57" s="16">
        <f t="shared" si="53"/>
        <v>0</v>
      </c>
      <c r="AY57" s="16">
        <f t="shared" si="54"/>
        <v>0</v>
      </c>
      <c r="AZ57" s="18">
        <f t="shared" si="69"/>
        <v>6</v>
      </c>
      <c r="BA57" s="16">
        <f t="shared" si="70"/>
        <v>12.54</v>
      </c>
      <c r="BB57" s="19">
        <v>0</v>
      </c>
      <c r="BC57" s="19">
        <v>0</v>
      </c>
      <c r="BD57" s="16">
        <f t="shared" si="89"/>
        <v>0</v>
      </c>
      <c r="BE57" s="16">
        <f t="shared" si="88"/>
        <v>0</v>
      </c>
      <c r="BF57" s="18">
        <f t="shared" si="71"/>
        <v>6</v>
      </c>
      <c r="BG57" s="16">
        <f t="shared" si="72"/>
        <v>12.54</v>
      </c>
      <c r="BH57" s="19">
        <v>0</v>
      </c>
      <c r="BI57" s="19">
        <v>0</v>
      </c>
      <c r="BJ57" s="16">
        <f t="shared" si="73"/>
        <v>0</v>
      </c>
      <c r="BK57" s="16">
        <f t="shared" si="74"/>
        <v>0</v>
      </c>
      <c r="BL57" s="18">
        <f t="shared" si="75"/>
        <v>6</v>
      </c>
      <c r="BM57" s="16">
        <f t="shared" si="76"/>
        <v>12.54</v>
      </c>
      <c r="BN57" s="19">
        <v>0</v>
      </c>
      <c r="BO57" s="19">
        <v>0</v>
      </c>
      <c r="BP57" s="16">
        <f t="shared" si="77"/>
        <v>0</v>
      </c>
      <c r="BQ57" s="16">
        <f t="shared" si="78"/>
        <v>0</v>
      </c>
      <c r="BR57" s="18">
        <f t="shared" si="79"/>
        <v>6</v>
      </c>
      <c r="BS57" s="16">
        <f t="shared" si="80"/>
        <v>12.54</v>
      </c>
      <c r="BT57" s="19">
        <v>0</v>
      </c>
      <c r="BU57" s="19">
        <v>0</v>
      </c>
      <c r="BV57" s="16">
        <f t="shared" si="81"/>
        <v>0</v>
      </c>
      <c r="BW57" s="16">
        <f t="shared" si="82"/>
        <v>0</v>
      </c>
      <c r="BX57" s="18">
        <f t="shared" si="83"/>
        <v>6</v>
      </c>
      <c r="BY57" s="16">
        <f t="shared" si="84"/>
        <v>12.54</v>
      </c>
      <c r="BZ57" s="19">
        <v>0</v>
      </c>
      <c r="CA57" s="19">
        <v>0</v>
      </c>
      <c r="CB57" s="16">
        <f t="shared" si="85"/>
        <v>0</v>
      </c>
      <c r="CC57" s="16">
        <f t="shared" si="86"/>
        <v>0</v>
      </c>
      <c r="CD57" s="20">
        <f t="shared" si="91"/>
        <v>6</v>
      </c>
      <c r="CE57" s="21">
        <f t="shared" si="90"/>
        <v>12.54</v>
      </c>
      <c r="CG57" s="1" t="s">
        <v>455</v>
      </c>
    </row>
    <row r="58" spans="1:85" ht="18" customHeight="1" x14ac:dyDescent="0.25">
      <c r="A58" s="23"/>
      <c r="B58" s="70"/>
      <c r="C58" s="175"/>
      <c r="D58" s="13" t="s">
        <v>429</v>
      </c>
      <c r="E58" s="22"/>
      <c r="F58" s="22"/>
      <c r="G58" s="22"/>
      <c r="H58" s="17"/>
      <c r="I58" s="30">
        <v>1.8</v>
      </c>
      <c r="J58" s="17"/>
      <c r="K58" s="16"/>
      <c r="L58" s="19"/>
      <c r="M58" s="19"/>
      <c r="N58" s="16"/>
      <c r="O58" s="16"/>
      <c r="P58" s="18"/>
      <c r="Q58" s="16"/>
      <c r="R58" s="19"/>
      <c r="S58" s="18"/>
      <c r="T58" s="16"/>
      <c r="U58" s="16"/>
      <c r="V58" s="18"/>
      <c r="W58" s="16"/>
      <c r="X58" s="19"/>
      <c r="Y58" s="19"/>
      <c r="Z58" s="16"/>
      <c r="AA58" s="16"/>
      <c r="AB58" s="18">
        <v>0</v>
      </c>
      <c r="AC58" s="16">
        <v>0</v>
      </c>
      <c r="AD58" s="19">
        <v>0</v>
      </c>
      <c r="AE58" s="19">
        <v>0</v>
      </c>
      <c r="AF58" s="16">
        <f t="shared" si="67"/>
        <v>0</v>
      </c>
      <c r="AG58" s="16">
        <f t="shared" si="68"/>
        <v>0</v>
      </c>
      <c r="AH58" s="18">
        <f t="shared" si="15"/>
        <v>0</v>
      </c>
      <c r="AI58" s="16">
        <f t="shared" si="16"/>
        <v>0</v>
      </c>
      <c r="AJ58" s="19">
        <v>0</v>
      </c>
      <c r="AK58" s="19">
        <v>0</v>
      </c>
      <c r="AL58" s="16">
        <f t="shared" si="45"/>
        <v>0</v>
      </c>
      <c r="AM58" s="16">
        <f t="shared" si="46"/>
        <v>0</v>
      </c>
      <c r="AN58" s="18">
        <f t="shared" si="47"/>
        <v>0</v>
      </c>
      <c r="AO58" s="16">
        <f t="shared" si="48"/>
        <v>0</v>
      </c>
      <c r="AP58" s="19">
        <v>0</v>
      </c>
      <c r="AQ58" s="19">
        <v>10</v>
      </c>
      <c r="AR58" s="16">
        <f t="shared" si="49"/>
        <v>18</v>
      </c>
      <c r="AS58" s="16">
        <f t="shared" si="50"/>
        <v>0</v>
      </c>
      <c r="AT58" s="18">
        <f t="shared" si="51"/>
        <v>10</v>
      </c>
      <c r="AU58" s="16">
        <f t="shared" si="52"/>
        <v>18</v>
      </c>
      <c r="AV58" s="19">
        <v>0</v>
      </c>
      <c r="AW58" s="19">
        <v>0</v>
      </c>
      <c r="AX58" s="16">
        <f t="shared" si="53"/>
        <v>0</v>
      </c>
      <c r="AY58" s="16">
        <f t="shared" si="54"/>
        <v>0</v>
      </c>
      <c r="AZ58" s="18">
        <f t="shared" si="69"/>
        <v>10</v>
      </c>
      <c r="BA58" s="16"/>
      <c r="BB58" s="19">
        <v>0</v>
      </c>
      <c r="BC58" s="19">
        <v>0</v>
      </c>
      <c r="BD58" s="16">
        <f t="shared" si="89"/>
        <v>0</v>
      </c>
      <c r="BE58" s="16">
        <f t="shared" si="88"/>
        <v>0</v>
      </c>
      <c r="BF58" s="18">
        <f t="shared" si="71"/>
        <v>10</v>
      </c>
      <c r="BG58" s="16">
        <f t="shared" si="72"/>
        <v>18</v>
      </c>
      <c r="BH58" s="19">
        <v>0</v>
      </c>
      <c r="BI58" s="19">
        <v>0</v>
      </c>
      <c r="BJ58" s="16"/>
      <c r="BK58" s="16"/>
      <c r="BL58" s="18"/>
      <c r="BM58" s="16"/>
      <c r="BN58" s="19"/>
      <c r="BO58" s="19"/>
      <c r="BP58" s="16"/>
      <c r="BQ58" s="16"/>
      <c r="BR58" s="18"/>
      <c r="BS58" s="16"/>
      <c r="BT58" s="19"/>
      <c r="BU58" s="19"/>
      <c r="BV58" s="16"/>
      <c r="BW58" s="16"/>
      <c r="BX58" s="18"/>
      <c r="BY58" s="16"/>
      <c r="BZ58" s="19"/>
      <c r="CA58" s="19"/>
      <c r="CB58" s="16"/>
      <c r="CC58" s="16"/>
      <c r="CD58" s="20"/>
      <c r="CE58" s="21"/>
    </row>
    <row r="59" spans="1:85" x14ac:dyDescent="0.25">
      <c r="A59" s="23"/>
      <c r="B59" s="70">
        <v>49</v>
      </c>
      <c r="C59" s="174" t="s">
        <v>101</v>
      </c>
      <c r="D59" s="13" t="s">
        <v>102</v>
      </c>
      <c r="E59" s="22">
        <v>5</v>
      </c>
      <c r="F59" s="22">
        <v>10</v>
      </c>
      <c r="G59" s="22">
        <v>15</v>
      </c>
      <c r="H59" s="17">
        <v>2</v>
      </c>
      <c r="I59" s="30">
        <v>1.65</v>
      </c>
      <c r="J59" s="17">
        <v>2</v>
      </c>
      <c r="K59" s="16">
        <f t="shared" si="0"/>
        <v>3.3</v>
      </c>
      <c r="L59" s="19">
        <v>2</v>
      </c>
      <c r="M59" s="19">
        <v>0</v>
      </c>
      <c r="N59" s="16">
        <f t="shared" si="55"/>
        <v>0</v>
      </c>
      <c r="O59" s="16">
        <f t="shared" si="56"/>
        <v>3.3</v>
      </c>
      <c r="P59" s="18">
        <f t="shared" si="57"/>
        <v>0</v>
      </c>
      <c r="Q59" s="16">
        <f t="shared" si="58"/>
        <v>0</v>
      </c>
      <c r="R59" s="19">
        <v>0</v>
      </c>
      <c r="S59" s="18">
        <v>0</v>
      </c>
      <c r="T59" s="16">
        <f t="shared" si="59"/>
        <v>0</v>
      </c>
      <c r="U59" s="16">
        <f t="shared" si="60"/>
        <v>0</v>
      </c>
      <c r="V59" s="18">
        <f t="shared" si="61"/>
        <v>0</v>
      </c>
      <c r="W59" s="16">
        <f t="shared" si="62"/>
        <v>0</v>
      </c>
      <c r="X59" s="19">
        <v>0</v>
      </c>
      <c r="Y59" s="19">
        <v>0</v>
      </c>
      <c r="Z59" s="16">
        <f t="shared" si="63"/>
        <v>0</v>
      </c>
      <c r="AA59" s="16">
        <f t="shared" si="64"/>
        <v>0</v>
      </c>
      <c r="AB59" s="18">
        <f t="shared" si="65"/>
        <v>0</v>
      </c>
      <c r="AC59" s="16">
        <f t="shared" si="66"/>
        <v>0</v>
      </c>
      <c r="AD59" s="19">
        <v>0</v>
      </c>
      <c r="AE59" s="19">
        <v>0</v>
      </c>
      <c r="AF59" s="16">
        <f t="shared" si="67"/>
        <v>0</v>
      </c>
      <c r="AG59" s="16">
        <f t="shared" si="68"/>
        <v>0</v>
      </c>
      <c r="AH59" s="18">
        <f t="shared" si="15"/>
        <v>0</v>
      </c>
      <c r="AI59" s="16">
        <f t="shared" si="16"/>
        <v>0</v>
      </c>
      <c r="AJ59" s="19">
        <v>0</v>
      </c>
      <c r="AK59" s="19">
        <v>0</v>
      </c>
      <c r="AL59" s="16">
        <f t="shared" si="45"/>
        <v>0</v>
      </c>
      <c r="AM59" s="16">
        <f t="shared" si="46"/>
        <v>0</v>
      </c>
      <c r="AN59" s="18">
        <f t="shared" si="47"/>
        <v>0</v>
      </c>
      <c r="AO59" s="16">
        <f t="shared" si="48"/>
        <v>0</v>
      </c>
      <c r="AP59" s="19">
        <v>0</v>
      </c>
      <c r="AQ59" s="19">
        <v>0</v>
      </c>
      <c r="AR59" s="16">
        <f t="shared" si="49"/>
        <v>0</v>
      </c>
      <c r="AS59" s="16">
        <f t="shared" si="50"/>
        <v>0</v>
      </c>
      <c r="AT59" s="18">
        <f t="shared" si="51"/>
        <v>0</v>
      </c>
      <c r="AU59" s="16">
        <f t="shared" si="52"/>
        <v>0</v>
      </c>
      <c r="AV59" s="19">
        <v>0</v>
      </c>
      <c r="AW59" s="19">
        <v>0</v>
      </c>
      <c r="AX59" s="16">
        <f t="shared" si="53"/>
        <v>0</v>
      </c>
      <c r="AY59" s="16">
        <f t="shared" si="54"/>
        <v>0</v>
      </c>
      <c r="AZ59" s="18">
        <f t="shared" si="69"/>
        <v>0</v>
      </c>
      <c r="BA59" s="16">
        <f t="shared" si="70"/>
        <v>0</v>
      </c>
      <c r="BB59" s="19">
        <v>0</v>
      </c>
      <c r="BC59" s="19">
        <v>0</v>
      </c>
      <c r="BD59" s="16">
        <f t="shared" si="89"/>
        <v>0</v>
      </c>
      <c r="BE59" s="16">
        <f t="shared" si="88"/>
        <v>0</v>
      </c>
      <c r="BF59" s="18">
        <f t="shared" si="71"/>
        <v>0</v>
      </c>
      <c r="BG59" s="16">
        <f t="shared" si="72"/>
        <v>0</v>
      </c>
      <c r="BH59" s="19">
        <v>0</v>
      </c>
      <c r="BI59" s="19">
        <v>0</v>
      </c>
      <c r="BJ59" s="16">
        <f t="shared" si="73"/>
        <v>0</v>
      </c>
      <c r="BK59" s="16">
        <f t="shared" si="74"/>
        <v>0</v>
      </c>
      <c r="BL59" s="18">
        <f t="shared" si="75"/>
        <v>0</v>
      </c>
      <c r="BM59" s="16">
        <f t="shared" si="76"/>
        <v>0</v>
      </c>
      <c r="BN59" s="19">
        <v>0</v>
      </c>
      <c r="BO59" s="19">
        <v>0</v>
      </c>
      <c r="BP59" s="16">
        <f t="shared" si="77"/>
        <v>0</v>
      </c>
      <c r="BQ59" s="16">
        <f t="shared" si="78"/>
        <v>0</v>
      </c>
      <c r="BR59" s="18">
        <f t="shared" si="79"/>
        <v>0</v>
      </c>
      <c r="BS59" s="16">
        <f t="shared" si="80"/>
        <v>0</v>
      </c>
      <c r="BT59" s="19">
        <v>0</v>
      </c>
      <c r="BU59" s="19">
        <v>0</v>
      </c>
      <c r="BV59" s="16">
        <f t="shared" si="81"/>
        <v>0</v>
      </c>
      <c r="BW59" s="16">
        <f t="shared" si="82"/>
        <v>0</v>
      </c>
      <c r="BX59" s="18">
        <f t="shared" si="83"/>
        <v>0</v>
      </c>
      <c r="BY59" s="16">
        <f t="shared" si="84"/>
        <v>0</v>
      </c>
      <c r="BZ59" s="19">
        <v>0</v>
      </c>
      <c r="CA59" s="19">
        <v>0</v>
      </c>
      <c r="CB59" s="16">
        <f t="shared" si="85"/>
        <v>0</v>
      </c>
      <c r="CC59" s="16">
        <f t="shared" si="86"/>
        <v>0</v>
      </c>
      <c r="CD59" s="20">
        <f t="shared" si="91"/>
        <v>0</v>
      </c>
      <c r="CE59" s="21">
        <f t="shared" si="90"/>
        <v>0</v>
      </c>
    </row>
    <row r="60" spans="1:85" x14ac:dyDescent="0.25">
      <c r="A60" s="23"/>
      <c r="B60" s="70">
        <v>50</v>
      </c>
      <c r="C60" s="181"/>
      <c r="D60" s="13" t="s">
        <v>316</v>
      </c>
      <c r="E60" s="22"/>
      <c r="F60" s="22"/>
      <c r="G60" s="22"/>
      <c r="H60" s="17">
        <v>12</v>
      </c>
      <c r="I60" s="30">
        <v>2.2000000000000002</v>
      </c>
      <c r="J60" s="17">
        <v>12</v>
      </c>
      <c r="K60" s="16">
        <f t="shared" si="0"/>
        <v>26.400000000000002</v>
      </c>
      <c r="L60" s="19">
        <v>1</v>
      </c>
      <c r="M60" s="19">
        <v>0</v>
      </c>
      <c r="N60" s="16">
        <f t="shared" si="55"/>
        <v>0</v>
      </c>
      <c r="O60" s="16">
        <f t="shared" si="56"/>
        <v>2.2000000000000002</v>
      </c>
      <c r="P60" s="18">
        <f t="shared" si="57"/>
        <v>11</v>
      </c>
      <c r="Q60" s="16">
        <f t="shared" si="58"/>
        <v>24.200000000000003</v>
      </c>
      <c r="R60" s="19">
        <v>2</v>
      </c>
      <c r="S60" s="18">
        <v>0</v>
      </c>
      <c r="T60" s="16">
        <f t="shared" si="59"/>
        <v>0</v>
      </c>
      <c r="U60" s="16">
        <f t="shared" si="60"/>
        <v>4.4000000000000004</v>
      </c>
      <c r="V60" s="18">
        <f t="shared" si="61"/>
        <v>9</v>
      </c>
      <c r="W60" s="16">
        <f t="shared" si="62"/>
        <v>19.8</v>
      </c>
      <c r="X60" s="19">
        <v>1</v>
      </c>
      <c r="Y60" s="19">
        <v>0</v>
      </c>
      <c r="Z60" s="16">
        <f t="shared" si="63"/>
        <v>0</v>
      </c>
      <c r="AA60" s="16">
        <f t="shared" si="64"/>
        <v>2.2000000000000002</v>
      </c>
      <c r="AB60" s="18">
        <f t="shared" si="65"/>
        <v>8</v>
      </c>
      <c r="AC60" s="16">
        <f t="shared" si="66"/>
        <v>17.600000000000001</v>
      </c>
      <c r="AD60" s="19">
        <v>3</v>
      </c>
      <c r="AE60" s="19">
        <v>0</v>
      </c>
      <c r="AF60" s="16">
        <f t="shared" si="67"/>
        <v>0</v>
      </c>
      <c r="AG60" s="16">
        <f t="shared" si="68"/>
        <v>6.6000000000000005</v>
      </c>
      <c r="AH60" s="18">
        <f t="shared" si="15"/>
        <v>5</v>
      </c>
      <c r="AI60" s="16">
        <f t="shared" si="16"/>
        <v>11</v>
      </c>
      <c r="AJ60" s="19">
        <v>0</v>
      </c>
      <c r="AK60" s="19">
        <v>0</v>
      </c>
      <c r="AL60" s="16">
        <f t="shared" si="45"/>
        <v>0</v>
      </c>
      <c r="AM60" s="16">
        <f t="shared" si="46"/>
        <v>0</v>
      </c>
      <c r="AN60" s="18">
        <f t="shared" si="47"/>
        <v>5</v>
      </c>
      <c r="AO60" s="16">
        <f t="shared" si="48"/>
        <v>11</v>
      </c>
      <c r="AP60" s="19">
        <v>2</v>
      </c>
      <c r="AQ60" s="19">
        <v>0</v>
      </c>
      <c r="AR60" s="16">
        <f t="shared" si="49"/>
        <v>0</v>
      </c>
      <c r="AS60" s="16">
        <f t="shared" si="50"/>
        <v>4.4000000000000004</v>
      </c>
      <c r="AT60" s="18">
        <f t="shared" si="51"/>
        <v>3</v>
      </c>
      <c r="AU60" s="16">
        <f t="shared" si="52"/>
        <v>6.6000000000000005</v>
      </c>
      <c r="AV60" s="19">
        <v>2</v>
      </c>
      <c r="AW60" s="19">
        <v>0</v>
      </c>
      <c r="AX60" s="16">
        <f t="shared" si="53"/>
        <v>0</v>
      </c>
      <c r="AY60" s="16">
        <f t="shared" si="54"/>
        <v>4.4000000000000004</v>
      </c>
      <c r="AZ60" s="18">
        <f t="shared" si="69"/>
        <v>1</v>
      </c>
      <c r="BA60" s="16">
        <f t="shared" si="70"/>
        <v>2.2000000000000002</v>
      </c>
      <c r="BB60" s="19">
        <v>1</v>
      </c>
      <c r="BC60" s="19">
        <v>0</v>
      </c>
      <c r="BD60" s="16">
        <f t="shared" si="89"/>
        <v>0</v>
      </c>
      <c r="BE60" s="16">
        <f t="shared" si="88"/>
        <v>2.2000000000000002</v>
      </c>
      <c r="BF60" s="18">
        <f t="shared" si="71"/>
        <v>0</v>
      </c>
      <c r="BG60" s="16">
        <f t="shared" si="72"/>
        <v>0</v>
      </c>
      <c r="BH60" s="19">
        <v>0</v>
      </c>
      <c r="BI60" s="19">
        <v>0</v>
      </c>
      <c r="BJ60" s="16">
        <f t="shared" si="73"/>
        <v>0</v>
      </c>
      <c r="BK60" s="16">
        <f t="shared" si="74"/>
        <v>0</v>
      </c>
      <c r="BL60" s="18">
        <f t="shared" si="75"/>
        <v>0</v>
      </c>
      <c r="BM60" s="16">
        <f t="shared" si="76"/>
        <v>0</v>
      </c>
      <c r="BN60" s="19">
        <v>0</v>
      </c>
      <c r="BO60" s="19">
        <v>0</v>
      </c>
      <c r="BP60" s="16">
        <f t="shared" si="77"/>
        <v>0</v>
      </c>
      <c r="BQ60" s="16">
        <f t="shared" si="78"/>
        <v>0</v>
      </c>
      <c r="BR60" s="18">
        <f t="shared" si="79"/>
        <v>0</v>
      </c>
      <c r="BS60" s="16">
        <f t="shared" si="80"/>
        <v>0</v>
      </c>
      <c r="BT60" s="19">
        <v>0</v>
      </c>
      <c r="BU60" s="19">
        <v>0</v>
      </c>
      <c r="BV60" s="16">
        <f t="shared" si="81"/>
        <v>0</v>
      </c>
      <c r="BW60" s="16">
        <f t="shared" si="82"/>
        <v>0</v>
      </c>
      <c r="BX60" s="18">
        <f t="shared" si="83"/>
        <v>0</v>
      </c>
      <c r="BY60" s="16">
        <f t="shared" si="84"/>
        <v>0</v>
      </c>
      <c r="BZ60" s="19">
        <v>0</v>
      </c>
      <c r="CA60" s="19">
        <v>0</v>
      </c>
      <c r="CB60" s="16">
        <f t="shared" si="85"/>
        <v>0</v>
      </c>
      <c r="CC60" s="16">
        <f t="shared" si="86"/>
        <v>0</v>
      </c>
      <c r="CD60" s="20">
        <f t="shared" si="91"/>
        <v>0</v>
      </c>
      <c r="CE60" s="21">
        <f t="shared" si="90"/>
        <v>0</v>
      </c>
    </row>
    <row r="61" spans="1:85" x14ac:dyDescent="0.25">
      <c r="A61" s="23"/>
      <c r="B61" s="70"/>
      <c r="C61" s="175"/>
      <c r="D61" s="13" t="s">
        <v>316</v>
      </c>
      <c r="E61" s="22"/>
      <c r="F61" s="22"/>
      <c r="G61" s="22"/>
      <c r="H61" s="17"/>
      <c r="I61" s="30">
        <v>1.45</v>
      </c>
      <c r="J61" s="17"/>
      <c r="K61" s="16"/>
      <c r="L61" s="19"/>
      <c r="M61" s="19"/>
      <c r="N61" s="16"/>
      <c r="O61" s="16"/>
      <c r="P61" s="18"/>
      <c r="Q61" s="16"/>
      <c r="R61" s="19"/>
      <c r="S61" s="18"/>
      <c r="T61" s="16"/>
      <c r="U61" s="16"/>
      <c r="V61" s="18"/>
      <c r="W61" s="16"/>
      <c r="X61" s="19"/>
      <c r="Y61" s="19"/>
      <c r="Z61" s="16"/>
      <c r="AA61" s="16"/>
      <c r="AB61" s="18">
        <v>0</v>
      </c>
      <c r="AC61" s="16">
        <v>0</v>
      </c>
      <c r="AD61" s="19">
        <v>0</v>
      </c>
      <c r="AE61" s="19">
        <v>0</v>
      </c>
      <c r="AF61" s="16">
        <v>0</v>
      </c>
      <c r="AG61" s="16">
        <f t="shared" si="68"/>
        <v>0</v>
      </c>
      <c r="AH61" s="18">
        <f t="shared" si="15"/>
        <v>0</v>
      </c>
      <c r="AI61" s="16">
        <f t="shared" si="16"/>
        <v>0</v>
      </c>
      <c r="AJ61" s="19">
        <v>0</v>
      </c>
      <c r="AK61" s="19">
        <v>0</v>
      </c>
      <c r="AL61" s="16">
        <f t="shared" si="45"/>
        <v>0</v>
      </c>
      <c r="AM61" s="16">
        <f t="shared" si="46"/>
        <v>0</v>
      </c>
      <c r="AN61" s="18">
        <f t="shared" si="47"/>
        <v>0</v>
      </c>
      <c r="AO61" s="16">
        <f t="shared" si="48"/>
        <v>0</v>
      </c>
      <c r="AP61" s="19">
        <v>0</v>
      </c>
      <c r="AQ61" s="19">
        <v>22</v>
      </c>
      <c r="AR61" s="16">
        <f t="shared" si="49"/>
        <v>31.9</v>
      </c>
      <c r="AS61" s="16">
        <f t="shared" si="50"/>
        <v>0</v>
      </c>
      <c r="AT61" s="18">
        <f t="shared" si="51"/>
        <v>22</v>
      </c>
      <c r="AU61" s="16">
        <f t="shared" si="52"/>
        <v>31.9</v>
      </c>
      <c r="AV61" s="19">
        <v>0</v>
      </c>
      <c r="AW61" s="19">
        <v>0</v>
      </c>
      <c r="AX61" s="16">
        <f t="shared" si="53"/>
        <v>0</v>
      </c>
      <c r="AY61" s="16">
        <f t="shared" si="54"/>
        <v>0</v>
      </c>
      <c r="AZ61" s="18">
        <f t="shared" si="69"/>
        <v>22</v>
      </c>
      <c r="BA61" s="16"/>
      <c r="BB61" s="19">
        <v>1</v>
      </c>
      <c r="BC61" s="19">
        <v>0</v>
      </c>
      <c r="BD61" s="16"/>
      <c r="BE61" s="16"/>
      <c r="BF61" s="18">
        <f t="shared" si="71"/>
        <v>21</v>
      </c>
      <c r="BG61" s="16"/>
      <c r="BH61" s="19">
        <v>0</v>
      </c>
      <c r="BI61" s="19">
        <v>0</v>
      </c>
      <c r="BJ61" s="16"/>
      <c r="BK61" s="16"/>
      <c r="BL61" s="18"/>
      <c r="BM61" s="16"/>
      <c r="BN61" s="19"/>
      <c r="BO61" s="19"/>
      <c r="BP61" s="16"/>
      <c r="BQ61" s="16"/>
      <c r="BR61" s="18"/>
      <c r="BS61" s="16"/>
      <c r="BT61" s="19"/>
      <c r="BU61" s="19"/>
      <c r="BV61" s="16"/>
      <c r="BW61" s="16"/>
      <c r="BX61" s="18"/>
      <c r="BY61" s="16"/>
      <c r="BZ61" s="19"/>
      <c r="CA61" s="19"/>
      <c r="CB61" s="16"/>
      <c r="CC61" s="16"/>
      <c r="CD61" s="20"/>
      <c r="CE61" s="21"/>
    </row>
    <row r="62" spans="1:85" x14ac:dyDescent="0.25">
      <c r="A62" s="23">
        <v>34</v>
      </c>
      <c r="B62" s="70">
        <v>51</v>
      </c>
      <c r="C62" s="79" t="s">
        <v>103</v>
      </c>
      <c r="D62" s="13" t="s">
        <v>104</v>
      </c>
      <c r="E62" s="31"/>
      <c r="F62" s="31"/>
      <c r="G62" s="31"/>
      <c r="H62" s="17">
        <v>3</v>
      </c>
      <c r="I62" s="30">
        <v>2.7</v>
      </c>
      <c r="J62" s="17">
        <v>3</v>
      </c>
      <c r="K62" s="16">
        <f t="shared" si="0"/>
        <v>8.1000000000000014</v>
      </c>
      <c r="L62" s="19">
        <v>0</v>
      </c>
      <c r="M62" s="19">
        <v>0</v>
      </c>
      <c r="N62" s="16">
        <f t="shared" si="55"/>
        <v>0</v>
      </c>
      <c r="O62" s="16">
        <f t="shared" si="56"/>
        <v>0</v>
      </c>
      <c r="P62" s="18">
        <f t="shared" si="57"/>
        <v>3</v>
      </c>
      <c r="Q62" s="16">
        <f t="shared" si="58"/>
        <v>8.1000000000000014</v>
      </c>
      <c r="R62" s="19">
        <v>0</v>
      </c>
      <c r="S62" s="18">
        <v>0</v>
      </c>
      <c r="T62" s="16">
        <f t="shared" si="59"/>
        <v>0</v>
      </c>
      <c r="U62" s="16">
        <f t="shared" si="60"/>
        <v>0</v>
      </c>
      <c r="V62" s="18">
        <f t="shared" si="61"/>
        <v>3</v>
      </c>
      <c r="W62" s="16">
        <f t="shared" si="62"/>
        <v>8.1000000000000014</v>
      </c>
      <c r="X62" s="19">
        <v>2</v>
      </c>
      <c r="Y62" s="19">
        <v>0</v>
      </c>
      <c r="Z62" s="16">
        <f t="shared" si="63"/>
        <v>0</v>
      </c>
      <c r="AA62" s="16">
        <f t="shared" si="64"/>
        <v>5.4</v>
      </c>
      <c r="AB62" s="18">
        <f t="shared" si="65"/>
        <v>1</v>
      </c>
      <c r="AC62" s="16">
        <f t="shared" si="66"/>
        <v>2.7</v>
      </c>
      <c r="AD62" s="19">
        <v>0</v>
      </c>
      <c r="AE62" s="19">
        <v>0</v>
      </c>
      <c r="AF62" s="16">
        <f t="shared" si="67"/>
        <v>0</v>
      </c>
      <c r="AG62" s="16">
        <f t="shared" si="68"/>
        <v>0</v>
      </c>
      <c r="AH62" s="18">
        <f t="shared" si="15"/>
        <v>1</v>
      </c>
      <c r="AI62" s="16">
        <f t="shared" si="16"/>
        <v>2.7</v>
      </c>
      <c r="AJ62" s="19">
        <v>0</v>
      </c>
      <c r="AK62" s="19">
        <v>0</v>
      </c>
      <c r="AL62" s="16">
        <f t="shared" si="45"/>
        <v>0</v>
      </c>
      <c r="AM62" s="16">
        <f t="shared" si="46"/>
        <v>0</v>
      </c>
      <c r="AN62" s="18">
        <f t="shared" si="47"/>
        <v>1</v>
      </c>
      <c r="AO62" s="16">
        <f t="shared" si="48"/>
        <v>2.7</v>
      </c>
      <c r="AP62" s="19">
        <v>0</v>
      </c>
      <c r="AQ62" s="19">
        <v>0</v>
      </c>
      <c r="AR62" s="16">
        <f t="shared" si="49"/>
        <v>0</v>
      </c>
      <c r="AS62" s="16">
        <f t="shared" si="50"/>
        <v>0</v>
      </c>
      <c r="AT62" s="18">
        <f t="shared" si="51"/>
        <v>1</v>
      </c>
      <c r="AU62" s="16">
        <f t="shared" si="52"/>
        <v>2.7</v>
      </c>
      <c r="AV62" s="19">
        <v>0</v>
      </c>
      <c r="AW62" s="19">
        <v>0</v>
      </c>
      <c r="AX62" s="16">
        <f t="shared" si="53"/>
        <v>0</v>
      </c>
      <c r="AY62" s="16">
        <f t="shared" si="54"/>
        <v>0</v>
      </c>
      <c r="AZ62" s="18">
        <f t="shared" si="69"/>
        <v>1</v>
      </c>
      <c r="BA62" s="16">
        <f t="shared" si="70"/>
        <v>2.7</v>
      </c>
      <c r="BB62" s="19">
        <v>0</v>
      </c>
      <c r="BC62" s="19">
        <v>0</v>
      </c>
      <c r="BD62" s="16">
        <f t="shared" si="89"/>
        <v>0</v>
      </c>
      <c r="BE62" s="16">
        <f t="shared" si="88"/>
        <v>0</v>
      </c>
      <c r="BF62" s="18">
        <f t="shared" si="71"/>
        <v>1</v>
      </c>
      <c r="BG62" s="16">
        <f t="shared" si="72"/>
        <v>2.7</v>
      </c>
      <c r="BH62" s="19">
        <v>0</v>
      </c>
      <c r="BI62" s="19">
        <v>0</v>
      </c>
      <c r="BJ62" s="16">
        <f t="shared" si="73"/>
        <v>0</v>
      </c>
      <c r="BK62" s="16">
        <f t="shared" si="74"/>
        <v>0</v>
      </c>
      <c r="BL62" s="18">
        <f t="shared" si="75"/>
        <v>1</v>
      </c>
      <c r="BM62" s="16">
        <f t="shared" si="76"/>
        <v>2.7</v>
      </c>
      <c r="BN62" s="19">
        <v>0</v>
      </c>
      <c r="BO62" s="19">
        <v>0</v>
      </c>
      <c r="BP62" s="16">
        <f t="shared" si="77"/>
        <v>0</v>
      </c>
      <c r="BQ62" s="16">
        <f t="shared" si="78"/>
        <v>0</v>
      </c>
      <c r="BR62" s="18">
        <f t="shared" si="79"/>
        <v>1</v>
      </c>
      <c r="BS62" s="16">
        <f t="shared" si="80"/>
        <v>2.7</v>
      </c>
      <c r="BT62" s="19">
        <v>0</v>
      </c>
      <c r="BU62" s="19">
        <v>0</v>
      </c>
      <c r="BV62" s="16">
        <f t="shared" si="81"/>
        <v>0</v>
      </c>
      <c r="BW62" s="16">
        <f t="shared" si="82"/>
        <v>0</v>
      </c>
      <c r="BX62" s="18">
        <f t="shared" si="83"/>
        <v>1</v>
      </c>
      <c r="BY62" s="16">
        <f t="shared" si="84"/>
        <v>2.7</v>
      </c>
      <c r="BZ62" s="19">
        <v>0</v>
      </c>
      <c r="CA62" s="19">
        <v>0</v>
      </c>
      <c r="CB62" s="16">
        <f t="shared" si="85"/>
        <v>0</v>
      </c>
      <c r="CC62" s="16">
        <f t="shared" si="86"/>
        <v>0</v>
      </c>
      <c r="CD62" s="20">
        <f t="shared" si="91"/>
        <v>1</v>
      </c>
      <c r="CE62" s="21">
        <f t="shared" si="90"/>
        <v>2.7</v>
      </c>
    </row>
    <row r="63" spans="1:85" ht="16.5" customHeight="1" x14ac:dyDescent="0.25">
      <c r="A63" s="23"/>
      <c r="B63" s="70">
        <v>52</v>
      </c>
      <c r="C63" s="79" t="s">
        <v>105</v>
      </c>
      <c r="D63" s="13" t="s">
        <v>106</v>
      </c>
      <c r="E63" s="12">
        <v>5</v>
      </c>
      <c r="F63" s="12">
        <v>10</v>
      </c>
      <c r="G63" s="12">
        <v>20</v>
      </c>
      <c r="H63" s="17">
        <v>12</v>
      </c>
      <c r="I63" s="30">
        <v>0.87</v>
      </c>
      <c r="J63" s="17">
        <v>12</v>
      </c>
      <c r="K63" s="16">
        <f t="shared" si="0"/>
        <v>10.44</v>
      </c>
      <c r="L63" s="19">
        <v>1</v>
      </c>
      <c r="M63" s="19">
        <v>0</v>
      </c>
      <c r="N63" s="16">
        <f t="shared" si="55"/>
        <v>0</v>
      </c>
      <c r="O63" s="16">
        <f t="shared" si="56"/>
        <v>0.87</v>
      </c>
      <c r="P63" s="18">
        <f t="shared" si="57"/>
        <v>11</v>
      </c>
      <c r="Q63" s="16">
        <f t="shared" si="58"/>
        <v>9.57</v>
      </c>
      <c r="R63" s="19">
        <v>0</v>
      </c>
      <c r="S63" s="18">
        <v>0</v>
      </c>
      <c r="T63" s="16">
        <f t="shared" si="59"/>
        <v>0</v>
      </c>
      <c r="U63" s="16">
        <f t="shared" si="60"/>
        <v>0</v>
      </c>
      <c r="V63" s="18">
        <f t="shared" si="61"/>
        <v>11</v>
      </c>
      <c r="W63" s="16">
        <f t="shared" si="62"/>
        <v>9.57</v>
      </c>
      <c r="X63" s="19">
        <v>0</v>
      </c>
      <c r="Y63" s="19">
        <v>0</v>
      </c>
      <c r="Z63" s="16">
        <f t="shared" si="63"/>
        <v>0</v>
      </c>
      <c r="AA63" s="16">
        <f t="shared" si="64"/>
        <v>0</v>
      </c>
      <c r="AB63" s="18">
        <f t="shared" si="65"/>
        <v>11</v>
      </c>
      <c r="AC63" s="16">
        <f t="shared" si="66"/>
        <v>9.57</v>
      </c>
      <c r="AD63" s="19">
        <v>0</v>
      </c>
      <c r="AE63" s="19">
        <v>0</v>
      </c>
      <c r="AF63" s="16">
        <f t="shared" si="67"/>
        <v>0</v>
      </c>
      <c r="AG63" s="16">
        <f t="shared" si="68"/>
        <v>0</v>
      </c>
      <c r="AH63" s="18">
        <f t="shared" si="15"/>
        <v>11</v>
      </c>
      <c r="AI63" s="16">
        <f t="shared" si="16"/>
        <v>9.57</v>
      </c>
      <c r="AJ63" s="19">
        <v>0</v>
      </c>
      <c r="AK63" s="19">
        <v>0</v>
      </c>
      <c r="AL63" s="16">
        <f t="shared" si="45"/>
        <v>0</v>
      </c>
      <c r="AM63" s="16">
        <f t="shared" si="46"/>
        <v>0</v>
      </c>
      <c r="AN63" s="18">
        <f t="shared" si="47"/>
        <v>11</v>
      </c>
      <c r="AO63" s="16">
        <f t="shared" si="48"/>
        <v>9.57</v>
      </c>
      <c r="AP63" s="19">
        <v>0</v>
      </c>
      <c r="AQ63" s="19">
        <v>0</v>
      </c>
      <c r="AR63" s="16">
        <f t="shared" si="49"/>
        <v>0</v>
      </c>
      <c r="AS63" s="16">
        <f t="shared" si="50"/>
        <v>0</v>
      </c>
      <c r="AT63" s="18">
        <f t="shared" si="51"/>
        <v>11</v>
      </c>
      <c r="AU63" s="16">
        <f t="shared" si="52"/>
        <v>9.57</v>
      </c>
      <c r="AV63" s="19">
        <v>0</v>
      </c>
      <c r="AW63" s="19">
        <v>0</v>
      </c>
      <c r="AX63" s="16">
        <f t="shared" si="53"/>
        <v>0</v>
      </c>
      <c r="AY63" s="16">
        <f t="shared" si="54"/>
        <v>0</v>
      </c>
      <c r="AZ63" s="18">
        <f t="shared" si="69"/>
        <v>11</v>
      </c>
      <c r="BA63" s="16">
        <f t="shared" si="70"/>
        <v>9.57</v>
      </c>
      <c r="BB63" s="19">
        <v>0</v>
      </c>
      <c r="BC63" s="19">
        <v>0</v>
      </c>
      <c r="BD63" s="16">
        <f t="shared" si="89"/>
        <v>0</v>
      </c>
      <c r="BE63" s="16">
        <f t="shared" si="88"/>
        <v>0</v>
      </c>
      <c r="BF63" s="18">
        <f t="shared" si="71"/>
        <v>11</v>
      </c>
      <c r="BG63" s="16">
        <f t="shared" si="72"/>
        <v>9.57</v>
      </c>
      <c r="BH63" s="19">
        <v>0</v>
      </c>
      <c r="BI63" s="19">
        <v>0</v>
      </c>
      <c r="BJ63" s="16">
        <f t="shared" si="73"/>
        <v>0</v>
      </c>
      <c r="BK63" s="16">
        <f t="shared" si="74"/>
        <v>0</v>
      </c>
      <c r="BL63" s="18">
        <f t="shared" si="75"/>
        <v>11</v>
      </c>
      <c r="BM63" s="16">
        <f t="shared" si="76"/>
        <v>9.57</v>
      </c>
      <c r="BN63" s="19">
        <v>0</v>
      </c>
      <c r="BO63" s="19">
        <v>0</v>
      </c>
      <c r="BP63" s="16">
        <f t="shared" si="77"/>
        <v>0</v>
      </c>
      <c r="BQ63" s="16">
        <f t="shared" si="78"/>
        <v>0</v>
      </c>
      <c r="BR63" s="18">
        <f t="shared" si="79"/>
        <v>11</v>
      </c>
      <c r="BS63" s="16">
        <f t="shared" si="80"/>
        <v>9.57</v>
      </c>
      <c r="BT63" s="19">
        <v>0</v>
      </c>
      <c r="BU63" s="19">
        <v>0</v>
      </c>
      <c r="BV63" s="16">
        <f t="shared" si="81"/>
        <v>0</v>
      </c>
      <c r="BW63" s="16">
        <f t="shared" si="82"/>
        <v>0</v>
      </c>
      <c r="BX63" s="18">
        <f t="shared" si="83"/>
        <v>11</v>
      </c>
      <c r="BY63" s="16">
        <f t="shared" si="84"/>
        <v>9.57</v>
      </c>
      <c r="BZ63" s="19">
        <v>0</v>
      </c>
      <c r="CA63" s="19">
        <v>0</v>
      </c>
      <c r="CB63" s="16">
        <f t="shared" si="85"/>
        <v>0</v>
      </c>
      <c r="CC63" s="16">
        <f t="shared" si="86"/>
        <v>0</v>
      </c>
      <c r="CD63" s="20">
        <f t="shared" si="91"/>
        <v>11</v>
      </c>
      <c r="CE63" s="21">
        <f t="shared" si="90"/>
        <v>9.57</v>
      </c>
    </row>
    <row r="64" spans="1:85" x14ac:dyDescent="0.25">
      <c r="A64" s="23">
        <v>37</v>
      </c>
      <c r="B64" s="70">
        <v>53</v>
      </c>
      <c r="C64" s="79" t="s">
        <v>107</v>
      </c>
      <c r="D64" s="13" t="s">
        <v>108</v>
      </c>
      <c r="E64" s="31"/>
      <c r="F64" s="31"/>
      <c r="G64" s="31"/>
      <c r="H64" s="17">
        <v>6</v>
      </c>
      <c r="I64" s="30">
        <v>0.9</v>
      </c>
      <c r="J64" s="17">
        <v>6</v>
      </c>
      <c r="K64" s="16">
        <f t="shared" si="0"/>
        <v>5.4</v>
      </c>
      <c r="L64" s="19">
        <v>0</v>
      </c>
      <c r="M64" s="19">
        <v>0</v>
      </c>
      <c r="N64" s="16">
        <f t="shared" si="55"/>
        <v>0</v>
      </c>
      <c r="O64" s="16">
        <f t="shared" si="56"/>
        <v>0</v>
      </c>
      <c r="P64" s="18">
        <f t="shared" si="57"/>
        <v>6</v>
      </c>
      <c r="Q64" s="16">
        <f t="shared" si="58"/>
        <v>5.4</v>
      </c>
      <c r="R64" s="19">
        <v>0</v>
      </c>
      <c r="S64" s="18">
        <v>0</v>
      </c>
      <c r="T64" s="16">
        <f t="shared" si="59"/>
        <v>0</v>
      </c>
      <c r="U64" s="16">
        <f t="shared" si="60"/>
        <v>0</v>
      </c>
      <c r="V64" s="18">
        <f t="shared" si="61"/>
        <v>6</v>
      </c>
      <c r="W64" s="16">
        <f t="shared" si="62"/>
        <v>5.4</v>
      </c>
      <c r="X64" s="19">
        <v>0</v>
      </c>
      <c r="Y64" s="19">
        <v>0</v>
      </c>
      <c r="Z64" s="16">
        <f t="shared" si="63"/>
        <v>0</v>
      </c>
      <c r="AA64" s="16">
        <f t="shared" si="64"/>
        <v>0</v>
      </c>
      <c r="AB64" s="18">
        <f t="shared" si="65"/>
        <v>6</v>
      </c>
      <c r="AC64" s="16">
        <f t="shared" si="66"/>
        <v>5.4</v>
      </c>
      <c r="AD64" s="19">
        <v>0</v>
      </c>
      <c r="AE64" s="19">
        <v>0</v>
      </c>
      <c r="AF64" s="16">
        <f t="shared" si="67"/>
        <v>0</v>
      </c>
      <c r="AG64" s="16">
        <f t="shared" si="68"/>
        <v>0</v>
      </c>
      <c r="AH64" s="18">
        <f t="shared" si="15"/>
        <v>6</v>
      </c>
      <c r="AI64" s="16">
        <f t="shared" si="16"/>
        <v>5.4</v>
      </c>
      <c r="AJ64" s="19">
        <v>0</v>
      </c>
      <c r="AK64" s="19">
        <v>0</v>
      </c>
      <c r="AL64" s="16">
        <f t="shared" si="45"/>
        <v>0</v>
      </c>
      <c r="AM64" s="16">
        <f t="shared" si="46"/>
        <v>0</v>
      </c>
      <c r="AN64" s="18">
        <f t="shared" si="47"/>
        <v>6</v>
      </c>
      <c r="AO64" s="16">
        <f t="shared" si="48"/>
        <v>5.4</v>
      </c>
      <c r="AP64" s="19">
        <v>0</v>
      </c>
      <c r="AQ64" s="19">
        <v>0</v>
      </c>
      <c r="AR64" s="16">
        <f t="shared" si="49"/>
        <v>0</v>
      </c>
      <c r="AS64" s="16">
        <f t="shared" si="50"/>
        <v>0</v>
      </c>
      <c r="AT64" s="18">
        <f t="shared" si="51"/>
        <v>6</v>
      </c>
      <c r="AU64" s="16">
        <f t="shared" si="52"/>
        <v>5.4</v>
      </c>
      <c r="AV64" s="19">
        <v>0</v>
      </c>
      <c r="AW64" s="19">
        <v>0</v>
      </c>
      <c r="AX64" s="16">
        <f t="shared" si="53"/>
        <v>0</v>
      </c>
      <c r="AY64" s="16">
        <f t="shared" si="54"/>
        <v>0</v>
      </c>
      <c r="AZ64" s="18">
        <f t="shared" si="69"/>
        <v>6</v>
      </c>
      <c r="BA64" s="16">
        <f t="shared" si="70"/>
        <v>5.4</v>
      </c>
      <c r="BB64" s="19">
        <v>0</v>
      </c>
      <c r="BC64" s="19">
        <v>0</v>
      </c>
      <c r="BD64" s="16">
        <f t="shared" si="89"/>
        <v>0</v>
      </c>
      <c r="BE64" s="16">
        <f t="shared" si="88"/>
        <v>0</v>
      </c>
      <c r="BF64" s="18">
        <f t="shared" si="71"/>
        <v>6</v>
      </c>
      <c r="BG64" s="16">
        <f t="shared" si="72"/>
        <v>5.4</v>
      </c>
      <c r="BH64" s="19">
        <v>0</v>
      </c>
      <c r="BI64" s="19">
        <v>0</v>
      </c>
      <c r="BJ64" s="16">
        <f t="shared" si="73"/>
        <v>0</v>
      </c>
      <c r="BK64" s="16">
        <f t="shared" si="74"/>
        <v>0</v>
      </c>
      <c r="BL64" s="18">
        <f t="shared" si="75"/>
        <v>6</v>
      </c>
      <c r="BM64" s="16">
        <f t="shared" si="76"/>
        <v>5.4</v>
      </c>
      <c r="BN64" s="19">
        <v>0</v>
      </c>
      <c r="BO64" s="19">
        <v>0</v>
      </c>
      <c r="BP64" s="16">
        <f t="shared" si="77"/>
        <v>0</v>
      </c>
      <c r="BQ64" s="16">
        <f t="shared" si="78"/>
        <v>0</v>
      </c>
      <c r="BR64" s="18">
        <f t="shared" si="79"/>
        <v>6</v>
      </c>
      <c r="BS64" s="16">
        <f t="shared" si="80"/>
        <v>5.4</v>
      </c>
      <c r="BT64" s="19">
        <v>0</v>
      </c>
      <c r="BU64" s="19">
        <v>0</v>
      </c>
      <c r="BV64" s="16">
        <f t="shared" si="81"/>
        <v>0</v>
      </c>
      <c r="BW64" s="16">
        <f t="shared" si="82"/>
        <v>0</v>
      </c>
      <c r="BX64" s="18">
        <f t="shared" si="83"/>
        <v>6</v>
      </c>
      <c r="BY64" s="16">
        <f t="shared" si="84"/>
        <v>5.4</v>
      </c>
      <c r="BZ64" s="19">
        <v>0</v>
      </c>
      <c r="CA64" s="19">
        <v>0</v>
      </c>
      <c r="CB64" s="16">
        <f t="shared" si="85"/>
        <v>0</v>
      </c>
      <c r="CC64" s="16">
        <f t="shared" si="86"/>
        <v>0</v>
      </c>
      <c r="CD64" s="20">
        <f t="shared" si="91"/>
        <v>6</v>
      </c>
      <c r="CE64" s="21">
        <f t="shared" si="90"/>
        <v>5.4</v>
      </c>
    </row>
    <row r="65" spans="1:85" x14ac:dyDescent="0.25">
      <c r="A65" s="23"/>
      <c r="B65" s="70">
        <v>54</v>
      </c>
      <c r="C65" s="79" t="s">
        <v>109</v>
      </c>
      <c r="D65" s="13" t="s">
        <v>110</v>
      </c>
      <c r="E65" s="12">
        <v>5</v>
      </c>
      <c r="F65" s="12">
        <v>10</v>
      </c>
      <c r="G65" s="12">
        <v>20</v>
      </c>
      <c r="H65" s="17">
        <v>13</v>
      </c>
      <c r="I65" s="30">
        <v>23.79</v>
      </c>
      <c r="J65" s="17">
        <v>13</v>
      </c>
      <c r="K65" s="16">
        <f t="shared" si="0"/>
        <v>309.27</v>
      </c>
      <c r="L65" s="19">
        <v>0</v>
      </c>
      <c r="M65" s="19">
        <v>0</v>
      </c>
      <c r="N65" s="16">
        <f t="shared" si="55"/>
        <v>0</v>
      </c>
      <c r="O65" s="16">
        <f t="shared" si="56"/>
        <v>0</v>
      </c>
      <c r="P65" s="18">
        <f t="shared" si="57"/>
        <v>13</v>
      </c>
      <c r="Q65" s="16">
        <f t="shared" si="58"/>
        <v>309.27</v>
      </c>
      <c r="R65" s="19">
        <v>0</v>
      </c>
      <c r="S65" s="18">
        <v>0</v>
      </c>
      <c r="T65" s="16">
        <f t="shared" si="59"/>
        <v>0</v>
      </c>
      <c r="U65" s="16">
        <f t="shared" si="60"/>
        <v>0</v>
      </c>
      <c r="V65" s="18">
        <f t="shared" si="61"/>
        <v>13</v>
      </c>
      <c r="W65" s="16">
        <f t="shared" si="62"/>
        <v>309.27</v>
      </c>
      <c r="X65" s="19">
        <v>0</v>
      </c>
      <c r="Y65" s="19">
        <v>0</v>
      </c>
      <c r="Z65" s="16">
        <f t="shared" si="63"/>
        <v>0</v>
      </c>
      <c r="AA65" s="16">
        <f t="shared" si="64"/>
        <v>0</v>
      </c>
      <c r="AB65" s="18">
        <f t="shared" si="65"/>
        <v>13</v>
      </c>
      <c r="AC65" s="16">
        <f t="shared" si="66"/>
        <v>309.27</v>
      </c>
      <c r="AD65" s="19">
        <v>0</v>
      </c>
      <c r="AE65" s="19">
        <v>0</v>
      </c>
      <c r="AF65" s="16">
        <f t="shared" si="67"/>
        <v>0</v>
      </c>
      <c r="AG65" s="16">
        <f t="shared" si="68"/>
        <v>0</v>
      </c>
      <c r="AH65" s="18">
        <f t="shared" si="15"/>
        <v>13</v>
      </c>
      <c r="AI65" s="16">
        <f t="shared" si="16"/>
        <v>309.27</v>
      </c>
      <c r="AJ65" s="19">
        <v>0</v>
      </c>
      <c r="AK65" s="19">
        <v>0</v>
      </c>
      <c r="AL65" s="16">
        <f t="shared" si="45"/>
        <v>0</v>
      </c>
      <c r="AM65" s="16">
        <f t="shared" si="46"/>
        <v>0</v>
      </c>
      <c r="AN65" s="18">
        <f t="shared" si="47"/>
        <v>13</v>
      </c>
      <c r="AO65" s="16">
        <f t="shared" si="48"/>
        <v>309.27</v>
      </c>
      <c r="AP65" s="19">
        <v>0</v>
      </c>
      <c r="AQ65" s="19">
        <v>0</v>
      </c>
      <c r="AR65" s="16">
        <f t="shared" si="49"/>
        <v>0</v>
      </c>
      <c r="AS65" s="16">
        <f t="shared" si="50"/>
        <v>0</v>
      </c>
      <c r="AT65" s="18">
        <f t="shared" si="51"/>
        <v>13</v>
      </c>
      <c r="AU65" s="16">
        <f t="shared" si="52"/>
        <v>309.27</v>
      </c>
      <c r="AV65" s="19">
        <v>0</v>
      </c>
      <c r="AW65" s="19">
        <v>0</v>
      </c>
      <c r="AX65" s="16">
        <f t="shared" si="53"/>
        <v>0</v>
      </c>
      <c r="AY65" s="16">
        <f t="shared" si="54"/>
        <v>0</v>
      </c>
      <c r="AZ65" s="18">
        <f t="shared" si="69"/>
        <v>13</v>
      </c>
      <c r="BA65" s="16">
        <f t="shared" si="70"/>
        <v>309.27</v>
      </c>
      <c r="BB65" s="19">
        <v>0</v>
      </c>
      <c r="BC65" s="19">
        <v>0</v>
      </c>
      <c r="BD65" s="16">
        <f t="shared" si="89"/>
        <v>0</v>
      </c>
      <c r="BE65" s="16">
        <f t="shared" si="88"/>
        <v>0</v>
      </c>
      <c r="BF65" s="18">
        <f t="shared" si="71"/>
        <v>13</v>
      </c>
      <c r="BG65" s="16">
        <f t="shared" si="72"/>
        <v>309.27</v>
      </c>
      <c r="BH65" s="19">
        <v>0</v>
      </c>
      <c r="BI65" s="19">
        <v>0</v>
      </c>
      <c r="BJ65" s="16">
        <f t="shared" si="73"/>
        <v>0</v>
      </c>
      <c r="BK65" s="16">
        <f t="shared" si="74"/>
        <v>0</v>
      </c>
      <c r="BL65" s="18">
        <f t="shared" si="75"/>
        <v>13</v>
      </c>
      <c r="BM65" s="16">
        <f t="shared" si="76"/>
        <v>309.27</v>
      </c>
      <c r="BN65" s="19">
        <v>0</v>
      </c>
      <c r="BO65" s="19">
        <v>0</v>
      </c>
      <c r="BP65" s="16">
        <f t="shared" si="77"/>
        <v>0</v>
      </c>
      <c r="BQ65" s="16">
        <f t="shared" si="78"/>
        <v>0</v>
      </c>
      <c r="BR65" s="18">
        <f t="shared" si="79"/>
        <v>13</v>
      </c>
      <c r="BS65" s="16">
        <f t="shared" si="80"/>
        <v>309.27</v>
      </c>
      <c r="BT65" s="19">
        <v>0</v>
      </c>
      <c r="BU65" s="19">
        <v>0</v>
      </c>
      <c r="BV65" s="16">
        <f t="shared" si="81"/>
        <v>0</v>
      </c>
      <c r="BW65" s="16">
        <f t="shared" si="82"/>
        <v>0</v>
      </c>
      <c r="BX65" s="18">
        <f t="shared" si="83"/>
        <v>13</v>
      </c>
      <c r="BY65" s="16">
        <f t="shared" si="84"/>
        <v>309.27</v>
      </c>
      <c r="BZ65" s="19">
        <v>0</v>
      </c>
      <c r="CA65" s="19">
        <v>0</v>
      </c>
      <c r="CB65" s="16">
        <f t="shared" si="85"/>
        <v>0</v>
      </c>
      <c r="CC65" s="16">
        <f t="shared" si="86"/>
        <v>0</v>
      </c>
      <c r="CD65" s="20">
        <f t="shared" si="91"/>
        <v>13</v>
      </c>
      <c r="CE65" s="21">
        <f t="shared" si="90"/>
        <v>309.27</v>
      </c>
      <c r="CG65" s="1" t="s">
        <v>455</v>
      </c>
    </row>
    <row r="66" spans="1:85" ht="18" customHeight="1" x14ac:dyDescent="0.25">
      <c r="A66" s="23"/>
      <c r="B66" s="70">
        <v>55</v>
      </c>
      <c r="C66" s="79" t="s">
        <v>111</v>
      </c>
      <c r="D66" s="27" t="s">
        <v>112</v>
      </c>
      <c r="E66" s="23">
        <v>3</v>
      </c>
      <c r="F66" s="23">
        <v>5</v>
      </c>
      <c r="G66" s="23">
        <v>10</v>
      </c>
      <c r="H66" s="17">
        <v>9</v>
      </c>
      <c r="I66" s="30">
        <v>6.3</v>
      </c>
      <c r="J66" s="17">
        <v>9</v>
      </c>
      <c r="K66" s="16">
        <f t="shared" si="0"/>
        <v>56.699999999999996</v>
      </c>
      <c r="L66" s="19">
        <v>2</v>
      </c>
      <c r="M66" s="19">
        <v>0</v>
      </c>
      <c r="N66" s="16">
        <f t="shared" si="55"/>
        <v>0</v>
      </c>
      <c r="O66" s="16">
        <f t="shared" si="56"/>
        <v>12.6</v>
      </c>
      <c r="P66" s="18">
        <f t="shared" si="57"/>
        <v>7</v>
      </c>
      <c r="Q66" s="16">
        <f t="shared" si="58"/>
        <v>44.1</v>
      </c>
      <c r="R66" s="19">
        <v>0</v>
      </c>
      <c r="S66" s="18">
        <v>0</v>
      </c>
      <c r="T66" s="16">
        <f t="shared" si="59"/>
        <v>0</v>
      </c>
      <c r="U66" s="16">
        <f t="shared" si="60"/>
        <v>0</v>
      </c>
      <c r="V66" s="18">
        <f t="shared" si="61"/>
        <v>7</v>
      </c>
      <c r="W66" s="16">
        <f t="shared" si="62"/>
        <v>44.1</v>
      </c>
      <c r="X66" s="19">
        <v>0</v>
      </c>
      <c r="Y66" s="19">
        <v>0</v>
      </c>
      <c r="Z66" s="16">
        <f t="shared" si="63"/>
        <v>0</v>
      </c>
      <c r="AA66" s="16">
        <f t="shared" si="64"/>
        <v>0</v>
      </c>
      <c r="AB66" s="18">
        <f t="shared" si="65"/>
        <v>7</v>
      </c>
      <c r="AC66" s="16">
        <f t="shared" si="66"/>
        <v>44.1</v>
      </c>
      <c r="AD66" s="19">
        <v>0</v>
      </c>
      <c r="AE66" s="19">
        <v>0</v>
      </c>
      <c r="AF66" s="16">
        <f t="shared" si="67"/>
        <v>0</v>
      </c>
      <c r="AG66" s="16">
        <f t="shared" si="68"/>
        <v>0</v>
      </c>
      <c r="AH66" s="18">
        <f t="shared" si="15"/>
        <v>7</v>
      </c>
      <c r="AI66" s="16">
        <f t="shared" si="16"/>
        <v>44.1</v>
      </c>
      <c r="AJ66" s="19">
        <v>0</v>
      </c>
      <c r="AK66" s="19">
        <v>0</v>
      </c>
      <c r="AL66" s="16">
        <f t="shared" si="45"/>
        <v>0</v>
      </c>
      <c r="AM66" s="16">
        <f t="shared" si="46"/>
        <v>0</v>
      </c>
      <c r="AN66" s="18">
        <f t="shared" si="47"/>
        <v>7</v>
      </c>
      <c r="AO66" s="16">
        <f t="shared" si="48"/>
        <v>44.1</v>
      </c>
      <c r="AP66" s="19">
        <v>0</v>
      </c>
      <c r="AQ66" s="19">
        <v>0</v>
      </c>
      <c r="AR66" s="16">
        <f t="shared" si="49"/>
        <v>0</v>
      </c>
      <c r="AS66" s="16">
        <f t="shared" si="50"/>
        <v>0</v>
      </c>
      <c r="AT66" s="18">
        <f t="shared" si="51"/>
        <v>7</v>
      </c>
      <c r="AU66" s="16">
        <f t="shared" si="52"/>
        <v>44.1</v>
      </c>
      <c r="AV66" s="19">
        <v>0</v>
      </c>
      <c r="AW66" s="19">
        <v>0</v>
      </c>
      <c r="AX66" s="16">
        <f t="shared" si="53"/>
        <v>0</v>
      </c>
      <c r="AY66" s="16">
        <f t="shared" si="54"/>
        <v>0</v>
      </c>
      <c r="AZ66" s="18">
        <f t="shared" si="69"/>
        <v>7</v>
      </c>
      <c r="BA66" s="16">
        <f t="shared" si="70"/>
        <v>44.1</v>
      </c>
      <c r="BB66" s="19">
        <v>0</v>
      </c>
      <c r="BC66" s="19">
        <v>0</v>
      </c>
      <c r="BD66" s="16">
        <f t="shared" si="89"/>
        <v>0</v>
      </c>
      <c r="BE66" s="16">
        <f t="shared" si="88"/>
        <v>0</v>
      </c>
      <c r="BF66" s="18">
        <f t="shared" si="71"/>
        <v>7</v>
      </c>
      <c r="BG66" s="16">
        <f t="shared" si="72"/>
        <v>44.1</v>
      </c>
      <c r="BH66" s="19">
        <v>0</v>
      </c>
      <c r="BI66" s="19">
        <v>0</v>
      </c>
      <c r="BJ66" s="16">
        <f t="shared" si="73"/>
        <v>0</v>
      </c>
      <c r="BK66" s="16">
        <f t="shared" si="74"/>
        <v>0</v>
      </c>
      <c r="BL66" s="18">
        <f t="shared" si="75"/>
        <v>7</v>
      </c>
      <c r="BM66" s="16">
        <f t="shared" si="76"/>
        <v>44.1</v>
      </c>
      <c r="BN66" s="19">
        <v>0</v>
      </c>
      <c r="BO66" s="19">
        <v>0</v>
      </c>
      <c r="BP66" s="16">
        <f t="shared" si="77"/>
        <v>0</v>
      </c>
      <c r="BQ66" s="16">
        <f t="shared" si="78"/>
        <v>0</v>
      </c>
      <c r="BR66" s="18">
        <f t="shared" si="79"/>
        <v>7</v>
      </c>
      <c r="BS66" s="16">
        <f t="shared" si="80"/>
        <v>44.1</v>
      </c>
      <c r="BT66" s="19">
        <v>0</v>
      </c>
      <c r="BU66" s="19">
        <v>0</v>
      </c>
      <c r="BV66" s="16">
        <f t="shared" si="81"/>
        <v>0</v>
      </c>
      <c r="BW66" s="16">
        <f t="shared" si="82"/>
        <v>0</v>
      </c>
      <c r="BX66" s="18">
        <f t="shared" si="83"/>
        <v>7</v>
      </c>
      <c r="BY66" s="16">
        <f t="shared" si="84"/>
        <v>44.1</v>
      </c>
      <c r="BZ66" s="19">
        <v>0</v>
      </c>
      <c r="CA66" s="19">
        <v>0</v>
      </c>
      <c r="CB66" s="16">
        <f t="shared" si="85"/>
        <v>0</v>
      </c>
      <c r="CC66" s="16">
        <f t="shared" si="86"/>
        <v>0</v>
      </c>
      <c r="CD66" s="20">
        <f t="shared" si="91"/>
        <v>7</v>
      </c>
      <c r="CE66" s="21">
        <f t="shared" si="90"/>
        <v>44.1</v>
      </c>
    </row>
    <row r="67" spans="1:85" x14ac:dyDescent="0.25">
      <c r="A67" s="23"/>
      <c r="B67" s="70">
        <v>56</v>
      </c>
      <c r="C67" s="79" t="s">
        <v>113</v>
      </c>
      <c r="D67" s="27" t="s">
        <v>114</v>
      </c>
      <c r="E67" s="23">
        <v>3</v>
      </c>
      <c r="F67" s="23">
        <v>5</v>
      </c>
      <c r="G67" s="23">
        <v>10</v>
      </c>
      <c r="H67" s="17">
        <v>0</v>
      </c>
      <c r="I67" s="30">
        <v>4.8</v>
      </c>
      <c r="J67" s="17">
        <v>0</v>
      </c>
      <c r="K67" s="16">
        <f t="shared" si="0"/>
        <v>0</v>
      </c>
      <c r="L67" s="19">
        <v>0</v>
      </c>
      <c r="M67" s="19">
        <v>0</v>
      </c>
      <c r="N67" s="16">
        <f t="shared" si="55"/>
        <v>0</v>
      </c>
      <c r="O67" s="16">
        <f t="shared" si="56"/>
        <v>0</v>
      </c>
      <c r="P67" s="18">
        <f t="shared" si="57"/>
        <v>0</v>
      </c>
      <c r="Q67" s="16">
        <f t="shared" si="58"/>
        <v>0</v>
      </c>
      <c r="R67" s="19">
        <v>0</v>
      </c>
      <c r="S67" s="18">
        <v>0</v>
      </c>
      <c r="T67" s="16">
        <f t="shared" si="59"/>
        <v>0</v>
      </c>
      <c r="U67" s="16">
        <f t="shared" si="60"/>
        <v>0</v>
      </c>
      <c r="V67" s="18">
        <f t="shared" si="61"/>
        <v>0</v>
      </c>
      <c r="W67" s="16">
        <f t="shared" si="62"/>
        <v>0</v>
      </c>
      <c r="X67" s="19">
        <v>0</v>
      </c>
      <c r="Y67" s="19">
        <v>0</v>
      </c>
      <c r="Z67" s="16">
        <f t="shared" si="63"/>
        <v>0</v>
      </c>
      <c r="AA67" s="16">
        <f t="shared" si="64"/>
        <v>0</v>
      </c>
      <c r="AB67" s="18">
        <f t="shared" si="65"/>
        <v>0</v>
      </c>
      <c r="AC67" s="16">
        <f t="shared" si="66"/>
        <v>0</v>
      </c>
      <c r="AD67" s="19">
        <v>0</v>
      </c>
      <c r="AE67" s="19">
        <v>0</v>
      </c>
      <c r="AF67" s="16">
        <f t="shared" si="67"/>
        <v>0</v>
      </c>
      <c r="AG67" s="16">
        <f t="shared" si="68"/>
        <v>0</v>
      </c>
      <c r="AH67" s="18">
        <f t="shared" si="15"/>
        <v>0</v>
      </c>
      <c r="AI67" s="16">
        <f t="shared" si="16"/>
        <v>0</v>
      </c>
      <c r="AJ67" s="19">
        <v>0</v>
      </c>
      <c r="AK67" s="19">
        <v>0</v>
      </c>
      <c r="AL67" s="16">
        <f t="shared" si="45"/>
        <v>0</v>
      </c>
      <c r="AM67" s="16">
        <f t="shared" si="46"/>
        <v>0</v>
      </c>
      <c r="AN67" s="18">
        <f t="shared" si="47"/>
        <v>0</v>
      </c>
      <c r="AO67" s="16">
        <f t="shared" si="48"/>
        <v>0</v>
      </c>
      <c r="AP67" s="19">
        <v>0</v>
      </c>
      <c r="AQ67" s="19">
        <v>0</v>
      </c>
      <c r="AR67" s="16">
        <f t="shared" si="49"/>
        <v>0</v>
      </c>
      <c r="AS67" s="16">
        <f t="shared" si="50"/>
        <v>0</v>
      </c>
      <c r="AT67" s="18">
        <f t="shared" si="51"/>
        <v>0</v>
      </c>
      <c r="AU67" s="16">
        <f t="shared" si="52"/>
        <v>0</v>
      </c>
      <c r="AV67" s="19">
        <v>0</v>
      </c>
      <c r="AW67" s="19">
        <v>0</v>
      </c>
      <c r="AX67" s="16">
        <f t="shared" si="53"/>
        <v>0</v>
      </c>
      <c r="AY67" s="16">
        <f t="shared" si="54"/>
        <v>0</v>
      </c>
      <c r="AZ67" s="18">
        <f t="shared" si="69"/>
        <v>0</v>
      </c>
      <c r="BA67" s="16">
        <f t="shared" si="70"/>
        <v>0</v>
      </c>
      <c r="BB67" s="19">
        <v>0</v>
      </c>
      <c r="BC67" s="19">
        <v>0</v>
      </c>
      <c r="BD67" s="16">
        <f t="shared" si="89"/>
        <v>0</v>
      </c>
      <c r="BE67" s="16">
        <f t="shared" si="88"/>
        <v>0</v>
      </c>
      <c r="BF67" s="18">
        <f t="shared" si="71"/>
        <v>0</v>
      </c>
      <c r="BG67" s="16">
        <f t="shared" si="72"/>
        <v>0</v>
      </c>
      <c r="BH67" s="19">
        <v>0</v>
      </c>
      <c r="BI67" s="19">
        <v>0</v>
      </c>
      <c r="BJ67" s="16">
        <f t="shared" si="73"/>
        <v>0</v>
      </c>
      <c r="BK67" s="16">
        <f t="shared" si="74"/>
        <v>0</v>
      </c>
      <c r="BL67" s="18">
        <f t="shared" si="75"/>
        <v>0</v>
      </c>
      <c r="BM67" s="16">
        <f t="shared" si="76"/>
        <v>0</v>
      </c>
      <c r="BN67" s="19">
        <v>0</v>
      </c>
      <c r="BO67" s="19">
        <v>0</v>
      </c>
      <c r="BP67" s="16">
        <f t="shared" si="77"/>
        <v>0</v>
      </c>
      <c r="BQ67" s="16">
        <f t="shared" si="78"/>
        <v>0</v>
      </c>
      <c r="BR67" s="18">
        <f t="shared" si="79"/>
        <v>0</v>
      </c>
      <c r="BS67" s="16">
        <f t="shared" si="80"/>
        <v>0</v>
      </c>
      <c r="BT67" s="19">
        <v>0</v>
      </c>
      <c r="BU67" s="19">
        <v>0</v>
      </c>
      <c r="BV67" s="16">
        <f t="shared" si="81"/>
        <v>0</v>
      </c>
      <c r="BW67" s="16">
        <f t="shared" si="82"/>
        <v>0</v>
      </c>
      <c r="BX67" s="18">
        <f t="shared" si="83"/>
        <v>0</v>
      </c>
      <c r="BY67" s="16">
        <f t="shared" si="84"/>
        <v>0</v>
      </c>
      <c r="BZ67" s="19">
        <v>0</v>
      </c>
      <c r="CA67" s="19">
        <v>0</v>
      </c>
      <c r="CB67" s="16">
        <f t="shared" si="85"/>
        <v>0</v>
      </c>
      <c r="CC67" s="16">
        <f t="shared" si="86"/>
        <v>0</v>
      </c>
      <c r="CD67" s="20">
        <f t="shared" si="91"/>
        <v>0</v>
      </c>
      <c r="CE67" s="21">
        <f t="shared" si="90"/>
        <v>0</v>
      </c>
    </row>
    <row r="68" spans="1:85" x14ac:dyDescent="0.25">
      <c r="A68" s="23"/>
      <c r="B68" s="70">
        <v>57</v>
      </c>
      <c r="C68" s="174" t="s">
        <v>115</v>
      </c>
      <c r="D68" s="13" t="s">
        <v>116</v>
      </c>
      <c r="E68" s="168">
        <v>20</v>
      </c>
      <c r="F68" s="168">
        <v>30</v>
      </c>
      <c r="G68" s="168">
        <v>40</v>
      </c>
      <c r="H68" s="17">
        <v>22</v>
      </c>
      <c r="I68" s="32">
        <v>7.5</v>
      </c>
      <c r="J68" s="17">
        <v>22</v>
      </c>
      <c r="K68" s="16">
        <f t="shared" si="0"/>
        <v>165</v>
      </c>
      <c r="L68" s="19">
        <v>1</v>
      </c>
      <c r="M68" s="19">
        <v>0</v>
      </c>
      <c r="N68" s="16">
        <f t="shared" si="55"/>
        <v>0</v>
      </c>
      <c r="O68" s="16">
        <f t="shared" si="56"/>
        <v>7.5</v>
      </c>
      <c r="P68" s="18">
        <f t="shared" si="57"/>
        <v>21</v>
      </c>
      <c r="Q68" s="16">
        <f t="shared" si="58"/>
        <v>157.5</v>
      </c>
      <c r="R68" s="19">
        <v>0</v>
      </c>
      <c r="S68" s="18">
        <v>0</v>
      </c>
      <c r="T68" s="16">
        <f t="shared" si="59"/>
        <v>0</v>
      </c>
      <c r="U68" s="16">
        <f t="shared" si="60"/>
        <v>0</v>
      </c>
      <c r="V68" s="18">
        <f t="shared" si="61"/>
        <v>21</v>
      </c>
      <c r="W68" s="16">
        <f t="shared" si="62"/>
        <v>157.5</v>
      </c>
      <c r="X68" s="19">
        <v>0</v>
      </c>
      <c r="Y68" s="19">
        <v>0</v>
      </c>
      <c r="Z68" s="16">
        <f t="shared" si="63"/>
        <v>0</v>
      </c>
      <c r="AA68" s="16">
        <f t="shared" si="64"/>
        <v>0</v>
      </c>
      <c r="AB68" s="18">
        <f t="shared" si="65"/>
        <v>21</v>
      </c>
      <c r="AC68" s="16">
        <f t="shared" si="66"/>
        <v>157.5</v>
      </c>
      <c r="AD68" s="19">
        <v>1</v>
      </c>
      <c r="AE68" s="19">
        <v>0</v>
      </c>
      <c r="AF68" s="16">
        <f t="shared" si="67"/>
        <v>0</v>
      </c>
      <c r="AG68" s="16">
        <f t="shared" si="68"/>
        <v>7.5</v>
      </c>
      <c r="AH68" s="18">
        <f t="shared" ref="AH68:AH134" si="92">AB68-AD68+AE68</f>
        <v>20</v>
      </c>
      <c r="AI68" s="16">
        <f t="shared" ref="AI68:AI134" si="93">AH68*I68</f>
        <v>150</v>
      </c>
      <c r="AJ68" s="19">
        <v>4</v>
      </c>
      <c r="AK68" s="19">
        <v>0</v>
      </c>
      <c r="AL68" s="16">
        <f t="shared" si="45"/>
        <v>0</v>
      </c>
      <c r="AM68" s="16">
        <f t="shared" si="46"/>
        <v>30</v>
      </c>
      <c r="AN68" s="18">
        <f t="shared" si="47"/>
        <v>16</v>
      </c>
      <c r="AO68" s="16">
        <f t="shared" si="48"/>
        <v>120</v>
      </c>
      <c r="AP68" s="19">
        <v>4</v>
      </c>
      <c r="AQ68" s="19">
        <v>0</v>
      </c>
      <c r="AR68" s="16">
        <f t="shared" si="49"/>
        <v>0</v>
      </c>
      <c r="AS68" s="16">
        <f t="shared" si="50"/>
        <v>30</v>
      </c>
      <c r="AT68" s="18">
        <f t="shared" si="51"/>
        <v>12</v>
      </c>
      <c r="AU68" s="16">
        <f t="shared" si="52"/>
        <v>90</v>
      </c>
      <c r="AV68" s="19">
        <v>1</v>
      </c>
      <c r="AW68" s="19">
        <v>0</v>
      </c>
      <c r="AX68" s="16">
        <f t="shared" si="53"/>
        <v>0</v>
      </c>
      <c r="AY68" s="16">
        <f t="shared" si="54"/>
        <v>7.5</v>
      </c>
      <c r="AZ68" s="18">
        <f t="shared" si="69"/>
        <v>11</v>
      </c>
      <c r="BA68" s="16">
        <f t="shared" si="70"/>
        <v>82.5</v>
      </c>
      <c r="BB68" s="19">
        <v>3</v>
      </c>
      <c r="BC68" s="19">
        <v>0</v>
      </c>
      <c r="BD68" s="16">
        <f t="shared" si="89"/>
        <v>0</v>
      </c>
      <c r="BE68" s="16">
        <f t="shared" si="88"/>
        <v>22.5</v>
      </c>
      <c r="BF68" s="18">
        <f t="shared" si="71"/>
        <v>8</v>
      </c>
      <c r="BG68" s="16">
        <f t="shared" si="72"/>
        <v>60</v>
      </c>
      <c r="BH68" s="19">
        <v>0</v>
      </c>
      <c r="BI68" s="19">
        <v>0</v>
      </c>
      <c r="BJ68" s="16">
        <f t="shared" si="73"/>
        <v>0</v>
      </c>
      <c r="BK68" s="16">
        <f t="shared" si="74"/>
        <v>0</v>
      </c>
      <c r="BL68" s="18">
        <f t="shared" si="75"/>
        <v>8</v>
      </c>
      <c r="BM68" s="16">
        <f t="shared" si="76"/>
        <v>60</v>
      </c>
      <c r="BN68" s="19">
        <v>0</v>
      </c>
      <c r="BO68" s="19">
        <v>0</v>
      </c>
      <c r="BP68" s="16">
        <f t="shared" si="77"/>
        <v>0</v>
      </c>
      <c r="BQ68" s="16">
        <f t="shared" si="78"/>
        <v>0</v>
      </c>
      <c r="BR68" s="18">
        <f t="shared" si="79"/>
        <v>8</v>
      </c>
      <c r="BS68" s="16">
        <f t="shared" si="80"/>
        <v>60</v>
      </c>
      <c r="BT68" s="19">
        <v>0</v>
      </c>
      <c r="BU68" s="19">
        <v>0</v>
      </c>
      <c r="BV68" s="16">
        <f t="shared" si="81"/>
        <v>0</v>
      </c>
      <c r="BW68" s="16">
        <f t="shared" si="82"/>
        <v>0</v>
      </c>
      <c r="BX68" s="18">
        <f t="shared" si="83"/>
        <v>8</v>
      </c>
      <c r="BY68" s="16">
        <f t="shared" si="84"/>
        <v>60</v>
      </c>
      <c r="BZ68" s="19">
        <v>0</v>
      </c>
      <c r="CA68" s="19">
        <v>0</v>
      </c>
      <c r="CB68" s="16">
        <f t="shared" si="85"/>
        <v>0</v>
      </c>
      <c r="CC68" s="16">
        <f t="shared" si="86"/>
        <v>0</v>
      </c>
      <c r="CD68" s="20">
        <f t="shared" si="91"/>
        <v>8</v>
      </c>
      <c r="CE68" s="21">
        <f t="shared" si="90"/>
        <v>60</v>
      </c>
    </row>
    <row r="69" spans="1:85" x14ac:dyDescent="0.25">
      <c r="A69" s="23"/>
      <c r="B69" s="70">
        <v>58</v>
      </c>
      <c r="C69" s="175"/>
      <c r="D69" s="13" t="s">
        <v>117</v>
      </c>
      <c r="E69" s="169"/>
      <c r="F69" s="169"/>
      <c r="G69" s="169"/>
      <c r="H69" s="17">
        <v>15</v>
      </c>
      <c r="I69" s="32">
        <v>12</v>
      </c>
      <c r="J69" s="17">
        <v>15</v>
      </c>
      <c r="K69" s="16">
        <f t="shared" si="0"/>
        <v>180</v>
      </c>
      <c r="L69" s="19">
        <v>0</v>
      </c>
      <c r="M69" s="19">
        <v>0</v>
      </c>
      <c r="N69" s="16">
        <f t="shared" si="55"/>
        <v>0</v>
      </c>
      <c r="O69" s="16">
        <f t="shared" si="56"/>
        <v>0</v>
      </c>
      <c r="P69" s="18">
        <f t="shared" si="57"/>
        <v>15</v>
      </c>
      <c r="Q69" s="16">
        <f t="shared" si="58"/>
        <v>180</v>
      </c>
      <c r="R69" s="19">
        <v>0</v>
      </c>
      <c r="S69" s="18">
        <v>0</v>
      </c>
      <c r="T69" s="16">
        <f t="shared" si="59"/>
        <v>0</v>
      </c>
      <c r="U69" s="16">
        <f t="shared" si="60"/>
        <v>0</v>
      </c>
      <c r="V69" s="18">
        <f t="shared" si="61"/>
        <v>15</v>
      </c>
      <c r="W69" s="16">
        <f t="shared" si="62"/>
        <v>180</v>
      </c>
      <c r="X69" s="19">
        <v>0</v>
      </c>
      <c r="Y69" s="19">
        <v>0</v>
      </c>
      <c r="Z69" s="16">
        <f t="shared" si="63"/>
        <v>0</v>
      </c>
      <c r="AA69" s="16">
        <f t="shared" si="64"/>
        <v>0</v>
      </c>
      <c r="AB69" s="18">
        <f t="shared" si="65"/>
        <v>15</v>
      </c>
      <c r="AC69" s="16">
        <f t="shared" si="66"/>
        <v>180</v>
      </c>
      <c r="AD69" s="19">
        <v>0</v>
      </c>
      <c r="AE69" s="19">
        <v>0</v>
      </c>
      <c r="AF69" s="16">
        <f t="shared" si="67"/>
        <v>0</v>
      </c>
      <c r="AG69" s="16">
        <f t="shared" si="68"/>
        <v>0</v>
      </c>
      <c r="AH69" s="18">
        <f t="shared" si="92"/>
        <v>15</v>
      </c>
      <c r="AI69" s="16">
        <f t="shared" si="93"/>
        <v>180</v>
      </c>
      <c r="AJ69" s="19">
        <v>0</v>
      </c>
      <c r="AK69" s="19">
        <v>0</v>
      </c>
      <c r="AL69" s="16">
        <f t="shared" ref="AL69:AL135" si="94">AK69*I69</f>
        <v>0</v>
      </c>
      <c r="AM69" s="16">
        <f t="shared" ref="AM69:AM135" si="95">AJ69*I69</f>
        <v>0</v>
      </c>
      <c r="AN69" s="18">
        <f t="shared" ref="AN69:AN135" si="96">AH69-AJ69+AK69</f>
        <v>15</v>
      </c>
      <c r="AO69" s="16">
        <f t="shared" ref="AO69:AO135" si="97">AN69*I69</f>
        <v>180</v>
      </c>
      <c r="AP69" s="19">
        <v>0</v>
      </c>
      <c r="AQ69" s="19">
        <v>0</v>
      </c>
      <c r="AR69" s="16">
        <f t="shared" ref="AR69:AR135" si="98">AQ69*I69</f>
        <v>0</v>
      </c>
      <c r="AS69" s="16">
        <f t="shared" ref="AS69:AS135" si="99">AP69*I69</f>
        <v>0</v>
      </c>
      <c r="AT69" s="18">
        <f t="shared" ref="AT69:AT135" si="100">AN69-AP69+AQ69</f>
        <v>15</v>
      </c>
      <c r="AU69" s="16">
        <f t="shared" ref="AU69:AU135" si="101">AT69*I69</f>
        <v>180</v>
      </c>
      <c r="AV69" s="19">
        <v>0</v>
      </c>
      <c r="AW69" s="19">
        <v>0</v>
      </c>
      <c r="AX69" s="16">
        <f t="shared" ref="AX69:AX135" si="102">AW69*I69</f>
        <v>0</v>
      </c>
      <c r="AY69" s="16">
        <f t="shared" ref="AY69:AY135" si="103">AV69*I69</f>
        <v>0</v>
      </c>
      <c r="AZ69" s="18">
        <f t="shared" si="69"/>
        <v>15</v>
      </c>
      <c r="BA69" s="16">
        <f t="shared" si="70"/>
        <v>180</v>
      </c>
      <c r="BB69" s="19">
        <v>0</v>
      </c>
      <c r="BC69" s="19">
        <v>0</v>
      </c>
      <c r="BD69" s="16">
        <f t="shared" si="89"/>
        <v>0</v>
      </c>
      <c r="BE69" s="16">
        <f t="shared" si="88"/>
        <v>0</v>
      </c>
      <c r="BF69" s="18">
        <f t="shared" si="71"/>
        <v>15</v>
      </c>
      <c r="BG69" s="16">
        <f t="shared" si="72"/>
        <v>180</v>
      </c>
      <c r="BH69" s="19">
        <v>0</v>
      </c>
      <c r="BI69" s="19">
        <v>0</v>
      </c>
      <c r="BJ69" s="16">
        <f t="shared" si="73"/>
        <v>0</v>
      </c>
      <c r="BK69" s="16">
        <f t="shared" si="74"/>
        <v>0</v>
      </c>
      <c r="BL69" s="18">
        <f t="shared" si="75"/>
        <v>15</v>
      </c>
      <c r="BM69" s="16">
        <f t="shared" si="76"/>
        <v>180</v>
      </c>
      <c r="BN69" s="19">
        <v>0</v>
      </c>
      <c r="BO69" s="19">
        <v>0</v>
      </c>
      <c r="BP69" s="16">
        <f t="shared" si="77"/>
        <v>0</v>
      </c>
      <c r="BQ69" s="16">
        <f t="shared" si="78"/>
        <v>0</v>
      </c>
      <c r="BR69" s="18">
        <f t="shared" si="79"/>
        <v>15</v>
      </c>
      <c r="BS69" s="16">
        <f t="shared" si="80"/>
        <v>180</v>
      </c>
      <c r="BT69" s="19">
        <v>0</v>
      </c>
      <c r="BU69" s="19">
        <v>0</v>
      </c>
      <c r="BV69" s="16">
        <f t="shared" si="81"/>
        <v>0</v>
      </c>
      <c r="BW69" s="16">
        <f t="shared" si="82"/>
        <v>0</v>
      </c>
      <c r="BX69" s="18">
        <f t="shared" si="83"/>
        <v>15</v>
      </c>
      <c r="BY69" s="16">
        <f t="shared" si="84"/>
        <v>180</v>
      </c>
      <c r="BZ69" s="19">
        <v>0</v>
      </c>
      <c r="CA69" s="19">
        <v>0</v>
      </c>
      <c r="CB69" s="16">
        <f t="shared" si="85"/>
        <v>0</v>
      </c>
      <c r="CC69" s="16">
        <f t="shared" si="86"/>
        <v>0</v>
      </c>
      <c r="CD69" s="20">
        <f t="shared" si="91"/>
        <v>15</v>
      </c>
      <c r="CE69" s="21">
        <f t="shared" si="90"/>
        <v>180</v>
      </c>
    </row>
    <row r="70" spans="1:85" x14ac:dyDescent="0.25">
      <c r="A70" s="23"/>
      <c r="B70" s="70">
        <v>59</v>
      </c>
      <c r="C70" s="79" t="s">
        <v>118</v>
      </c>
      <c r="D70" s="13" t="s">
        <v>119</v>
      </c>
      <c r="E70" s="22">
        <v>20</v>
      </c>
      <c r="F70" s="22">
        <v>30</v>
      </c>
      <c r="G70" s="22">
        <v>40</v>
      </c>
      <c r="H70" s="17">
        <v>26</v>
      </c>
      <c r="I70" s="30">
        <v>7.5</v>
      </c>
      <c r="J70" s="17">
        <v>26</v>
      </c>
      <c r="K70" s="16">
        <f t="shared" si="0"/>
        <v>195</v>
      </c>
      <c r="L70" s="19">
        <v>3</v>
      </c>
      <c r="M70" s="19">
        <v>0</v>
      </c>
      <c r="N70" s="16">
        <f t="shared" si="55"/>
        <v>0</v>
      </c>
      <c r="O70" s="16">
        <f t="shared" si="56"/>
        <v>22.5</v>
      </c>
      <c r="P70" s="18">
        <f t="shared" si="57"/>
        <v>23</v>
      </c>
      <c r="Q70" s="16">
        <f t="shared" si="58"/>
        <v>172.5</v>
      </c>
      <c r="R70" s="19">
        <v>0</v>
      </c>
      <c r="S70" s="18">
        <v>0</v>
      </c>
      <c r="T70" s="16">
        <f t="shared" si="59"/>
        <v>0</v>
      </c>
      <c r="U70" s="16">
        <f t="shared" si="60"/>
        <v>0</v>
      </c>
      <c r="V70" s="18">
        <f t="shared" si="61"/>
        <v>23</v>
      </c>
      <c r="W70" s="16">
        <f t="shared" si="62"/>
        <v>172.5</v>
      </c>
      <c r="X70" s="19">
        <v>1</v>
      </c>
      <c r="Y70" s="19">
        <v>0</v>
      </c>
      <c r="Z70" s="16">
        <f t="shared" si="63"/>
        <v>0</v>
      </c>
      <c r="AA70" s="16">
        <f t="shared" si="64"/>
        <v>7.5</v>
      </c>
      <c r="AB70" s="18">
        <f t="shared" si="65"/>
        <v>22</v>
      </c>
      <c r="AC70" s="16">
        <f t="shared" si="66"/>
        <v>165</v>
      </c>
      <c r="AD70" s="19">
        <v>1</v>
      </c>
      <c r="AE70" s="19">
        <v>0</v>
      </c>
      <c r="AF70" s="16">
        <f t="shared" si="67"/>
        <v>0</v>
      </c>
      <c r="AG70" s="16">
        <f t="shared" si="68"/>
        <v>7.5</v>
      </c>
      <c r="AH70" s="18">
        <f t="shared" si="92"/>
        <v>21</v>
      </c>
      <c r="AI70" s="16">
        <f t="shared" si="93"/>
        <v>157.5</v>
      </c>
      <c r="AJ70" s="19">
        <v>5</v>
      </c>
      <c r="AK70" s="19">
        <v>0</v>
      </c>
      <c r="AL70" s="16">
        <f t="shared" si="94"/>
        <v>0</v>
      </c>
      <c r="AM70" s="16">
        <f t="shared" si="95"/>
        <v>37.5</v>
      </c>
      <c r="AN70" s="18">
        <f t="shared" si="96"/>
        <v>16</v>
      </c>
      <c r="AO70" s="16">
        <f t="shared" si="97"/>
        <v>120</v>
      </c>
      <c r="AP70" s="19">
        <v>1</v>
      </c>
      <c r="AQ70" s="19">
        <v>0</v>
      </c>
      <c r="AR70" s="16">
        <f t="shared" si="98"/>
        <v>0</v>
      </c>
      <c r="AS70" s="16">
        <f t="shared" si="99"/>
        <v>7.5</v>
      </c>
      <c r="AT70" s="18">
        <f t="shared" si="100"/>
        <v>15</v>
      </c>
      <c r="AU70" s="16">
        <f t="shared" si="101"/>
        <v>112.5</v>
      </c>
      <c r="AV70" s="19">
        <v>0</v>
      </c>
      <c r="AW70" s="19">
        <v>0</v>
      </c>
      <c r="AX70" s="16">
        <f t="shared" si="102"/>
        <v>0</v>
      </c>
      <c r="AY70" s="16">
        <f t="shared" si="103"/>
        <v>0</v>
      </c>
      <c r="AZ70" s="18">
        <f t="shared" si="69"/>
        <v>15</v>
      </c>
      <c r="BA70" s="16">
        <f t="shared" si="70"/>
        <v>112.5</v>
      </c>
      <c r="BB70" s="19">
        <v>4</v>
      </c>
      <c r="BC70" s="19">
        <v>0</v>
      </c>
      <c r="BD70" s="16">
        <f t="shared" si="89"/>
        <v>0</v>
      </c>
      <c r="BE70" s="16">
        <f t="shared" si="88"/>
        <v>30</v>
      </c>
      <c r="BF70" s="18">
        <f t="shared" si="71"/>
        <v>11</v>
      </c>
      <c r="BG70" s="16">
        <f t="shared" si="72"/>
        <v>82.5</v>
      </c>
      <c r="BH70" s="19">
        <v>0</v>
      </c>
      <c r="BI70" s="19">
        <v>0</v>
      </c>
      <c r="BJ70" s="16">
        <f t="shared" si="73"/>
        <v>0</v>
      </c>
      <c r="BK70" s="16">
        <f t="shared" si="74"/>
        <v>0</v>
      </c>
      <c r="BL70" s="18">
        <f t="shared" si="75"/>
        <v>11</v>
      </c>
      <c r="BM70" s="16">
        <f t="shared" si="76"/>
        <v>82.5</v>
      </c>
      <c r="BN70" s="19">
        <v>0</v>
      </c>
      <c r="BO70" s="19">
        <v>0</v>
      </c>
      <c r="BP70" s="16">
        <f t="shared" si="77"/>
        <v>0</v>
      </c>
      <c r="BQ70" s="16">
        <f t="shared" si="78"/>
        <v>0</v>
      </c>
      <c r="BR70" s="18">
        <f t="shared" si="79"/>
        <v>11</v>
      </c>
      <c r="BS70" s="16">
        <f t="shared" si="80"/>
        <v>82.5</v>
      </c>
      <c r="BT70" s="19">
        <v>0</v>
      </c>
      <c r="BU70" s="19">
        <v>0</v>
      </c>
      <c r="BV70" s="16">
        <f t="shared" si="81"/>
        <v>0</v>
      </c>
      <c r="BW70" s="16">
        <f t="shared" si="82"/>
        <v>0</v>
      </c>
      <c r="BX70" s="18">
        <f t="shared" si="83"/>
        <v>11</v>
      </c>
      <c r="BY70" s="16">
        <f t="shared" si="84"/>
        <v>82.5</v>
      </c>
      <c r="BZ70" s="19">
        <v>0</v>
      </c>
      <c r="CA70" s="19">
        <v>0</v>
      </c>
      <c r="CB70" s="16">
        <f t="shared" si="85"/>
        <v>0</v>
      </c>
      <c r="CC70" s="16">
        <f t="shared" si="86"/>
        <v>0</v>
      </c>
      <c r="CD70" s="20">
        <f t="shared" si="91"/>
        <v>11</v>
      </c>
      <c r="CE70" s="21">
        <f t="shared" si="90"/>
        <v>82.5</v>
      </c>
    </row>
    <row r="71" spans="1:85" x14ac:dyDescent="0.25">
      <c r="A71" s="23"/>
      <c r="B71" s="70">
        <v>60</v>
      </c>
      <c r="C71" s="174" t="s">
        <v>120</v>
      </c>
      <c r="D71" s="13" t="s">
        <v>378</v>
      </c>
      <c r="E71" s="22"/>
      <c r="F71" s="22"/>
      <c r="G71" s="22"/>
      <c r="H71" s="17">
        <v>6</v>
      </c>
      <c r="I71" s="30">
        <v>8.75</v>
      </c>
      <c r="J71" s="17">
        <v>6</v>
      </c>
      <c r="K71" s="16">
        <f t="shared" si="0"/>
        <v>52.5</v>
      </c>
      <c r="L71" s="19">
        <v>1</v>
      </c>
      <c r="M71" s="19">
        <v>0</v>
      </c>
      <c r="N71" s="16">
        <f t="shared" si="55"/>
        <v>0</v>
      </c>
      <c r="O71" s="16">
        <f t="shared" si="56"/>
        <v>8.75</v>
      </c>
      <c r="P71" s="18">
        <f t="shared" si="57"/>
        <v>5</v>
      </c>
      <c r="Q71" s="16">
        <f t="shared" si="58"/>
        <v>43.75</v>
      </c>
      <c r="R71" s="19">
        <v>1</v>
      </c>
      <c r="S71" s="18">
        <v>0</v>
      </c>
      <c r="T71" s="16">
        <f t="shared" si="59"/>
        <v>0</v>
      </c>
      <c r="U71" s="16">
        <f t="shared" si="60"/>
        <v>8.75</v>
      </c>
      <c r="V71" s="18">
        <f t="shared" si="61"/>
        <v>4</v>
      </c>
      <c r="W71" s="16">
        <f t="shared" si="62"/>
        <v>35</v>
      </c>
      <c r="X71" s="19">
        <v>0</v>
      </c>
      <c r="Y71" s="19">
        <v>0</v>
      </c>
      <c r="Z71" s="16">
        <f t="shared" si="63"/>
        <v>0</v>
      </c>
      <c r="AA71" s="16">
        <f t="shared" si="64"/>
        <v>0</v>
      </c>
      <c r="AB71" s="18">
        <f t="shared" si="65"/>
        <v>4</v>
      </c>
      <c r="AC71" s="16">
        <f t="shared" si="66"/>
        <v>35</v>
      </c>
      <c r="AD71" s="19">
        <v>2</v>
      </c>
      <c r="AE71" s="19">
        <v>0</v>
      </c>
      <c r="AF71" s="16">
        <f t="shared" si="67"/>
        <v>0</v>
      </c>
      <c r="AG71" s="16">
        <f t="shared" si="68"/>
        <v>17.5</v>
      </c>
      <c r="AH71" s="18">
        <f t="shared" si="92"/>
        <v>2</v>
      </c>
      <c r="AI71" s="16">
        <f t="shared" si="93"/>
        <v>17.5</v>
      </c>
      <c r="AJ71" s="19">
        <v>0</v>
      </c>
      <c r="AK71" s="19">
        <v>0</v>
      </c>
      <c r="AL71" s="16">
        <f t="shared" si="94"/>
        <v>0</v>
      </c>
      <c r="AM71" s="16">
        <f t="shared" si="95"/>
        <v>0</v>
      </c>
      <c r="AN71" s="18">
        <f t="shared" si="96"/>
        <v>2</v>
      </c>
      <c r="AO71" s="16">
        <f t="shared" si="97"/>
        <v>17.5</v>
      </c>
      <c r="AP71" s="19">
        <v>0</v>
      </c>
      <c r="AQ71" s="19">
        <v>0</v>
      </c>
      <c r="AR71" s="16">
        <f t="shared" si="98"/>
        <v>0</v>
      </c>
      <c r="AS71" s="16">
        <f t="shared" si="99"/>
        <v>0</v>
      </c>
      <c r="AT71" s="18">
        <f t="shared" si="100"/>
        <v>2</v>
      </c>
      <c r="AU71" s="16">
        <f t="shared" si="101"/>
        <v>17.5</v>
      </c>
      <c r="AV71" s="19">
        <v>1</v>
      </c>
      <c r="AW71" s="19">
        <v>0</v>
      </c>
      <c r="AX71" s="16">
        <f t="shared" si="102"/>
        <v>0</v>
      </c>
      <c r="AY71" s="16">
        <f t="shared" si="103"/>
        <v>8.75</v>
      </c>
      <c r="AZ71" s="18">
        <f t="shared" si="69"/>
        <v>1</v>
      </c>
      <c r="BA71" s="16">
        <f t="shared" si="70"/>
        <v>8.75</v>
      </c>
      <c r="BB71" s="19">
        <v>0</v>
      </c>
      <c r="BC71" s="19">
        <v>0</v>
      </c>
      <c r="BD71" s="16">
        <f t="shared" si="89"/>
        <v>0</v>
      </c>
      <c r="BE71" s="16">
        <f t="shared" si="88"/>
        <v>0</v>
      </c>
      <c r="BF71" s="18">
        <f t="shared" si="71"/>
        <v>1</v>
      </c>
      <c r="BG71" s="16">
        <f t="shared" si="72"/>
        <v>8.75</v>
      </c>
      <c r="BH71" s="19">
        <v>0</v>
      </c>
      <c r="BI71" s="19">
        <v>0</v>
      </c>
      <c r="BJ71" s="16">
        <f t="shared" si="73"/>
        <v>0</v>
      </c>
      <c r="BK71" s="16">
        <f t="shared" si="74"/>
        <v>0</v>
      </c>
      <c r="BL71" s="18">
        <f t="shared" si="75"/>
        <v>1</v>
      </c>
      <c r="BM71" s="16">
        <f t="shared" si="76"/>
        <v>8.75</v>
      </c>
      <c r="BN71" s="19">
        <v>0</v>
      </c>
      <c r="BO71" s="19">
        <v>0</v>
      </c>
      <c r="BP71" s="16">
        <f t="shared" si="77"/>
        <v>0</v>
      </c>
      <c r="BQ71" s="16">
        <f t="shared" si="78"/>
        <v>0</v>
      </c>
      <c r="BR71" s="18">
        <f t="shared" si="79"/>
        <v>1</v>
      </c>
      <c r="BS71" s="16">
        <f t="shared" si="80"/>
        <v>8.75</v>
      </c>
      <c r="BT71" s="19">
        <v>0</v>
      </c>
      <c r="BU71" s="19">
        <v>0</v>
      </c>
      <c r="BV71" s="16">
        <f t="shared" si="81"/>
        <v>0</v>
      </c>
      <c r="BW71" s="16">
        <f t="shared" si="82"/>
        <v>0</v>
      </c>
      <c r="BX71" s="18">
        <f t="shared" si="83"/>
        <v>1</v>
      </c>
      <c r="BY71" s="16">
        <f t="shared" si="84"/>
        <v>8.75</v>
      </c>
      <c r="BZ71" s="19">
        <v>0</v>
      </c>
      <c r="CA71" s="19">
        <v>0</v>
      </c>
      <c r="CB71" s="16">
        <f t="shared" si="85"/>
        <v>0</v>
      </c>
      <c r="CC71" s="16">
        <f t="shared" si="86"/>
        <v>0</v>
      </c>
      <c r="CD71" s="20">
        <f t="shared" si="91"/>
        <v>1</v>
      </c>
      <c r="CE71" s="21">
        <f t="shared" si="90"/>
        <v>8.75</v>
      </c>
    </row>
    <row r="72" spans="1:85" x14ac:dyDescent="0.25">
      <c r="B72" s="70">
        <v>61</v>
      </c>
      <c r="C72" s="181"/>
      <c r="D72" s="13" t="s">
        <v>121</v>
      </c>
      <c r="E72" s="22"/>
      <c r="F72" s="22"/>
      <c r="G72" s="22"/>
      <c r="H72" s="17">
        <v>6</v>
      </c>
      <c r="I72" s="30">
        <v>12.25</v>
      </c>
      <c r="J72" s="17">
        <v>6</v>
      </c>
      <c r="K72" s="16">
        <f t="shared" si="0"/>
        <v>73.5</v>
      </c>
      <c r="L72" s="19">
        <v>0</v>
      </c>
      <c r="M72" s="19">
        <v>0</v>
      </c>
      <c r="N72" s="16">
        <f t="shared" si="55"/>
        <v>0</v>
      </c>
      <c r="O72" s="16">
        <f t="shared" si="56"/>
        <v>0</v>
      </c>
      <c r="P72" s="18">
        <f t="shared" si="57"/>
        <v>6</v>
      </c>
      <c r="Q72" s="16">
        <f t="shared" si="58"/>
        <v>73.5</v>
      </c>
      <c r="R72" s="19">
        <v>0</v>
      </c>
      <c r="S72" s="18">
        <v>0</v>
      </c>
      <c r="T72" s="16">
        <f t="shared" si="59"/>
        <v>0</v>
      </c>
      <c r="U72" s="16">
        <f t="shared" si="60"/>
        <v>0</v>
      </c>
      <c r="V72" s="18">
        <f t="shared" si="61"/>
        <v>6</v>
      </c>
      <c r="W72" s="16">
        <f t="shared" si="62"/>
        <v>73.5</v>
      </c>
      <c r="X72" s="19">
        <v>0</v>
      </c>
      <c r="Y72" s="19">
        <v>0</v>
      </c>
      <c r="Z72" s="16">
        <f t="shared" si="63"/>
        <v>0</v>
      </c>
      <c r="AA72" s="16">
        <f t="shared" si="64"/>
        <v>0</v>
      </c>
      <c r="AB72" s="18">
        <f t="shared" si="65"/>
        <v>6</v>
      </c>
      <c r="AC72" s="16">
        <f t="shared" si="66"/>
        <v>73.5</v>
      </c>
      <c r="AD72" s="19">
        <v>0</v>
      </c>
      <c r="AE72" s="19">
        <v>0</v>
      </c>
      <c r="AF72" s="16">
        <f t="shared" si="67"/>
        <v>0</v>
      </c>
      <c r="AG72" s="16">
        <f t="shared" si="68"/>
        <v>0</v>
      </c>
      <c r="AH72" s="18">
        <f t="shared" si="92"/>
        <v>6</v>
      </c>
      <c r="AI72" s="16">
        <f t="shared" si="93"/>
        <v>73.5</v>
      </c>
      <c r="AJ72" s="19">
        <v>0</v>
      </c>
      <c r="AK72" s="19">
        <v>0</v>
      </c>
      <c r="AL72" s="16">
        <f t="shared" si="94"/>
        <v>0</v>
      </c>
      <c r="AM72" s="16">
        <f t="shared" si="95"/>
        <v>0</v>
      </c>
      <c r="AN72" s="18">
        <f t="shared" si="96"/>
        <v>6</v>
      </c>
      <c r="AO72" s="16">
        <f t="shared" si="97"/>
        <v>73.5</v>
      </c>
      <c r="AP72" s="19">
        <v>0</v>
      </c>
      <c r="AQ72" s="19">
        <v>0</v>
      </c>
      <c r="AR72" s="16">
        <f t="shared" si="98"/>
        <v>0</v>
      </c>
      <c r="AS72" s="16">
        <f t="shared" si="99"/>
        <v>0</v>
      </c>
      <c r="AT72" s="18">
        <f t="shared" si="100"/>
        <v>6</v>
      </c>
      <c r="AU72" s="16">
        <f t="shared" si="101"/>
        <v>73.5</v>
      </c>
      <c r="AV72" s="19">
        <v>0</v>
      </c>
      <c r="AW72" s="19">
        <v>0</v>
      </c>
      <c r="AX72" s="16">
        <f t="shared" si="102"/>
        <v>0</v>
      </c>
      <c r="AY72" s="16">
        <f t="shared" si="103"/>
        <v>0</v>
      </c>
      <c r="AZ72" s="18">
        <f t="shared" si="69"/>
        <v>6</v>
      </c>
      <c r="BA72" s="16">
        <f t="shared" si="70"/>
        <v>73.5</v>
      </c>
      <c r="BB72" s="19">
        <v>0</v>
      </c>
      <c r="BC72" s="19">
        <v>0</v>
      </c>
      <c r="BD72" s="16">
        <f t="shared" si="89"/>
        <v>0</v>
      </c>
      <c r="BE72" s="16">
        <f t="shared" si="88"/>
        <v>0</v>
      </c>
      <c r="BF72" s="18">
        <f t="shared" si="71"/>
        <v>6</v>
      </c>
      <c r="BG72" s="16">
        <f t="shared" si="72"/>
        <v>73.5</v>
      </c>
      <c r="BH72" s="19">
        <v>0</v>
      </c>
      <c r="BI72" s="19">
        <v>0</v>
      </c>
      <c r="BJ72" s="16">
        <f t="shared" si="73"/>
        <v>0</v>
      </c>
      <c r="BK72" s="16">
        <f t="shared" si="74"/>
        <v>0</v>
      </c>
      <c r="BL72" s="18">
        <f t="shared" si="75"/>
        <v>6</v>
      </c>
      <c r="BM72" s="16">
        <f t="shared" si="76"/>
        <v>73.5</v>
      </c>
      <c r="BN72" s="19">
        <v>0</v>
      </c>
      <c r="BO72" s="19">
        <v>0</v>
      </c>
      <c r="BP72" s="16">
        <f t="shared" si="77"/>
        <v>0</v>
      </c>
      <c r="BQ72" s="16">
        <f t="shared" si="78"/>
        <v>0</v>
      </c>
      <c r="BR72" s="18">
        <f t="shared" si="79"/>
        <v>6</v>
      </c>
      <c r="BS72" s="16">
        <f t="shared" si="80"/>
        <v>73.5</v>
      </c>
      <c r="BT72" s="19">
        <v>0</v>
      </c>
      <c r="BU72" s="19">
        <v>0</v>
      </c>
      <c r="BV72" s="16">
        <f t="shared" si="81"/>
        <v>0</v>
      </c>
      <c r="BW72" s="16">
        <f t="shared" si="82"/>
        <v>0</v>
      </c>
      <c r="BX72" s="18">
        <f t="shared" si="83"/>
        <v>6</v>
      </c>
      <c r="BY72" s="16">
        <f t="shared" si="84"/>
        <v>73.5</v>
      </c>
      <c r="BZ72" s="19">
        <v>0</v>
      </c>
      <c r="CA72" s="19">
        <v>0</v>
      </c>
      <c r="CB72" s="16">
        <f t="shared" si="85"/>
        <v>0</v>
      </c>
      <c r="CC72" s="16">
        <f t="shared" si="86"/>
        <v>0</v>
      </c>
      <c r="CD72" s="20">
        <f t="shared" si="91"/>
        <v>6</v>
      </c>
      <c r="CE72" s="21">
        <f t="shared" si="90"/>
        <v>73.5</v>
      </c>
    </row>
    <row r="73" spans="1:85" x14ac:dyDescent="0.25">
      <c r="B73" s="70"/>
      <c r="C73" s="175"/>
      <c r="D73" s="13" t="s">
        <v>121</v>
      </c>
      <c r="E73" s="22"/>
      <c r="F73" s="22"/>
      <c r="G73" s="22"/>
      <c r="H73" s="17"/>
      <c r="I73" s="30">
        <v>8.9</v>
      </c>
      <c r="J73" s="17"/>
      <c r="K73" s="16"/>
      <c r="L73" s="19"/>
      <c r="M73" s="19"/>
      <c r="N73" s="16"/>
      <c r="O73" s="16"/>
      <c r="P73" s="18"/>
      <c r="Q73" s="16"/>
      <c r="R73" s="19"/>
      <c r="S73" s="18"/>
      <c r="T73" s="16"/>
      <c r="U73" s="16"/>
      <c r="V73" s="18"/>
      <c r="W73" s="16"/>
      <c r="X73" s="19"/>
      <c r="Y73" s="19"/>
      <c r="Z73" s="16"/>
      <c r="AA73" s="16"/>
      <c r="AB73" s="18">
        <v>0</v>
      </c>
      <c r="AC73" s="16">
        <v>0</v>
      </c>
      <c r="AD73" s="19">
        <v>0</v>
      </c>
      <c r="AE73" s="19">
        <v>0</v>
      </c>
      <c r="AF73" s="16">
        <v>0</v>
      </c>
      <c r="AG73" s="16">
        <v>0</v>
      </c>
      <c r="AH73" s="18">
        <f t="shared" si="92"/>
        <v>0</v>
      </c>
      <c r="AI73" s="16">
        <f t="shared" si="93"/>
        <v>0</v>
      </c>
      <c r="AJ73" s="19">
        <v>0</v>
      </c>
      <c r="AK73" s="19">
        <v>0</v>
      </c>
      <c r="AL73" s="16">
        <f t="shared" si="94"/>
        <v>0</v>
      </c>
      <c r="AM73" s="16">
        <f t="shared" si="95"/>
        <v>0</v>
      </c>
      <c r="AN73" s="18">
        <f t="shared" si="96"/>
        <v>0</v>
      </c>
      <c r="AO73" s="16">
        <f t="shared" si="97"/>
        <v>0</v>
      </c>
      <c r="AP73" s="19">
        <v>0</v>
      </c>
      <c r="AQ73" s="19">
        <v>13</v>
      </c>
      <c r="AR73" s="16">
        <f t="shared" si="98"/>
        <v>115.7</v>
      </c>
      <c r="AS73" s="16">
        <f t="shared" si="99"/>
        <v>0</v>
      </c>
      <c r="AT73" s="18">
        <f t="shared" si="100"/>
        <v>13</v>
      </c>
      <c r="AU73" s="16">
        <f t="shared" si="101"/>
        <v>115.7</v>
      </c>
      <c r="AV73" s="19">
        <v>0</v>
      </c>
      <c r="AW73" s="19">
        <v>0</v>
      </c>
      <c r="AX73" s="16">
        <f t="shared" si="102"/>
        <v>0</v>
      </c>
      <c r="AY73" s="16">
        <f t="shared" si="103"/>
        <v>0</v>
      </c>
      <c r="AZ73" s="18">
        <f t="shared" si="69"/>
        <v>13</v>
      </c>
      <c r="BA73" s="16">
        <f t="shared" si="70"/>
        <v>115.7</v>
      </c>
      <c r="BB73" s="19">
        <v>0</v>
      </c>
      <c r="BC73" s="19">
        <v>0</v>
      </c>
      <c r="BD73" s="16">
        <f t="shared" si="89"/>
        <v>0</v>
      </c>
      <c r="BE73" s="16">
        <f t="shared" si="88"/>
        <v>0</v>
      </c>
      <c r="BF73" s="18">
        <f t="shared" si="71"/>
        <v>13</v>
      </c>
      <c r="BG73" s="16">
        <f t="shared" si="72"/>
        <v>115.7</v>
      </c>
      <c r="BH73" s="19">
        <v>0</v>
      </c>
      <c r="BI73" s="19">
        <v>0</v>
      </c>
      <c r="BJ73" s="16"/>
      <c r="BK73" s="16"/>
      <c r="BL73" s="18"/>
      <c r="BM73" s="16"/>
      <c r="BN73" s="19"/>
      <c r="BO73" s="19"/>
      <c r="BP73" s="16"/>
      <c r="BQ73" s="16"/>
      <c r="BR73" s="18"/>
      <c r="BS73" s="16"/>
      <c r="BT73" s="19"/>
      <c r="BU73" s="19"/>
      <c r="BV73" s="16"/>
      <c r="BW73" s="16"/>
      <c r="BX73" s="18"/>
      <c r="BY73" s="16"/>
      <c r="BZ73" s="19"/>
      <c r="CA73" s="19"/>
      <c r="CB73" s="16"/>
      <c r="CC73" s="16"/>
      <c r="CD73" s="20"/>
      <c r="CE73" s="21"/>
    </row>
    <row r="74" spans="1:85" x14ac:dyDescent="0.25">
      <c r="B74" s="70">
        <v>62</v>
      </c>
      <c r="C74" s="170" t="s">
        <v>122</v>
      </c>
      <c r="D74" s="41" t="s">
        <v>123</v>
      </c>
      <c r="E74" s="23">
        <v>2</v>
      </c>
      <c r="F74" s="23">
        <v>3</v>
      </c>
      <c r="G74" s="23">
        <v>4</v>
      </c>
      <c r="H74" s="40">
        <v>1</v>
      </c>
      <c r="I74" s="30">
        <v>10</v>
      </c>
      <c r="J74" s="40">
        <v>1</v>
      </c>
      <c r="K74" s="16">
        <f t="shared" si="0"/>
        <v>10</v>
      </c>
      <c r="L74" s="19">
        <v>1</v>
      </c>
      <c r="M74" s="19">
        <v>0</v>
      </c>
      <c r="N74" s="16">
        <f t="shared" si="55"/>
        <v>0</v>
      </c>
      <c r="O74" s="16">
        <f t="shared" si="56"/>
        <v>10</v>
      </c>
      <c r="P74" s="18">
        <f t="shared" si="57"/>
        <v>0</v>
      </c>
      <c r="Q74" s="16">
        <f t="shared" si="58"/>
        <v>0</v>
      </c>
      <c r="R74" s="19">
        <v>0</v>
      </c>
      <c r="S74" s="18">
        <v>0</v>
      </c>
      <c r="T74" s="16">
        <f t="shared" si="59"/>
        <v>0</v>
      </c>
      <c r="U74" s="16">
        <f t="shared" si="60"/>
        <v>0</v>
      </c>
      <c r="V74" s="18">
        <f t="shared" si="61"/>
        <v>0</v>
      </c>
      <c r="W74" s="16">
        <f t="shared" si="62"/>
        <v>0</v>
      </c>
      <c r="X74" s="19">
        <v>0</v>
      </c>
      <c r="Y74" s="19">
        <v>0</v>
      </c>
      <c r="Z74" s="16">
        <f t="shared" si="63"/>
        <v>0</v>
      </c>
      <c r="AA74" s="16">
        <f t="shared" si="64"/>
        <v>0</v>
      </c>
      <c r="AB74" s="18">
        <f t="shared" si="65"/>
        <v>0</v>
      </c>
      <c r="AC74" s="16">
        <f t="shared" si="66"/>
        <v>0</v>
      </c>
      <c r="AD74" s="19">
        <v>0</v>
      </c>
      <c r="AE74" s="19">
        <v>0</v>
      </c>
      <c r="AF74" s="16">
        <f t="shared" si="67"/>
        <v>0</v>
      </c>
      <c r="AG74" s="16">
        <f t="shared" si="68"/>
        <v>0</v>
      </c>
      <c r="AH74" s="18">
        <f t="shared" si="92"/>
        <v>0</v>
      </c>
      <c r="AI74" s="16">
        <f t="shared" si="93"/>
        <v>0</v>
      </c>
      <c r="AJ74" s="19">
        <v>0</v>
      </c>
      <c r="AK74" s="19">
        <v>0</v>
      </c>
      <c r="AL74" s="16">
        <f t="shared" si="94"/>
        <v>0</v>
      </c>
      <c r="AM74" s="16">
        <f t="shared" si="95"/>
        <v>0</v>
      </c>
      <c r="AN74" s="18">
        <f t="shared" si="96"/>
        <v>0</v>
      </c>
      <c r="AO74" s="16">
        <f t="shared" si="97"/>
        <v>0</v>
      </c>
      <c r="AP74" s="19">
        <v>0</v>
      </c>
      <c r="AQ74" s="19">
        <v>0</v>
      </c>
      <c r="AR74" s="16">
        <f t="shared" si="98"/>
        <v>0</v>
      </c>
      <c r="AS74" s="16">
        <f t="shared" si="99"/>
        <v>0</v>
      </c>
      <c r="AT74" s="18">
        <f t="shared" si="100"/>
        <v>0</v>
      </c>
      <c r="AU74" s="16">
        <f t="shared" si="101"/>
        <v>0</v>
      </c>
      <c r="AV74" s="19">
        <v>0</v>
      </c>
      <c r="AW74" s="19">
        <v>0</v>
      </c>
      <c r="AX74" s="16">
        <f t="shared" si="102"/>
        <v>0</v>
      </c>
      <c r="AY74" s="16">
        <f t="shared" si="103"/>
        <v>0</v>
      </c>
      <c r="AZ74" s="18">
        <f t="shared" si="69"/>
        <v>0</v>
      </c>
      <c r="BA74" s="16">
        <f t="shared" si="70"/>
        <v>0</v>
      </c>
      <c r="BB74" s="19">
        <v>0</v>
      </c>
      <c r="BC74" s="19">
        <v>0</v>
      </c>
      <c r="BD74" s="16">
        <f t="shared" si="89"/>
        <v>0</v>
      </c>
      <c r="BE74" s="16">
        <f t="shared" si="88"/>
        <v>0</v>
      </c>
      <c r="BF74" s="18">
        <f t="shared" si="71"/>
        <v>0</v>
      </c>
      <c r="BG74" s="16">
        <f t="shared" si="72"/>
        <v>0</v>
      </c>
      <c r="BH74" s="19">
        <v>0</v>
      </c>
      <c r="BI74" s="19">
        <v>0</v>
      </c>
      <c r="BJ74" s="16">
        <f t="shared" si="73"/>
        <v>0</v>
      </c>
      <c r="BK74" s="16">
        <f t="shared" si="74"/>
        <v>0</v>
      </c>
      <c r="BL74" s="18">
        <f t="shared" si="75"/>
        <v>0</v>
      </c>
      <c r="BM74" s="16">
        <f t="shared" si="76"/>
        <v>0</v>
      </c>
      <c r="BN74" s="19">
        <v>0</v>
      </c>
      <c r="BO74" s="19">
        <v>0</v>
      </c>
      <c r="BP74" s="16">
        <f t="shared" si="77"/>
        <v>0</v>
      </c>
      <c r="BQ74" s="16">
        <f t="shared" si="78"/>
        <v>0</v>
      </c>
      <c r="BR74" s="18">
        <f t="shared" si="79"/>
        <v>0</v>
      </c>
      <c r="BS74" s="16">
        <f t="shared" si="80"/>
        <v>0</v>
      </c>
      <c r="BT74" s="19">
        <v>0</v>
      </c>
      <c r="BU74" s="19">
        <v>0</v>
      </c>
      <c r="BV74" s="16">
        <f t="shared" si="81"/>
        <v>0</v>
      </c>
      <c r="BW74" s="16">
        <f t="shared" si="82"/>
        <v>0</v>
      </c>
      <c r="BX74" s="18">
        <f t="shared" si="83"/>
        <v>0</v>
      </c>
      <c r="BY74" s="16">
        <f t="shared" si="84"/>
        <v>0</v>
      </c>
      <c r="BZ74" s="19">
        <v>0</v>
      </c>
      <c r="CA74" s="19">
        <v>0</v>
      </c>
      <c r="CB74" s="16">
        <f t="shared" si="85"/>
        <v>0</v>
      </c>
      <c r="CC74" s="16">
        <f t="shared" si="86"/>
        <v>0</v>
      </c>
      <c r="CD74" s="20">
        <f t="shared" si="91"/>
        <v>0</v>
      </c>
      <c r="CE74" s="21">
        <f t="shared" si="90"/>
        <v>0</v>
      </c>
    </row>
    <row r="75" spans="1:85" x14ac:dyDescent="0.25">
      <c r="B75" s="70"/>
      <c r="C75" s="171"/>
      <c r="D75" s="41" t="s">
        <v>406</v>
      </c>
      <c r="E75" s="23"/>
      <c r="F75" s="23"/>
      <c r="G75" s="23"/>
      <c r="H75" s="40"/>
      <c r="I75" s="30">
        <v>8.5</v>
      </c>
      <c r="J75" s="40"/>
      <c r="K75" s="16"/>
      <c r="L75" s="19"/>
      <c r="M75" s="19"/>
      <c r="N75" s="16"/>
      <c r="O75" s="16"/>
      <c r="P75" s="18"/>
      <c r="Q75" s="16"/>
      <c r="R75" s="19"/>
      <c r="S75" s="18"/>
      <c r="T75" s="16"/>
      <c r="U75" s="16"/>
      <c r="V75" s="18"/>
      <c r="W75" s="16"/>
      <c r="X75" s="19"/>
      <c r="Y75" s="19"/>
      <c r="Z75" s="16"/>
      <c r="AA75" s="16"/>
      <c r="AB75" s="18">
        <v>0</v>
      </c>
      <c r="AC75" s="16">
        <v>0</v>
      </c>
      <c r="AD75" s="19">
        <v>0</v>
      </c>
      <c r="AE75" s="19">
        <v>0</v>
      </c>
      <c r="AF75" s="16">
        <v>0</v>
      </c>
      <c r="AG75" s="16">
        <f t="shared" si="68"/>
        <v>0</v>
      </c>
      <c r="AH75" s="18">
        <f t="shared" si="92"/>
        <v>0</v>
      </c>
      <c r="AI75" s="16">
        <f t="shared" si="93"/>
        <v>0</v>
      </c>
      <c r="AJ75" s="19">
        <v>0</v>
      </c>
      <c r="AK75" s="19">
        <v>5</v>
      </c>
      <c r="AL75" s="16">
        <f t="shared" si="94"/>
        <v>42.5</v>
      </c>
      <c r="AM75" s="16">
        <f t="shared" si="95"/>
        <v>0</v>
      </c>
      <c r="AN75" s="18">
        <f t="shared" si="96"/>
        <v>5</v>
      </c>
      <c r="AO75" s="16">
        <f t="shared" si="97"/>
        <v>42.5</v>
      </c>
      <c r="AP75" s="19">
        <v>0</v>
      </c>
      <c r="AQ75" s="19">
        <v>0</v>
      </c>
      <c r="AR75" s="16">
        <f t="shared" si="98"/>
        <v>0</v>
      </c>
      <c r="AS75" s="16">
        <f t="shared" si="99"/>
        <v>0</v>
      </c>
      <c r="AT75" s="18">
        <f t="shared" si="100"/>
        <v>5</v>
      </c>
      <c r="AU75" s="16">
        <f t="shared" si="101"/>
        <v>42.5</v>
      </c>
      <c r="AV75" s="19">
        <v>0</v>
      </c>
      <c r="AW75" s="19">
        <v>0</v>
      </c>
      <c r="AX75" s="16">
        <f t="shared" si="102"/>
        <v>0</v>
      </c>
      <c r="AY75" s="16">
        <f t="shared" si="103"/>
        <v>0</v>
      </c>
      <c r="AZ75" s="18">
        <f t="shared" si="69"/>
        <v>5</v>
      </c>
      <c r="BA75" s="16">
        <f t="shared" si="70"/>
        <v>42.5</v>
      </c>
      <c r="BB75" s="19">
        <v>0</v>
      </c>
      <c r="BC75" s="19">
        <v>0</v>
      </c>
      <c r="BD75" s="16">
        <f t="shared" si="89"/>
        <v>0</v>
      </c>
      <c r="BE75" s="16">
        <f t="shared" si="88"/>
        <v>0</v>
      </c>
      <c r="BF75" s="18">
        <f t="shared" si="71"/>
        <v>5</v>
      </c>
      <c r="BG75" s="16"/>
      <c r="BH75" s="19">
        <v>0</v>
      </c>
      <c r="BI75" s="19">
        <v>0</v>
      </c>
      <c r="BJ75" s="16"/>
      <c r="BK75" s="16"/>
      <c r="BL75" s="18"/>
      <c r="BM75" s="16"/>
      <c r="BN75" s="19"/>
      <c r="BO75" s="19"/>
      <c r="BP75" s="16"/>
      <c r="BQ75" s="16"/>
      <c r="BR75" s="18"/>
      <c r="BS75" s="16"/>
      <c r="BT75" s="19"/>
      <c r="BU75" s="19"/>
      <c r="BV75" s="16"/>
      <c r="BW75" s="16"/>
      <c r="BX75" s="18"/>
      <c r="BY75" s="16"/>
      <c r="BZ75" s="19"/>
      <c r="CA75" s="19"/>
      <c r="CB75" s="16"/>
      <c r="CC75" s="16"/>
      <c r="CD75" s="20"/>
      <c r="CE75" s="21"/>
    </row>
    <row r="76" spans="1:85" x14ac:dyDescent="0.25">
      <c r="A76" s="23">
        <v>45</v>
      </c>
      <c r="B76" s="70">
        <v>63</v>
      </c>
      <c r="C76" s="174" t="s">
        <v>124</v>
      </c>
      <c r="D76" s="13" t="s">
        <v>125</v>
      </c>
      <c r="E76" s="23">
        <v>5</v>
      </c>
      <c r="F76" s="23">
        <v>10</v>
      </c>
      <c r="G76" s="23">
        <v>15</v>
      </c>
      <c r="H76" s="17">
        <v>8</v>
      </c>
      <c r="I76" s="30">
        <v>9</v>
      </c>
      <c r="J76" s="17">
        <v>8</v>
      </c>
      <c r="K76" s="16">
        <f t="shared" si="0"/>
        <v>72</v>
      </c>
      <c r="L76" s="19">
        <v>0</v>
      </c>
      <c r="M76" s="19">
        <v>0</v>
      </c>
      <c r="N76" s="16">
        <f t="shared" si="55"/>
        <v>0</v>
      </c>
      <c r="O76" s="16">
        <f t="shared" si="56"/>
        <v>0</v>
      </c>
      <c r="P76" s="18">
        <f t="shared" si="57"/>
        <v>8</v>
      </c>
      <c r="Q76" s="16">
        <f t="shared" si="58"/>
        <v>72</v>
      </c>
      <c r="R76" s="19">
        <v>0</v>
      </c>
      <c r="S76" s="18">
        <v>0</v>
      </c>
      <c r="T76" s="16">
        <f t="shared" si="59"/>
        <v>0</v>
      </c>
      <c r="U76" s="16">
        <f t="shared" si="60"/>
        <v>0</v>
      </c>
      <c r="V76" s="18">
        <f t="shared" si="61"/>
        <v>8</v>
      </c>
      <c r="W76" s="16">
        <f t="shared" si="62"/>
        <v>72</v>
      </c>
      <c r="X76" s="19">
        <v>0</v>
      </c>
      <c r="Y76" s="19">
        <v>0</v>
      </c>
      <c r="Z76" s="16">
        <f t="shared" si="63"/>
        <v>0</v>
      </c>
      <c r="AA76" s="16">
        <f t="shared" si="64"/>
        <v>0</v>
      </c>
      <c r="AB76" s="18">
        <f t="shared" si="65"/>
        <v>8</v>
      </c>
      <c r="AC76" s="16">
        <f t="shared" si="66"/>
        <v>72</v>
      </c>
      <c r="AD76" s="19">
        <v>0</v>
      </c>
      <c r="AE76" s="19">
        <v>0</v>
      </c>
      <c r="AF76" s="16">
        <f t="shared" si="67"/>
        <v>0</v>
      </c>
      <c r="AG76" s="16">
        <f t="shared" si="68"/>
        <v>0</v>
      </c>
      <c r="AH76" s="18">
        <f t="shared" si="92"/>
        <v>8</v>
      </c>
      <c r="AI76" s="16">
        <f t="shared" si="93"/>
        <v>72</v>
      </c>
      <c r="AJ76" s="19">
        <v>8</v>
      </c>
      <c r="AK76" s="19">
        <v>0</v>
      </c>
      <c r="AL76" s="16">
        <f t="shared" si="94"/>
        <v>0</v>
      </c>
      <c r="AM76" s="16">
        <f t="shared" si="95"/>
        <v>72</v>
      </c>
      <c r="AN76" s="18">
        <f t="shared" si="96"/>
        <v>0</v>
      </c>
      <c r="AO76" s="16">
        <f t="shared" si="97"/>
        <v>0</v>
      </c>
      <c r="AP76" s="19">
        <v>0</v>
      </c>
      <c r="AQ76" s="19">
        <v>0</v>
      </c>
      <c r="AR76" s="16">
        <f t="shared" si="98"/>
        <v>0</v>
      </c>
      <c r="AS76" s="16">
        <f t="shared" si="99"/>
        <v>0</v>
      </c>
      <c r="AT76" s="18">
        <f t="shared" si="100"/>
        <v>0</v>
      </c>
      <c r="AU76" s="16">
        <f t="shared" si="101"/>
        <v>0</v>
      </c>
      <c r="AV76" s="19">
        <v>0</v>
      </c>
      <c r="AW76" s="19">
        <v>0</v>
      </c>
      <c r="AX76" s="16">
        <f t="shared" si="102"/>
        <v>0</v>
      </c>
      <c r="AY76" s="16">
        <f t="shared" si="103"/>
        <v>0</v>
      </c>
      <c r="AZ76" s="18">
        <f t="shared" si="69"/>
        <v>0</v>
      </c>
      <c r="BA76" s="16">
        <f t="shared" si="70"/>
        <v>0</v>
      </c>
      <c r="BB76" s="19">
        <v>0</v>
      </c>
      <c r="BC76" s="19">
        <v>0</v>
      </c>
      <c r="BD76" s="16">
        <f t="shared" si="89"/>
        <v>0</v>
      </c>
      <c r="BE76" s="16">
        <f t="shared" si="88"/>
        <v>0</v>
      </c>
      <c r="BF76" s="18">
        <f t="shared" si="71"/>
        <v>0</v>
      </c>
      <c r="BG76" s="16">
        <f t="shared" si="72"/>
        <v>0</v>
      </c>
      <c r="BH76" s="19">
        <v>0</v>
      </c>
      <c r="BI76" s="19">
        <v>0</v>
      </c>
      <c r="BJ76" s="16">
        <f t="shared" si="73"/>
        <v>0</v>
      </c>
      <c r="BK76" s="16">
        <f t="shared" si="74"/>
        <v>0</v>
      </c>
      <c r="BL76" s="18">
        <f t="shared" si="75"/>
        <v>0</v>
      </c>
      <c r="BM76" s="16">
        <f t="shared" si="76"/>
        <v>0</v>
      </c>
      <c r="BN76" s="19">
        <v>0</v>
      </c>
      <c r="BO76" s="19">
        <v>0</v>
      </c>
      <c r="BP76" s="16">
        <f t="shared" si="77"/>
        <v>0</v>
      </c>
      <c r="BQ76" s="16">
        <f t="shared" si="78"/>
        <v>0</v>
      </c>
      <c r="BR76" s="18">
        <f t="shared" si="79"/>
        <v>0</v>
      </c>
      <c r="BS76" s="16">
        <f t="shared" si="80"/>
        <v>0</v>
      </c>
      <c r="BT76" s="19">
        <v>0</v>
      </c>
      <c r="BU76" s="19">
        <v>0</v>
      </c>
      <c r="BV76" s="16">
        <f t="shared" si="81"/>
        <v>0</v>
      </c>
      <c r="BW76" s="16">
        <f t="shared" si="82"/>
        <v>0</v>
      </c>
      <c r="BX76" s="18">
        <f t="shared" si="83"/>
        <v>0</v>
      </c>
      <c r="BY76" s="16">
        <f t="shared" si="84"/>
        <v>0</v>
      </c>
      <c r="BZ76" s="19">
        <v>0</v>
      </c>
      <c r="CA76" s="19">
        <v>0</v>
      </c>
      <c r="CB76" s="16">
        <f t="shared" si="85"/>
        <v>0</v>
      </c>
      <c r="CC76" s="16">
        <f t="shared" si="86"/>
        <v>0</v>
      </c>
      <c r="CD76" s="20">
        <f t="shared" si="91"/>
        <v>0</v>
      </c>
      <c r="CE76" s="21">
        <f t="shared" si="90"/>
        <v>0</v>
      </c>
    </row>
    <row r="77" spans="1:85" x14ac:dyDescent="0.25">
      <c r="A77" s="23"/>
      <c r="B77" s="70"/>
      <c r="C77" s="175"/>
      <c r="D77" s="13" t="s">
        <v>478</v>
      </c>
      <c r="E77" s="22"/>
      <c r="F77" s="22"/>
      <c r="G77" s="22"/>
      <c r="H77" s="17"/>
      <c r="I77" s="30">
        <v>8.6999999999999993</v>
      </c>
      <c r="J77" s="17"/>
      <c r="K77" s="16"/>
      <c r="L77" s="19"/>
      <c r="M77" s="19"/>
      <c r="N77" s="16"/>
      <c r="O77" s="16"/>
      <c r="P77" s="18"/>
      <c r="Q77" s="16"/>
      <c r="R77" s="19"/>
      <c r="S77" s="18"/>
      <c r="T77" s="16"/>
      <c r="U77" s="16"/>
      <c r="V77" s="18"/>
      <c r="W77" s="16"/>
      <c r="X77" s="19"/>
      <c r="Y77" s="19"/>
      <c r="Z77" s="16"/>
      <c r="AA77" s="16"/>
      <c r="AB77" s="18"/>
      <c r="AC77" s="16"/>
      <c r="AD77" s="19"/>
      <c r="AE77" s="19"/>
      <c r="AF77" s="16"/>
      <c r="AG77" s="16"/>
      <c r="AH77" s="18"/>
      <c r="AI77" s="16"/>
      <c r="AJ77" s="19"/>
      <c r="AK77" s="19"/>
      <c r="AL77" s="16"/>
      <c r="AM77" s="16"/>
      <c r="AN77" s="18"/>
      <c r="AO77" s="16"/>
      <c r="AP77" s="19"/>
      <c r="AQ77" s="19"/>
      <c r="AR77" s="16"/>
      <c r="AS77" s="16"/>
      <c r="AT77" s="18"/>
      <c r="AU77" s="16"/>
      <c r="AV77" s="19">
        <v>0</v>
      </c>
      <c r="AW77" s="19">
        <v>0</v>
      </c>
      <c r="AX77" s="16">
        <f t="shared" si="102"/>
        <v>0</v>
      </c>
      <c r="AY77" s="16">
        <f t="shared" si="103"/>
        <v>0</v>
      </c>
      <c r="AZ77" s="18">
        <f t="shared" si="69"/>
        <v>0</v>
      </c>
      <c r="BA77" s="16">
        <f t="shared" si="70"/>
        <v>0</v>
      </c>
      <c r="BB77" s="19">
        <v>0</v>
      </c>
      <c r="BC77" s="19">
        <v>10</v>
      </c>
      <c r="BD77" s="16">
        <f t="shared" si="89"/>
        <v>87</v>
      </c>
      <c r="BE77" s="16"/>
      <c r="BF77" s="18">
        <f t="shared" si="71"/>
        <v>10</v>
      </c>
      <c r="BG77" s="16">
        <v>0</v>
      </c>
      <c r="BH77" s="19">
        <v>0</v>
      </c>
      <c r="BI77" s="19">
        <v>0</v>
      </c>
      <c r="BJ77" s="16"/>
      <c r="BK77" s="16"/>
      <c r="BL77" s="18"/>
      <c r="BM77" s="16"/>
      <c r="BN77" s="19"/>
      <c r="BO77" s="19"/>
      <c r="BP77" s="16"/>
      <c r="BQ77" s="16"/>
      <c r="BR77" s="18"/>
      <c r="BS77" s="16"/>
      <c r="BT77" s="19"/>
      <c r="BU77" s="19"/>
      <c r="BV77" s="16"/>
      <c r="BW77" s="16"/>
      <c r="BX77" s="18"/>
      <c r="BY77" s="16"/>
      <c r="BZ77" s="19"/>
      <c r="CA77" s="19"/>
      <c r="CB77" s="16"/>
      <c r="CC77" s="16"/>
      <c r="CD77" s="20"/>
      <c r="CE77" s="21"/>
    </row>
    <row r="78" spans="1:85" x14ac:dyDescent="0.25">
      <c r="A78" s="23"/>
      <c r="B78" s="70">
        <v>64</v>
      </c>
      <c r="C78" s="174" t="s">
        <v>126</v>
      </c>
      <c r="D78" s="13" t="s">
        <v>127</v>
      </c>
      <c r="E78" s="22">
        <v>5</v>
      </c>
      <c r="F78" s="22">
        <v>10</v>
      </c>
      <c r="G78" s="22">
        <v>15</v>
      </c>
      <c r="H78" s="17">
        <v>1</v>
      </c>
      <c r="I78" s="30">
        <v>18</v>
      </c>
      <c r="J78" s="17">
        <v>1</v>
      </c>
      <c r="K78" s="16">
        <f t="shared" si="0"/>
        <v>18</v>
      </c>
      <c r="L78" s="19">
        <v>0</v>
      </c>
      <c r="M78" s="19">
        <v>0</v>
      </c>
      <c r="N78" s="16">
        <f t="shared" si="55"/>
        <v>0</v>
      </c>
      <c r="O78" s="16">
        <f t="shared" si="56"/>
        <v>0</v>
      </c>
      <c r="P78" s="18">
        <f t="shared" si="57"/>
        <v>1</v>
      </c>
      <c r="Q78" s="16">
        <f t="shared" si="58"/>
        <v>18</v>
      </c>
      <c r="R78" s="19">
        <v>0</v>
      </c>
      <c r="S78" s="18">
        <v>0</v>
      </c>
      <c r="T78" s="16">
        <f t="shared" si="59"/>
        <v>0</v>
      </c>
      <c r="U78" s="16">
        <f t="shared" si="60"/>
        <v>0</v>
      </c>
      <c r="V78" s="18">
        <f t="shared" si="61"/>
        <v>1</v>
      </c>
      <c r="W78" s="16">
        <f t="shared" si="62"/>
        <v>18</v>
      </c>
      <c r="X78" s="19">
        <v>0</v>
      </c>
      <c r="Y78" s="19">
        <v>0</v>
      </c>
      <c r="Z78" s="16">
        <f t="shared" si="63"/>
        <v>0</v>
      </c>
      <c r="AA78" s="16">
        <f t="shared" si="64"/>
        <v>0</v>
      </c>
      <c r="AB78" s="18">
        <f t="shared" si="65"/>
        <v>1</v>
      </c>
      <c r="AC78" s="16">
        <f t="shared" si="66"/>
        <v>18</v>
      </c>
      <c r="AD78" s="19">
        <v>0</v>
      </c>
      <c r="AE78" s="19">
        <v>0</v>
      </c>
      <c r="AF78" s="16">
        <f t="shared" si="67"/>
        <v>0</v>
      </c>
      <c r="AG78" s="16">
        <f t="shared" si="68"/>
        <v>0</v>
      </c>
      <c r="AH78" s="18">
        <f t="shared" si="92"/>
        <v>1</v>
      </c>
      <c r="AI78" s="16">
        <f t="shared" si="93"/>
        <v>18</v>
      </c>
      <c r="AJ78" s="19">
        <v>0</v>
      </c>
      <c r="AK78" s="19">
        <v>0</v>
      </c>
      <c r="AL78" s="16">
        <f t="shared" si="94"/>
        <v>0</v>
      </c>
      <c r="AM78" s="16">
        <f t="shared" si="95"/>
        <v>0</v>
      </c>
      <c r="AN78" s="18">
        <f t="shared" si="96"/>
        <v>1</v>
      </c>
      <c r="AO78" s="16">
        <f t="shared" si="97"/>
        <v>18</v>
      </c>
      <c r="AP78" s="19">
        <v>0</v>
      </c>
      <c r="AQ78" s="19">
        <v>0</v>
      </c>
      <c r="AR78" s="16">
        <f t="shared" si="98"/>
        <v>0</v>
      </c>
      <c r="AS78" s="16">
        <f t="shared" si="99"/>
        <v>0</v>
      </c>
      <c r="AT78" s="18">
        <f t="shared" si="100"/>
        <v>1</v>
      </c>
      <c r="AU78" s="16">
        <f t="shared" si="101"/>
        <v>18</v>
      </c>
      <c r="AV78" s="19">
        <v>0</v>
      </c>
      <c r="AW78" s="19">
        <v>0</v>
      </c>
      <c r="AX78" s="16">
        <f t="shared" si="102"/>
        <v>0</v>
      </c>
      <c r="AY78" s="16">
        <f t="shared" si="103"/>
        <v>0</v>
      </c>
      <c r="AZ78" s="18">
        <f t="shared" si="69"/>
        <v>1</v>
      </c>
      <c r="BA78" s="16">
        <f t="shared" si="70"/>
        <v>18</v>
      </c>
      <c r="BB78" s="19">
        <v>0</v>
      </c>
      <c r="BC78" s="19">
        <v>0</v>
      </c>
      <c r="BD78" s="16">
        <f t="shared" si="89"/>
        <v>0</v>
      </c>
      <c r="BE78" s="16">
        <f t="shared" si="88"/>
        <v>0</v>
      </c>
      <c r="BF78" s="18">
        <f t="shared" si="71"/>
        <v>1</v>
      </c>
      <c r="BG78" s="16">
        <f t="shared" si="72"/>
        <v>18</v>
      </c>
      <c r="BH78" s="19">
        <v>0</v>
      </c>
      <c r="BI78" s="19">
        <v>0</v>
      </c>
      <c r="BJ78" s="16">
        <f t="shared" si="73"/>
        <v>0</v>
      </c>
      <c r="BK78" s="16">
        <f t="shared" si="74"/>
        <v>0</v>
      </c>
      <c r="BL78" s="18">
        <f t="shared" si="75"/>
        <v>1</v>
      </c>
      <c r="BM78" s="16">
        <f t="shared" si="76"/>
        <v>18</v>
      </c>
      <c r="BN78" s="19">
        <v>0</v>
      </c>
      <c r="BO78" s="19">
        <v>0</v>
      </c>
      <c r="BP78" s="16">
        <f t="shared" si="77"/>
        <v>0</v>
      </c>
      <c r="BQ78" s="16">
        <f t="shared" si="78"/>
        <v>0</v>
      </c>
      <c r="BR78" s="18">
        <f t="shared" si="79"/>
        <v>1</v>
      </c>
      <c r="BS78" s="16">
        <f t="shared" si="80"/>
        <v>18</v>
      </c>
      <c r="BT78" s="19">
        <v>0</v>
      </c>
      <c r="BU78" s="19">
        <v>0</v>
      </c>
      <c r="BV78" s="16">
        <f t="shared" si="81"/>
        <v>0</v>
      </c>
      <c r="BW78" s="16">
        <f t="shared" si="82"/>
        <v>0</v>
      </c>
      <c r="BX78" s="18">
        <f t="shared" si="83"/>
        <v>1</v>
      </c>
      <c r="BY78" s="16">
        <f t="shared" si="84"/>
        <v>18</v>
      </c>
      <c r="BZ78" s="19">
        <v>0</v>
      </c>
      <c r="CA78" s="19">
        <v>0</v>
      </c>
      <c r="CB78" s="16">
        <f t="shared" si="85"/>
        <v>0</v>
      </c>
      <c r="CC78" s="16">
        <f t="shared" si="86"/>
        <v>0</v>
      </c>
      <c r="CD78" s="20">
        <f t="shared" si="91"/>
        <v>1</v>
      </c>
      <c r="CE78" s="21">
        <f t="shared" si="90"/>
        <v>18</v>
      </c>
    </row>
    <row r="79" spans="1:85" x14ac:dyDescent="0.25">
      <c r="A79" s="23"/>
      <c r="B79" s="70">
        <v>65</v>
      </c>
      <c r="C79" s="175"/>
      <c r="D79" s="13" t="s">
        <v>128</v>
      </c>
      <c r="E79" s="80"/>
      <c r="F79" s="80"/>
      <c r="G79" s="80"/>
      <c r="H79" s="17">
        <v>5</v>
      </c>
      <c r="I79" s="30">
        <v>14.3</v>
      </c>
      <c r="J79" s="17">
        <v>5</v>
      </c>
      <c r="K79" s="16">
        <f t="shared" ref="K79:K152" si="104">SUM(J79*I79)</f>
        <v>71.5</v>
      </c>
      <c r="L79" s="19">
        <v>0</v>
      </c>
      <c r="M79" s="19">
        <v>0</v>
      </c>
      <c r="N79" s="16">
        <f t="shared" si="55"/>
        <v>0</v>
      </c>
      <c r="O79" s="16">
        <f t="shared" si="56"/>
        <v>0</v>
      </c>
      <c r="P79" s="18">
        <f t="shared" si="57"/>
        <v>5</v>
      </c>
      <c r="Q79" s="16">
        <f t="shared" si="58"/>
        <v>71.5</v>
      </c>
      <c r="R79" s="19">
        <v>0</v>
      </c>
      <c r="S79" s="18">
        <v>0</v>
      </c>
      <c r="T79" s="16">
        <f t="shared" si="59"/>
        <v>0</v>
      </c>
      <c r="U79" s="16">
        <f t="shared" si="60"/>
        <v>0</v>
      </c>
      <c r="V79" s="18">
        <f t="shared" si="61"/>
        <v>5</v>
      </c>
      <c r="W79" s="16">
        <f t="shared" si="62"/>
        <v>71.5</v>
      </c>
      <c r="X79" s="19">
        <v>0</v>
      </c>
      <c r="Y79" s="19">
        <v>0</v>
      </c>
      <c r="Z79" s="16">
        <f t="shared" si="63"/>
        <v>0</v>
      </c>
      <c r="AA79" s="16">
        <f t="shared" si="64"/>
        <v>0</v>
      </c>
      <c r="AB79" s="18">
        <f t="shared" si="65"/>
        <v>5</v>
      </c>
      <c r="AC79" s="16">
        <f t="shared" si="66"/>
        <v>71.5</v>
      </c>
      <c r="AD79" s="19">
        <v>0</v>
      </c>
      <c r="AE79" s="19">
        <v>0</v>
      </c>
      <c r="AF79" s="16">
        <f t="shared" si="67"/>
        <v>0</v>
      </c>
      <c r="AG79" s="16">
        <f t="shared" si="68"/>
        <v>0</v>
      </c>
      <c r="AH79" s="18">
        <f t="shared" si="92"/>
        <v>5</v>
      </c>
      <c r="AI79" s="16">
        <f t="shared" si="93"/>
        <v>71.5</v>
      </c>
      <c r="AJ79" s="19">
        <v>0</v>
      </c>
      <c r="AK79" s="19">
        <v>0</v>
      </c>
      <c r="AL79" s="16">
        <f t="shared" si="94"/>
        <v>0</v>
      </c>
      <c r="AM79" s="16">
        <f t="shared" si="95"/>
        <v>0</v>
      </c>
      <c r="AN79" s="18">
        <f t="shared" si="96"/>
        <v>5</v>
      </c>
      <c r="AO79" s="16">
        <f t="shared" si="97"/>
        <v>71.5</v>
      </c>
      <c r="AP79" s="19">
        <v>0</v>
      </c>
      <c r="AQ79" s="19">
        <v>0</v>
      </c>
      <c r="AR79" s="16">
        <f t="shared" si="98"/>
        <v>0</v>
      </c>
      <c r="AS79" s="16">
        <f t="shared" si="99"/>
        <v>0</v>
      </c>
      <c r="AT79" s="18">
        <f t="shared" si="100"/>
        <v>5</v>
      </c>
      <c r="AU79" s="16">
        <f t="shared" si="101"/>
        <v>71.5</v>
      </c>
      <c r="AV79" s="19">
        <v>0</v>
      </c>
      <c r="AW79" s="19">
        <v>0</v>
      </c>
      <c r="AX79" s="16">
        <f t="shared" si="102"/>
        <v>0</v>
      </c>
      <c r="AY79" s="16">
        <f t="shared" si="103"/>
        <v>0</v>
      </c>
      <c r="AZ79" s="18">
        <f t="shared" si="69"/>
        <v>5</v>
      </c>
      <c r="BA79" s="16">
        <f t="shared" si="70"/>
        <v>71.5</v>
      </c>
      <c r="BB79" s="19">
        <v>0</v>
      </c>
      <c r="BC79" s="19">
        <v>0</v>
      </c>
      <c r="BD79" s="16">
        <f t="shared" si="89"/>
        <v>0</v>
      </c>
      <c r="BE79" s="16">
        <f t="shared" si="88"/>
        <v>0</v>
      </c>
      <c r="BF79" s="18">
        <f t="shared" si="71"/>
        <v>5</v>
      </c>
      <c r="BG79" s="16">
        <f t="shared" si="72"/>
        <v>71.5</v>
      </c>
      <c r="BH79" s="19">
        <v>0</v>
      </c>
      <c r="BI79" s="19">
        <v>0</v>
      </c>
      <c r="BJ79" s="16">
        <f t="shared" si="73"/>
        <v>0</v>
      </c>
      <c r="BK79" s="16">
        <f t="shared" si="74"/>
        <v>0</v>
      </c>
      <c r="BL79" s="18">
        <f t="shared" si="75"/>
        <v>5</v>
      </c>
      <c r="BM79" s="16">
        <f t="shared" si="76"/>
        <v>71.5</v>
      </c>
      <c r="BN79" s="19">
        <v>0</v>
      </c>
      <c r="BO79" s="19">
        <v>0</v>
      </c>
      <c r="BP79" s="16">
        <f t="shared" si="77"/>
        <v>0</v>
      </c>
      <c r="BQ79" s="16">
        <f t="shared" si="78"/>
        <v>0</v>
      </c>
      <c r="BR79" s="18">
        <f t="shared" si="79"/>
        <v>5</v>
      </c>
      <c r="BS79" s="16">
        <f t="shared" si="80"/>
        <v>71.5</v>
      </c>
      <c r="BT79" s="19">
        <v>0</v>
      </c>
      <c r="BU79" s="19">
        <v>0</v>
      </c>
      <c r="BV79" s="16">
        <f t="shared" si="81"/>
        <v>0</v>
      </c>
      <c r="BW79" s="16">
        <f t="shared" si="82"/>
        <v>0</v>
      </c>
      <c r="BX79" s="18">
        <f t="shared" si="83"/>
        <v>5</v>
      </c>
      <c r="BY79" s="16">
        <f t="shared" si="84"/>
        <v>71.5</v>
      </c>
      <c r="BZ79" s="19">
        <v>0</v>
      </c>
      <c r="CA79" s="19">
        <v>0</v>
      </c>
      <c r="CB79" s="16">
        <f t="shared" si="85"/>
        <v>0</v>
      </c>
      <c r="CC79" s="16">
        <f t="shared" si="86"/>
        <v>0</v>
      </c>
      <c r="CD79" s="20">
        <f t="shared" si="91"/>
        <v>5</v>
      </c>
      <c r="CE79" s="21">
        <f t="shared" ref="CE79:CE113" si="105">CD79*I79</f>
        <v>71.5</v>
      </c>
    </row>
    <row r="80" spans="1:85" ht="18.75" customHeight="1" x14ac:dyDescent="0.25">
      <c r="A80" s="23"/>
      <c r="B80" s="70">
        <v>66</v>
      </c>
      <c r="C80" s="174" t="s">
        <v>129</v>
      </c>
      <c r="D80" s="13" t="s">
        <v>130</v>
      </c>
      <c r="E80" s="22"/>
      <c r="F80" s="22"/>
      <c r="G80" s="22"/>
      <c r="H80" s="17">
        <v>13</v>
      </c>
      <c r="I80" s="30">
        <v>1.5</v>
      </c>
      <c r="J80" s="17">
        <v>13</v>
      </c>
      <c r="K80" s="16">
        <f t="shared" si="104"/>
        <v>19.5</v>
      </c>
      <c r="L80" s="19">
        <v>2</v>
      </c>
      <c r="M80" s="19">
        <v>0</v>
      </c>
      <c r="N80" s="16">
        <f t="shared" ref="N80:N153" si="106">M80*I80</f>
        <v>0</v>
      </c>
      <c r="O80" s="16">
        <f t="shared" ref="O80:O153" si="107">L80*I80</f>
        <v>3</v>
      </c>
      <c r="P80" s="18">
        <f t="shared" ref="P80:P150" si="108">J80-L80+M80</f>
        <v>11</v>
      </c>
      <c r="Q80" s="16">
        <f t="shared" ref="Q80:Q150" si="109">P80*I80</f>
        <v>16.5</v>
      </c>
      <c r="R80" s="19">
        <v>1</v>
      </c>
      <c r="S80" s="18">
        <v>0</v>
      </c>
      <c r="T80" s="16">
        <f t="shared" ref="T80:T150" si="110">S80*I80</f>
        <v>0</v>
      </c>
      <c r="U80" s="16">
        <f t="shared" ref="U80:U150" si="111">R80*I80</f>
        <v>1.5</v>
      </c>
      <c r="V80" s="18">
        <f t="shared" ref="V80:V150" si="112">P80-R80+S80</f>
        <v>10</v>
      </c>
      <c r="W80" s="16">
        <f t="shared" ref="W80:W150" si="113">V80*I80</f>
        <v>15</v>
      </c>
      <c r="X80" s="19">
        <v>0</v>
      </c>
      <c r="Y80" s="19">
        <v>0</v>
      </c>
      <c r="Z80" s="16">
        <f t="shared" ref="Z80:Z150" si="114">Y80*I80</f>
        <v>0</v>
      </c>
      <c r="AA80" s="16">
        <f t="shared" ref="AA80:AA150" si="115">X80*I80</f>
        <v>0</v>
      </c>
      <c r="AB80" s="18">
        <f t="shared" ref="AB80:AB150" si="116">V80-X80+Y80</f>
        <v>10</v>
      </c>
      <c r="AC80" s="16">
        <f t="shared" ref="AC80:AC150" si="117">AB80*I80</f>
        <v>15</v>
      </c>
      <c r="AD80" s="19">
        <v>2</v>
      </c>
      <c r="AE80" s="19">
        <v>0</v>
      </c>
      <c r="AF80" s="16">
        <f t="shared" ref="AF80:AF150" si="118">AE80*I80</f>
        <v>0</v>
      </c>
      <c r="AG80" s="16">
        <f t="shared" ref="AG80:AG150" si="119">AD80*I80</f>
        <v>3</v>
      </c>
      <c r="AH80" s="18">
        <f t="shared" si="92"/>
        <v>8</v>
      </c>
      <c r="AI80" s="16">
        <f t="shared" si="93"/>
        <v>12</v>
      </c>
      <c r="AJ80" s="19">
        <v>0</v>
      </c>
      <c r="AK80" s="19">
        <v>0</v>
      </c>
      <c r="AL80" s="16">
        <f t="shared" si="94"/>
        <v>0</v>
      </c>
      <c r="AM80" s="16">
        <f t="shared" si="95"/>
        <v>0</v>
      </c>
      <c r="AN80" s="18">
        <f t="shared" si="96"/>
        <v>8</v>
      </c>
      <c r="AO80" s="16">
        <f t="shared" si="97"/>
        <v>12</v>
      </c>
      <c r="AP80" s="19">
        <v>0</v>
      </c>
      <c r="AQ80" s="19">
        <v>0</v>
      </c>
      <c r="AR80" s="16">
        <f t="shared" si="98"/>
        <v>0</v>
      </c>
      <c r="AS80" s="16">
        <f t="shared" si="99"/>
        <v>0</v>
      </c>
      <c r="AT80" s="18">
        <f t="shared" si="100"/>
        <v>8</v>
      </c>
      <c r="AU80" s="16">
        <f t="shared" si="101"/>
        <v>12</v>
      </c>
      <c r="AV80" s="19">
        <v>2</v>
      </c>
      <c r="AW80" s="19">
        <v>0</v>
      </c>
      <c r="AX80" s="16">
        <f t="shared" si="102"/>
        <v>0</v>
      </c>
      <c r="AY80" s="16">
        <f t="shared" si="103"/>
        <v>3</v>
      </c>
      <c r="AZ80" s="18">
        <f t="shared" ref="AZ80:AZ153" si="120">AT80-AV80+AW80</f>
        <v>6</v>
      </c>
      <c r="BA80" s="16">
        <f t="shared" ref="BA80:BA153" si="121">AZ80*I80</f>
        <v>9</v>
      </c>
      <c r="BB80" s="19">
        <v>0</v>
      </c>
      <c r="BC80" s="19">
        <v>0</v>
      </c>
      <c r="BD80" s="16">
        <f t="shared" ref="BD80:BD153" si="122">BC80*I80</f>
        <v>0</v>
      </c>
      <c r="BE80" s="16">
        <f t="shared" ref="BE80:BE153" si="123">BB80*I80</f>
        <v>0</v>
      </c>
      <c r="BF80" s="18">
        <f t="shared" ref="BF80:BF153" si="124">AZ80-BB80+BC80</f>
        <v>6</v>
      </c>
      <c r="BG80" s="16">
        <f t="shared" ref="BG80:BG153" si="125">BF80*I80</f>
        <v>9</v>
      </c>
      <c r="BH80" s="19">
        <v>0</v>
      </c>
      <c r="BI80" s="19">
        <v>0</v>
      </c>
      <c r="BJ80" s="16">
        <f t="shared" ref="BJ80:BJ153" si="126">BI80*I80</f>
        <v>0</v>
      </c>
      <c r="BK80" s="16">
        <f t="shared" ref="BK80:BK153" si="127">BH80*I80</f>
        <v>0</v>
      </c>
      <c r="BL80" s="18">
        <f t="shared" ref="BL80:BL153" si="128">BF80-BH80+BI80</f>
        <v>6</v>
      </c>
      <c r="BM80" s="16">
        <f t="shared" ref="BM80:BM153" si="129">BL80*I80</f>
        <v>9</v>
      </c>
      <c r="BN80" s="19">
        <v>0</v>
      </c>
      <c r="BO80" s="19">
        <v>0</v>
      </c>
      <c r="BP80" s="16">
        <f t="shared" ref="BP80:BP153" si="130">BO80*I80</f>
        <v>0</v>
      </c>
      <c r="BQ80" s="16">
        <f t="shared" ref="BQ80:BQ153" si="131">BN80*I80</f>
        <v>0</v>
      </c>
      <c r="BR80" s="18">
        <f t="shared" ref="BR80:BR153" si="132">BL80-BN80+BO80</f>
        <v>6</v>
      </c>
      <c r="BS80" s="16">
        <f t="shared" ref="BS80:BS153" si="133">BR80*I80</f>
        <v>9</v>
      </c>
      <c r="BT80" s="19">
        <v>0</v>
      </c>
      <c r="BU80" s="19">
        <v>0</v>
      </c>
      <c r="BV80" s="16">
        <f t="shared" ref="BV80:BV153" si="134">BU80*I80</f>
        <v>0</v>
      </c>
      <c r="BW80" s="16">
        <f t="shared" ref="BW80:BW153" si="135">BT80*I80</f>
        <v>0</v>
      </c>
      <c r="BX80" s="18">
        <f t="shared" ref="BX80:BX153" si="136">BR80-BT80+BU80</f>
        <v>6</v>
      </c>
      <c r="BY80" s="16">
        <f t="shared" ref="BY80:BY153" si="137">BX80*I80</f>
        <v>9</v>
      </c>
      <c r="BZ80" s="19">
        <v>0</v>
      </c>
      <c r="CA80" s="19">
        <v>0</v>
      </c>
      <c r="CB80" s="16">
        <f t="shared" ref="CB80:CB153" si="138">CA80*I80</f>
        <v>0</v>
      </c>
      <c r="CC80" s="16">
        <f t="shared" ref="CC80:CC153" si="139">BZ80*I80</f>
        <v>0</v>
      </c>
      <c r="CD80" s="20">
        <f t="shared" ref="CD80:CD115" si="140">BX80-BZ80+CA80</f>
        <v>6</v>
      </c>
      <c r="CE80" s="21">
        <f t="shared" si="105"/>
        <v>9</v>
      </c>
    </row>
    <row r="81" spans="1:83" ht="18.75" customHeight="1" x14ac:dyDescent="0.25">
      <c r="A81" s="23"/>
      <c r="B81" s="70">
        <v>67</v>
      </c>
      <c r="C81" s="175"/>
      <c r="D81" s="13" t="s">
        <v>130</v>
      </c>
      <c r="E81" s="22"/>
      <c r="F81" s="22"/>
      <c r="G81" s="22"/>
      <c r="H81" s="17">
        <v>34</v>
      </c>
      <c r="I81" s="30">
        <v>1.05</v>
      </c>
      <c r="J81" s="17">
        <v>34</v>
      </c>
      <c r="K81" s="16">
        <f t="shared" si="104"/>
        <v>35.700000000000003</v>
      </c>
      <c r="L81" s="19">
        <v>0</v>
      </c>
      <c r="M81" s="19">
        <v>0</v>
      </c>
      <c r="N81" s="16">
        <f t="shared" si="106"/>
        <v>0</v>
      </c>
      <c r="O81" s="16">
        <f t="shared" si="107"/>
        <v>0</v>
      </c>
      <c r="P81" s="18">
        <f t="shared" si="108"/>
        <v>34</v>
      </c>
      <c r="Q81" s="16">
        <f t="shared" si="109"/>
        <v>35.700000000000003</v>
      </c>
      <c r="R81" s="19">
        <v>0</v>
      </c>
      <c r="S81" s="18">
        <v>0</v>
      </c>
      <c r="T81" s="16">
        <f t="shared" si="110"/>
        <v>0</v>
      </c>
      <c r="U81" s="16">
        <f t="shared" si="111"/>
        <v>0</v>
      </c>
      <c r="V81" s="18">
        <f t="shared" si="112"/>
        <v>34</v>
      </c>
      <c r="W81" s="16">
        <f t="shared" si="113"/>
        <v>35.700000000000003</v>
      </c>
      <c r="X81" s="19">
        <v>0</v>
      </c>
      <c r="Y81" s="19">
        <v>0</v>
      </c>
      <c r="Z81" s="16">
        <f t="shared" si="114"/>
        <v>0</v>
      </c>
      <c r="AA81" s="16">
        <f t="shared" si="115"/>
        <v>0</v>
      </c>
      <c r="AB81" s="18">
        <f t="shared" si="116"/>
        <v>34</v>
      </c>
      <c r="AC81" s="16">
        <f t="shared" si="117"/>
        <v>35.700000000000003</v>
      </c>
      <c r="AD81" s="19">
        <v>0</v>
      </c>
      <c r="AE81" s="19">
        <v>0</v>
      </c>
      <c r="AF81" s="16">
        <f t="shared" si="118"/>
        <v>0</v>
      </c>
      <c r="AG81" s="16">
        <f t="shared" si="119"/>
        <v>0</v>
      </c>
      <c r="AH81" s="18">
        <f t="shared" si="92"/>
        <v>34</v>
      </c>
      <c r="AI81" s="16">
        <f t="shared" si="93"/>
        <v>35.700000000000003</v>
      </c>
      <c r="AJ81" s="19">
        <v>0</v>
      </c>
      <c r="AK81" s="19">
        <v>0</v>
      </c>
      <c r="AL81" s="16">
        <f t="shared" si="94"/>
        <v>0</v>
      </c>
      <c r="AM81" s="16">
        <f t="shared" si="95"/>
        <v>0</v>
      </c>
      <c r="AN81" s="18">
        <f t="shared" si="96"/>
        <v>34</v>
      </c>
      <c r="AO81" s="16">
        <f t="shared" si="97"/>
        <v>35.700000000000003</v>
      </c>
      <c r="AP81" s="19">
        <v>0</v>
      </c>
      <c r="AQ81" s="19">
        <v>0</v>
      </c>
      <c r="AR81" s="16">
        <f t="shared" si="98"/>
        <v>0</v>
      </c>
      <c r="AS81" s="16">
        <f t="shared" si="99"/>
        <v>0</v>
      </c>
      <c r="AT81" s="18">
        <f t="shared" si="100"/>
        <v>34</v>
      </c>
      <c r="AU81" s="16">
        <f t="shared" si="101"/>
        <v>35.700000000000003</v>
      </c>
      <c r="AV81" s="19">
        <v>0</v>
      </c>
      <c r="AW81" s="19">
        <v>0</v>
      </c>
      <c r="AX81" s="16">
        <f t="shared" si="102"/>
        <v>0</v>
      </c>
      <c r="AY81" s="16">
        <f t="shared" si="103"/>
        <v>0</v>
      </c>
      <c r="AZ81" s="18">
        <f t="shared" si="120"/>
        <v>34</v>
      </c>
      <c r="BA81" s="16">
        <f t="shared" si="121"/>
        <v>35.700000000000003</v>
      </c>
      <c r="BB81" s="19">
        <v>0</v>
      </c>
      <c r="BC81" s="19">
        <v>0</v>
      </c>
      <c r="BD81" s="16">
        <f t="shared" si="122"/>
        <v>0</v>
      </c>
      <c r="BE81" s="16">
        <f t="shared" si="123"/>
        <v>0</v>
      </c>
      <c r="BF81" s="18">
        <f t="shared" si="124"/>
        <v>34</v>
      </c>
      <c r="BG81" s="16">
        <f t="shared" si="125"/>
        <v>35.700000000000003</v>
      </c>
      <c r="BH81" s="19">
        <v>0</v>
      </c>
      <c r="BI81" s="19">
        <v>0</v>
      </c>
      <c r="BJ81" s="16">
        <f t="shared" si="126"/>
        <v>0</v>
      </c>
      <c r="BK81" s="16">
        <f t="shared" si="127"/>
        <v>0</v>
      </c>
      <c r="BL81" s="18">
        <f t="shared" si="128"/>
        <v>34</v>
      </c>
      <c r="BM81" s="16">
        <f t="shared" si="129"/>
        <v>35.700000000000003</v>
      </c>
      <c r="BN81" s="19">
        <v>0</v>
      </c>
      <c r="BO81" s="19">
        <v>0</v>
      </c>
      <c r="BP81" s="16">
        <f t="shared" si="130"/>
        <v>0</v>
      </c>
      <c r="BQ81" s="16">
        <f t="shared" si="131"/>
        <v>0</v>
      </c>
      <c r="BR81" s="18">
        <f t="shared" si="132"/>
        <v>34</v>
      </c>
      <c r="BS81" s="16">
        <f t="shared" si="133"/>
        <v>35.700000000000003</v>
      </c>
      <c r="BT81" s="19">
        <v>0</v>
      </c>
      <c r="BU81" s="19">
        <v>0</v>
      </c>
      <c r="BV81" s="16">
        <f t="shared" si="134"/>
        <v>0</v>
      </c>
      <c r="BW81" s="16">
        <f t="shared" si="135"/>
        <v>0</v>
      </c>
      <c r="BX81" s="18">
        <f t="shared" si="136"/>
        <v>34</v>
      </c>
      <c r="BY81" s="16">
        <f t="shared" si="137"/>
        <v>35.700000000000003</v>
      </c>
      <c r="BZ81" s="19">
        <v>0</v>
      </c>
      <c r="CA81" s="19">
        <v>0</v>
      </c>
      <c r="CB81" s="16">
        <f t="shared" si="138"/>
        <v>0</v>
      </c>
      <c r="CC81" s="16">
        <f t="shared" si="139"/>
        <v>0</v>
      </c>
      <c r="CD81" s="20">
        <f t="shared" si="140"/>
        <v>34</v>
      </c>
      <c r="CE81" s="21">
        <f t="shared" si="105"/>
        <v>35.700000000000003</v>
      </c>
    </row>
    <row r="82" spans="1:83" ht="21" customHeight="1" x14ac:dyDescent="0.25">
      <c r="A82" s="23">
        <v>48</v>
      </c>
      <c r="B82" s="70">
        <v>68</v>
      </c>
      <c r="C82" s="79" t="s">
        <v>131</v>
      </c>
      <c r="D82" s="13" t="s">
        <v>132</v>
      </c>
      <c r="E82" s="23">
        <v>20</v>
      </c>
      <c r="F82" s="23">
        <v>30</v>
      </c>
      <c r="G82" s="23">
        <v>50</v>
      </c>
      <c r="H82" s="17">
        <v>33</v>
      </c>
      <c r="I82" s="30">
        <v>1.4</v>
      </c>
      <c r="J82" s="17">
        <v>33</v>
      </c>
      <c r="K82" s="16">
        <f t="shared" si="104"/>
        <v>46.199999999999996</v>
      </c>
      <c r="L82" s="19">
        <v>3</v>
      </c>
      <c r="M82" s="19">
        <v>0</v>
      </c>
      <c r="N82" s="16">
        <f t="shared" si="106"/>
        <v>0</v>
      </c>
      <c r="O82" s="16">
        <f t="shared" si="107"/>
        <v>4.1999999999999993</v>
      </c>
      <c r="P82" s="18">
        <f t="shared" si="108"/>
        <v>30</v>
      </c>
      <c r="Q82" s="16">
        <f t="shared" si="109"/>
        <v>42</v>
      </c>
      <c r="R82" s="19">
        <v>1</v>
      </c>
      <c r="S82" s="18">
        <v>0</v>
      </c>
      <c r="T82" s="16">
        <f t="shared" si="110"/>
        <v>0</v>
      </c>
      <c r="U82" s="16">
        <f t="shared" si="111"/>
        <v>1.4</v>
      </c>
      <c r="V82" s="18">
        <f t="shared" si="112"/>
        <v>29</v>
      </c>
      <c r="W82" s="16">
        <f t="shared" si="113"/>
        <v>40.599999999999994</v>
      </c>
      <c r="X82" s="19">
        <v>0</v>
      </c>
      <c r="Y82" s="19">
        <v>0</v>
      </c>
      <c r="Z82" s="16">
        <f t="shared" si="114"/>
        <v>0</v>
      </c>
      <c r="AA82" s="16">
        <f t="shared" si="115"/>
        <v>0</v>
      </c>
      <c r="AB82" s="18">
        <f t="shared" si="116"/>
        <v>29</v>
      </c>
      <c r="AC82" s="16">
        <f t="shared" si="117"/>
        <v>40.599999999999994</v>
      </c>
      <c r="AD82" s="19">
        <v>0</v>
      </c>
      <c r="AE82" s="19">
        <v>0</v>
      </c>
      <c r="AF82" s="16">
        <f t="shared" si="118"/>
        <v>0</v>
      </c>
      <c r="AG82" s="16">
        <f t="shared" si="119"/>
        <v>0</v>
      </c>
      <c r="AH82" s="18">
        <f t="shared" si="92"/>
        <v>29</v>
      </c>
      <c r="AI82" s="16">
        <f t="shared" si="93"/>
        <v>40.599999999999994</v>
      </c>
      <c r="AJ82" s="19">
        <v>0</v>
      </c>
      <c r="AK82" s="19">
        <v>0</v>
      </c>
      <c r="AL82" s="16">
        <f t="shared" si="94"/>
        <v>0</v>
      </c>
      <c r="AM82" s="16">
        <f t="shared" si="95"/>
        <v>0</v>
      </c>
      <c r="AN82" s="18">
        <f t="shared" si="96"/>
        <v>29</v>
      </c>
      <c r="AO82" s="16">
        <f t="shared" si="97"/>
        <v>40.599999999999994</v>
      </c>
      <c r="AP82" s="19">
        <v>0</v>
      </c>
      <c r="AQ82" s="19">
        <v>0</v>
      </c>
      <c r="AR82" s="16">
        <f t="shared" si="98"/>
        <v>0</v>
      </c>
      <c r="AS82" s="16">
        <f t="shared" si="99"/>
        <v>0</v>
      </c>
      <c r="AT82" s="18">
        <f t="shared" si="100"/>
        <v>29</v>
      </c>
      <c r="AU82" s="16">
        <f t="shared" si="101"/>
        <v>40.599999999999994</v>
      </c>
      <c r="AV82" s="19">
        <v>0</v>
      </c>
      <c r="AW82" s="19">
        <v>0</v>
      </c>
      <c r="AX82" s="16">
        <f t="shared" si="102"/>
        <v>0</v>
      </c>
      <c r="AY82" s="16">
        <f t="shared" si="103"/>
        <v>0</v>
      </c>
      <c r="AZ82" s="18">
        <f t="shared" si="120"/>
        <v>29</v>
      </c>
      <c r="BA82" s="16">
        <f t="shared" si="121"/>
        <v>40.599999999999994</v>
      </c>
      <c r="BB82" s="19">
        <v>1</v>
      </c>
      <c r="BC82" s="19">
        <v>0</v>
      </c>
      <c r="BD82" s="16">
        <f t="shared" si="122"/>
        <v>0</v>
      </c>
      <c r="BE82" s="16">
        <f t="shared" si="123"/>
        <v>1.4</v>
      </c>
      <c r="BF82" s="18">
        <f t="shared" si="124"/>
        <v>28</v>
      </c>
      <c r="BG82" s="16">
        <f t="shared" si="125"/>
        <v>39.199999999999996</v>
      </c>
      <c r="BH82" s="19">
        <v>0</v>
      </c>
      <c r="BI82" s="19">
        <v>0</v>
      </c>
      <c r="BJ82" s="16">
        <f t="shared" si="126"/>
        <v>0</v>
      </c>
      <c r="BK82" s="16">
        <f t="shared" si="127"/>
        <v>0</v>
      </c>
      <c r="BL82" s="18">
        <f t="shared" si="128"/>
        <v>28</v>
      </c>
      <c r="BM82" s="16">
        <f t="shared" si="129"/>
        <v>39.199999999999996</v>
      </c>
      <c r="BN82" s="19">
        <v>0</v>
      </c>
      <c r="BO82" s="19">
        <v>0</v>
      </c>
      <c r="BP82" s="16">
        <f t="shared" si="130"/>
        <v>0</v>
      </c>
      <c r="BQ82" s="16">
        <f t="shared" si="131"/>
        <v>0</v>
      </c>
      <c r="BR82" s="18">
        <f t="shared" si="132"/>
        <v>28</v>
      </c>
      <c r="BS82" s="16">
        <f t="shared" si="133"/>
        <v>39.199999999999996</v>
      </c>
      <c r="BT82" s="19">
        <v>0</v>
      </c>
      <c r="BU82" s="19">
        <v>0</v>
      </c>
      <c r="BV82" s="16">
        <f t="shared" si="134"/>
        <v>0</v>
      </c>
      <c r="BW82" s="16">
        <f t="shared" si="135"/>
        <v>0</v>
      </c>
      <c r="BX82" s="18">
        <f t="shared" si="136"/>
        <v>28</v>
      </c>
      <c r="BY82" s="16">
        <f t="shared" si="137"/>
        <v>39.199999999999996</v>
      </c>
      <c r="BZ82" s="19">
        <v>0</v>
      </c>
      <c r="CA82" s="19">
        <v>0</v>
      </c>
      <c r="CB82" s="16">
        <f t="shared" si="138"/>
        <v>0</v>
      </c>
      <c r="CC82" s="16">
        <f t="shared" si="139"/>
        <v>0</v>
      </c>
      <c r="CD82" s="20">
        <f t="shared" si="140"/>
        <v>28</v>
      </c>
      <c r="CE82" s="21">
        <f t="shared" si="105"/>
        <v>39.199999999999996</v>
      </c>
    </row>
    <row r="83" spans="1:83" x14ac:dyDescent="0.25">
      <c r="A83" s="23"/>
      <c r="B83" s="70">
        <v>69</v>
      </c>
      <c r="C83" s="79" t="s">
        <v>133</v>
      </c>
      <c r="D83" s="13" t="s">
        <v>134</v>
      </c>
      <c r="E83" s="22">
        <v>15</v>
      </c>
      <c r="F83" s="22">
        <v>20</v>
      </c>
      <c r="G83" s="22">
        <v>30</v>
      </c>
      <c r="H83" s="17">
        <v>35</v>
      </c>
      <c r="I83" s="30">
        <v>3.8</v>
      </c>
      <c r="J83" s="17">
        <v>35</v>
      </c>
      <c r="K83" s="16">
        <f t="shared" si="104"/>
        <v>133</v>
      </c>
      <c r="L83" s="19">
        <v>0</v>
      </c>
      <c r="M83" s="19">
        <v>0</v>
      </c>
      <c r="N83" s="16">
        <f t="shared" si="106"/>
        <v>0</v>
      </c>
      <c r="O83" s="16">
        <f t="shared" si="107"/>
        <v>0</v>
      </c>
      <c r="P83" s="18">
        <f t="shared" si="108"/>
        <v>35</v>
      </c>
      <c r="Q83" s="16">
        <f t="shared" si="109"/>
        <v>133</v>
      </c>
      <c r="R83" s="19">
        <v>1</v>
      </c>
      <c r="S83" s="18">
        <v>0</v>
      </c>
      <c r="T83" s="16">
        <f t="shared" si="110"/>
        <v>0</v>
      </c>
      <c r="U83" s="16">
        <f t="shared" si="111"/>
        <v>3.8</v>
      </c>
      <c r="V83" s="18">
        <f t="shared" si="112"/>
        <v>34</v>
      </c>
      <c r="W83" s="16">
        <f t="shared" si="113"/>
        <v>129.19999999999999</v>
      </c>
      <c r="X83" s="19">
        <v>0</v>
      </c>
      <c r="Y83" s="19">
        <v>0</v>
      </c>
      <c r="Z83" s="16">
        <f t="shared" si="114"/>
        <v>0</v>
      </c>
      <c r="AA83" s="16">
        <f t="shared" si="115"/>
        <v>0</v>
      </c>
      <c r="AB83" s="18">
        <f t="shared" si="116"/>
        <v>34</v>
      </c>
      <c r="AC83" s="16">
        <f t="shared" si="117"/>
        <v>129.19999999999999</v>
      </c>
      <c r="AD83" s="19">
        <v>0</v>
      </c>
      <c r="AE83" s="19">
        <v>0</v>
      </c>
      <c r="AF83" s="16">
        <f t="shared" si="118"/>
        <v>0</v>
      </c>
      <c r="AG83" s="16">
        <f t="shared" si="119"/>
        <v>0</v>
      </c>
      <c r="AH83" s="18">
        <f t="shared" si="92"/>
        <v>34</v>
      </c>
      <c r="AI83" s="16">
        <f t="shared" si="93"/>
        <v>129.19999999999999</v>
      </c>
      <c r="AJ83" s="19">
        <v>0</v>
      </c>
      <c r="AK83" s="19">
        <v>0</v>
      </c>
      <c r="AL83" s="16">
        <f t="shared" si="94"/>
        <v>0</v>
      </c>
      <c r="AM83" s="16">
        <f t="shared" si="95"/>
        <v>0</v>
      </c>
      <c r="AN83" s="18">
        <f t="shared" si="96"/>
        <v>34</v>
      </c>
      <c r="AO83" s="16">
        <f t="shared" si="97"/>
        <v>129.19999999999999</v>
      </c>
      <c r="AP83" s="19">
        <v>0</v>
      </c>
      <c r="AQ83" s="19">
        <v>0</v>
      </c>
      <c r="AR83" s="16">
        <f t="shared" si="98"/>
        <v>0</v>
      </c>
      <c r="AS83" s="16">
        <f t="shared" si="99"/>
        <v>0</v>
      </c>
      <c r="AT83" s="18">
        <f t="shared" si="100"/>
        <v>34</v>
      </c>
      <c r="AU83" s="16">
        <f t="shared" si="101"/>
        <v>129.19999999999999</v>
      </c>
      <c r="AV83" s="19">
        <v>0</v>
      </c>
      <c r="AW83" s="19">
        <v>0</v>
      </c>
      <c r="AX83" s="16">
        <f t="shared" si="102"/>
        <v>0</v>
      </c>
      <c r="AY83" s="16">
        <f t="shared" si="103"/>
        <v>0</v>
      </c>
      <c r="AZ83" s="18">
        <f t="shared" si="120"/>
        <v>34</v>
      </c>
      <c r="BA83" s="16">
        <f t="shared" si="121"/>
        <v>129.19999999999999</v>
      </c>
      <c r="BB83" s="19">
        <v>0</v>
      </c>
      <c r="BC83" s="19">
        <v>0</v>
      </c>
      <c r="BD83" s="16">
        <f t="shared" si="122"/>
        <v>0</v>
      </c>
      <c r="BE83" s="16">
        <f t="shared" si="123"/>
        <v>0</v>
      </c>
      <c r="BF83" s="18">
        <f t="shared" si="124"/>
        <v>34</v>
      </c>
      <c r="BG83" s="16">
        <f t="shared" si="125"/>
        <v>129.19999999999999</v>
      </c>
      <c r="BH83" s="19">
        <v>0</v>
      </c>
      <c r="BI83" s="19">
        <v>0</v>
      </c>
      <c r="BJ83" s="16">
        <f t="shared" si="126"/>
        <v>0</v>
      </c>
      <c r="BK83" s="16">
        <f t="shared" si="127"/>
        <v>0</v>
      </c>
      <c r="BL83" s="18">
        <f t="shared" si="128"/>
        <v>34</v>
      </c>
      <c r="BM83" s="16">
        <f t="shared" si="129"/>
        <v>129.19999999999999</v>
      </c>
      <c r="BN83" s="19">
        <v>0</v>
      </c>
      <c r="BO83" s="19">
        <v>0</v>
      </c>
      <c r="BP83" s="16">
        <f t="shared" si="130"/>
        <v>0</v>
      </c>
      <c r="BQ83" s="16">
        <f t="shared" si="131"/>
        <v>0</v>
      </c>
      <c r="BR83" s="18">
        <f t="shared" si="132"/>
        <v>34</v>
      </c>
      <c r="BS83" s="16">
        <f t="shared" si="133"/>
        <v>129.19999999999999</v>
      </c>
      <c r="BT83" s="19">
        <v>0</v>
      </c>
      <c r="BU83" s="19">
        <v>0</v>
      </c>
      <c r="BV83" s="16">
        <f t="shared" si="134"/>
        <v>0</v>
      </c>
      <c r="BW83" s="16">
        <f t="shared" si="135"/>
        <v>0</v>
      </c>
      <c r="BX83" s="18">
        <f t="shared" si="136"/>
        <v>34</v>
      </c>
      <c r="BY83" s="16">
        <f t="shared" si="137"/>
        <v>129.19999999999999</v>
      </c>
      <c r="BZ83" s="19">
        <v>0</v>
      </c>
      <c r="CA83" s="19">
        <v>0</v>
      </c>
      <c r="CB83" s="16">
        <f t="shared" si="138"/>
        <v>0</v>
      </c>
      <c r="CC83" s="16">
        <f t="shared" si="139"/>
        <v>0</v>
      </c>
      <c r="CD83" s="20">
        <f t="shared" si="140"/>
        <v>34</v>
      </c>
      <c r="CE83" s="21">
        <f t="shared" si="105"/>
        <v>129.19999999999999</v>
      </c>
    </row>
    <row r="84" spans="1:83" x14ac:dyDescent="0.25">
      <c r="A84" s="23">
        <v>50</v>
      </c>
      <c r="B84" s="70">
        <v>70</v>
      </c>
      <c r="C84" s="174" t="s">
        <v>135</v>
      </c>
      <c r="D84" s="13" t="s">
        <v>136</v>
      </c>
      <c r="E84" s="168">
        <v>20</v>
      </c>
      <c r="F84" s="168">
        <v>30</v>
      </c>
      <c r="G84" s="168">
        <v>50</v>
      </c>
      <c r="H84" s="17">
        <v>20</v>
      </c>
      <c r="I84" s="30">
        <v>3</v>
      </c>
      <c r="J84" s="17">
        <v>20</v>
      </c>
      <c r="K84" s="16">
        <f t="shared" si="104"/>
        <v>60</v>
      </c>
      <c r="L84" s="19">
        <v>0</v>
      </c>
      <c r="M84" s="19">
        <v>0</v>
      </c>
      <c r="N84" s="16">
        <f t="shared" si="106"/>
        <v>0</v>
      </c>
      <c r="O84" s="16">
        <f t="shared" si="107"/>
        <v>0</v>
      </c>
      <c r="P84" s="18">
        <f t="shared" si="108"/>
        <v>20</v>
      </c>
      <c r="Q84" s="16">
        <f t="shared" si="109"/>
        <v>60</v>
      </c>
      <c r="R84" s="19">
        <v>0</v>
      </c>
      <c r="S84" s="18">
        <v>0</v>
      </c>
      <c r="T84" s="16">
        <f t="shared" si="110"/>
        <v>0</v>
      </c>
      <c r="U84" s="16">
        <f t="shared" si="111"/>
        <v>0</v>
      </c>
      <c r="V84" s="18">
        <f t="shared" si="112"/>
        <v>20</v>
      </c>
      <c r="W84" s="16">
        <f t="shared" si="113"/>
        <v>60</v>
      </c>
      <c r="X84" s="19">
        <v>0</v>
      </c>
      <c r="Y84" s="19">
        <v>0</v>
      </c>
      <c r="Z84" s="16">
        <f t="shared" si="114"/>
        <v>0</v>
      </c>
      <c r="AA84" s="16">
        <f t="shared" si="115"/>
        <v>0</v>
      </c>
      <c r="AB84" s="18">
        <f t="shared" si="116"/>
        <v>20</v>
      </c>
      <c r="AC84" s="16">
        <f t="shared" si="117"/>
        <v>60</v>
      </c>
      <c r="AD84" s="19">
        <v>0</v>
      </c>
      <c r="AE84" s="19">
        <v>0</v>
      </c>
      <c r="AF84" s="16">
        <f t="shared" si="118"/>
        <v>0</v>
      </c>
      <c r="AG84" s="16">
        <f t="shared" si="119"/>
        <v>0</v>
      </c>
      <c r="AH84" s="18">
        <f t="shared" si="92"/>
        <v>20</v>
      </c>
      <c r="AI84" s="16">
        <f t="shared" si="93"/>
        <v>60</v>
      </c>
      <c r="AJ84" s="19">
        <v>0</v>
      </c>
      <c r="AK84" s="19">
        <v>0</v>
      </c>
      <c r="AL84" s="16">
        <f t="shared" si="94"/>
        <v>0</v>
      </c>
      <c r="AM84" s="16">
        <f t="shared" si="95"/>
        <v>0</v>
      </c>
      <c r="AN84" s="18">
        <f t="shared" si="96"/>
        <v>20</v>
      </c>
      <c r="AO84" s="16">
        <f t="shared" si="97"/>
        <v>60</v>
      </c>
      <c r="AP84" s="19">
        <v>0</v>
      </c>
      <c r="AQ84" s="19">
        <v>0</v>
      </c>
      <c r="AR84" s="16">
        <f t="shared" si="98"/>
        <v>0</v>
      </c>
      <c r="AS84" s="16">
        <f t="shared" si="99"/>
        <v>0</v>
      </c>
      <c r="AT84" s="18">
        <f t="shared" si="100"/>
        <v>20</v>
      </c>
      <c r="AU84" s="16">
        <f t="shared" si="101"/>
        <v>60</v>
      </c>
      <c r="AV84" s="19">
        <v>0</v>
      </c>
      <c r="AW84" s="19">
        <v>0</v>
      </c>
      <c r="AX84" s="16">
        <f t="shared" si="102"/>
        <v>0</v>
      </c>
      <c r="AY84" s="16">
        <f t="shared" si="103"/>
        <v>0</v>
      </c>
      <c r="AZ84" s="18">
        <f t="shared" si="120"/>
        <v>20</v>
      </c>
      <c r="BA84" s="16">
        <f t="shared" si="121"/>
        <v>60</v>
      </c>
      <c r="BB84" s="19">
        <v>0</v>
      </c>
      <c r="BC84" s="19">
        <v>0</v>
      </c>
      <c r="BD84" s="16">
        <f t="shared" si="122"/>
        <v>0</v>
      </c>
      <c r="BE84" s="16">
        <f t="shared" si="123"/>
        <v>0</v>
      </c>
      <c r="BF84" s="18">
        <f t="shared" si="124"/>
        <v>20</v>
      </c>
      <c r="BG84" s="16">
        <f t="shared" si="125"/>
        <v>60</v>
      </c>
      <c r="BH84" s="19">
        <v>0</v>
      </c>
      <c r="BI84" s="19">
        <v>0</v>
      </c>
      <c r="BJ84" s="16">
        <f t="shared" si="126"/>
        <v>0</v>
      </c>
      <c r="BK84" s="16">
        <f t="shared" si="127"/>
        <v>0</v>
      </c>
      <c r="BL84" s="18">
        <f t="shared" si="128"/>
        <v>20</v>
      </c>
      <c r="BM84" s="16">
        <f t="shared" si="129"/>
        <v>60</v>
      </c>
      <c r="BN84" s="19">
        <v>0</v>
      </c>
      <c r="BO84" s="19">
        <v>0</v>
      </c>
      <c r="BP84" s="16">
        <f t="shared" si="130"/>
        <v>0</v>
      </c>
      <c r="BQ84" s="16">
        <f t="shared" si="131"/>
        <v>0</v>
      </c>
      <c r="BR84" s="18">
        <f t="shared" si="132"/>
        <v>20</v>
      </c>
      <c r="BS84" s="16">
        <f t="shared" si="133"/>
        <v>60</v>
      </c>
      <c r="BT84" s="19">
        <v>0</v>
      </c>
      <c r="BU84" s="19">
        <v>0</v>
      </c>
      <c r="BV84" s="16">
        <f t="shared" si="134"/>
        <v>0</v>
      </c>
      <c r="BW84" s="16">
        <f t="shared" si="135"/>
        <v>0</v>
      </c>
      <c r="BX84" s="18">
        <f t="shared" si="136"/>
        <v>20</v>
      </c>
      <c r="BY84" s="16">
        <f t="shared" si="137"/>
        <v>60</v>
      </c>
      <c r="BZ84" s="19">
        <v>0</v>
      </c>
      <c r="CA84" s="19">
        <v>0</v>
      </c>
      <c r="CB84" s="16">
        <f t="shared" si="138"/>
        <v>0</v>
      </c>
      <c r="CC84" s="16">
        <f t="shared" si="139"/>
        <v>0</v>
      </c>
      <c r="CD84" s="20">
        <f t="shared" si="140"/>
        <v>20</v>
      </c>
      <c r="CE84" s="21">
        <f t="shared" si="105"/>
        <v>60</v>
      </c>
    </row>
    <row r="85" spans="1:83" x14ac:dyDescent="0.25">
      <c r="A85" s="23"/>
      <c r="B85" s="70">
        <v>71</v>
      </c>
      <c r="C85" s="175"/>
      <c r="D85" s="13" t="s">
        <v>137</v>
      </c>
      <c r="E85" s="169"/>
      <c r="F85" s="169"/>
      <c r="G85" s="169"/>
      <c r="H85" s="17">
        <v>19</v>
      </c>
      <c r="I85" s="30">
        <v>4.4000000000000004</v>
      </c>
      <c r="J85" s="17">
        <v>19</v>
      </c>
      <c r="K85" s="16">
        <f t="shared" si="104"/>
        <v>83.600000000000009</v>
      </c>
      <c r="L85" s="19">
        <v>0</v>
      </c>
      <c r="M85" s="19">
        <v>0</v>
      </c>
      <c r="N85" s="16">
        <f t="shared" si="106"/>
        <v>0</v>
      </c>
      <c r="O85" s="16">
        <f t="shared" si="107"/>
        <v>0</v>
      </c>
      <c r="P85" s="18">
        <f t="shared" si="108"/>
        <v>19</v>
      </c>
      <c r="Q85" s="16">
        <f t="shared" si="109"/>
        <v>83.600000000000009</v>
      </c>
      <c r="R85" s="19">
        <v>0</v>
      </c>
      <c r="S85" s="18">
        <v>0</v>
      </c>
      <c r="T85" s="16">
        <f t="shared" si="110"/>
        <v>0</v>
      </c>
      <c r="U85" s="16">
        <f t="shared" si="111"/>
        <v>0</v>
      </c>
      <c r="V85" s="18">
        <f t="shared" si="112"/>
        <v>19</v>
      </c>
      <c r="W85" s="16">
        <f t="shared" si="113"/>
        <v>83.600000000000009</v>
      </c>
      <c r="X85" s="19">
        <v>0</v>
      </c>
      <c r="Y85" s="19">
        <v>0</v>
      </c>
      <c r="Z85" s="16">
        <f t="shared" si="114"/>
        <v>0</v>
      </c>
      <c r="AA85" s="16">
        <f t="shared" si="115"/>
        <v>0</v>
      </c>
      <c r="AB85" s="18">
        <f t="shared" si="116"/>
        <v>19</v>
      </c>
      <c r="AC85" s="16">
        <f t="shared" si="117"/>
        <v>83.600000000000009</v>
      </c>
      <c r="AD85" s="19">
        <v>0</v>
      </c>
      <c r="AE85" s="19">
        <v>0</v>
      </c>
      <c r="AF85" s="16">
        <f t="shared" si="118"/>
        <v>0</v>
      </c>
      <c r="AG85" s="16">
        <f t="shared" si="119"/>
        <v>0</v>
      </c>
      <c r="AH85" s="18">
        <f t="shared" si="92"/>
        <v>19</v>
      </c>
      <c r="AI85" s="16">
        <f t="shared" si="93"/>
        <v>83.600000000000009</v>
      </c>
      <c r="AJ85" s="19">
        <v>0</v>
      </c>
      <c r="AK85" s="19">
        <v>0</v>
      </c>
      <c r="AL85" s="16">
        <f t="shared" si="94"/>
        <v>0</v>
      </c>
      <c r="AM85" s="16">
        <f t="shared" si="95"/>
        <v>0</v>
      </c>
      <c r="AN85" s="18">
        <f t="shared" si="96"/>
        <v>19</v>
      </c>
      <c r="AO85" s="16">
        <f t="shared" si="97"/>
        <v>83.600000000000009</v>
      </c>
      <c r="AP85" s="19">
        <v>0</v>
      </c>
      <c r="AQ85" s="19">
        <v>0</v>
      </c>
      <c r="AR85" s="16">
        <f t="shared" si="98"/>
        <v>0</v>
      </c>
      <c r="AS85" s="16">
        <f t="shared" si="99"/>
        <v>0</v>
      </c>
      <c r="AT85" s="18">
        <f t="shared" si="100"/>
        <v>19</v>
      </c>
      <c r="AU85" s="16">
        <f t="shared" si="101"/>
        <v>83.600000000000009</v>
      </c>
      <c r="AV85" s="19">
        <v>0</v>
      </c>
      <c r="AW85" s="19">
        <v>0</v>
      </c>
      <c r="AX85" s="16">
        <f t="shared" si="102"/>
        <v>0</v>
      </c>
      <c r="AY85" s="16">
        <f t="shared" si="103"/>
        <v>0</v>
      </c>
      <c r="AZ85" s="18">
        <f t="shared" si="120"/>
        <v>19</v>
      </c>
      <c r="BA85" s="16">
        <f t="shared" si="121"/>
        <v>83.600000000000009</v>
      </c>
      <c r="BB85" s="19">
        <v>0</v>
      </c>
      <c r="BC85" s="19">
        <v>0</v>
      </c>
      <c r="BD85" s="16">
        <f t="shared" si="122"/>
        <v>0</v>
      </c>
      <c r="BE85" s="16">
        <f t="shared" si="123"/>
        <v>0</v>
      </c>
      <c r="BF85" s="18">
        <f t="shared" si="124"/>
        <v>19</v>
      </c>
      <c r="BG85" s="16">
        <f t="shared" si="125"/>
        <v>83.600000000000009</v>
      </c>
      <c r="BH85" s="19">
        <v>0</v>
      </c>
      <c r="BI85" s="19">
        <v>0</v>
      </c>
      <c r="BJ85" s="16">
        <f t="shared" si="126"/>
        <v>0</v>
      </c>
      <c r="BK85" s="16">
        <f t="shared" si="127"/>
        <v>0</v>
      </c>
      <c r="BL85" s="18">
        <f t="shared" si="128"/>
        <v>19</v>
      </c>
      <c r="BM85" s="16">
        <f t="shared" si="129"/>
        <v>83.600000000000009</v>
      </c>
      <c r="BN85" s="19">
        <v>0</v>
      </c>
      <c r="BO85" s="19">
        <v>0</v>
      </c>
      <c r="BP85" s="16">
        <f t="shared" si="130"/>
        <v>0</v>
      </c>
      <c r="BQ85" s="16">
        <f t="shared" si="131"/>
        <v>0</v>
      </c>
      <c r="BR85" s="18">
        <f t="shared" si="132"/>
        <v>19</v>
      </c>
      <c r="BS85" s="16">
        <f t="shared" si="133"/>
        <v>83.600000000000009</v>
      </c>
      <c r="BT85" s="19">
        <v>0</v>
      </c>
      <c r="BU85" s="19">
        <v>0</v>
      </c>
      <c r="BV85" s="16">
        <f t="shared" si="134"/>
        <v>0</v>
      </c>
      <c r="BW85" s="16">
        <f t="shared" si="135"/>
        <v>0</v>
      </c>
      <c r="BX85" s="18">
        <f t="shared" si="136"/>
        <v>19</v>
      </c>
      <c r="BY85" s="16">
        <f t="shared" si="137"/>
        <v>83.600000000000009</v>
      </c>
      <c r="BZ85" s="19">
        <v>0</v>
      </c>
      <c r="CA85" s="19">
        <v>0</v>
      </c>
      <c r="CB85" s="16">
        <f t="shared" si="138"/>
        <v>0</v>
      </c>
      <c r="CC85" s="16">
        <f t="shared" si="139"/>
        <v>0</v>
      </c>
      <c r="CD85" s="20">
        <f t="shared" si="140"/>
        <v>19</v>
      </c>
      <c r="CE85" s="21">
        <f t="shared" si="105"/>
        <v>83.600000000000009</v>
      </c>
    </row>
    <row r="86" spans="1:83" x14ac:dyDescent="0.25">
      <c r="A86" s="23"/>
      <c r="B86" s="70">
        <v>72</v>
      </c>
      <c r="C86" s="174" t="s">
        <v>138</v>
      </c>
      <c r="D86" s="13" t="s">
        <v>370</v>
      </c>
      <c r="E86" s="22"/>
      <c r="F86" s="22"/>
      <c r="G86" s="22"/>
      <c r="H86" s="17">
        <v>8</v>
      </c>
      <c r="I86" s="30">
        <v>0.7</v>
      </c>
      <c r="J86" s="17">
        <v>8</v>
      </c>
      <c r="K86" s="16">
        <f t="shared" si="104"/>
        <v>5.6</v>
      </c>
      <c r="L86" s="19">
        <v>6</v>
      </c>
      <c r="M86" s="19">
        <v>0</v>
      </c>
      <c r="N86" s="16">
        <f t="shared" si="106"/>
        <v>0</v>
      </c>
      <c r="O86" s="16">
        <f t="shared" si="107"/>
        <v>4.1999999999999993</v>
      </c>
      <c r="P86" s="18">
        <f t="shared" si="108"/>
        <v>2</v>
      </c>
      <c r="Q86" s="16">
        <f t="shared" si="109"/>
        <v>1.4</v>
      </c>
      <c r="R86" s="19">
        <v>1</v>
      </c>
      <c r="S86" s="18">
        <v>0</v>
      </c>
      <c r="T86" s="16">
        <f t="shared" si="110"/>
        <v>0</v>
      </c>
      <c r="U86" s="16">
        <f t="shared" si="111"/>
        <v>0.7</v>
      </c>
      <c r="V86" s="18">
        <f t="shared" si="112"/>
        <v>1</v>
      </c>
      <c r="W86" s="16">
        <f t="shared" si="113"/>
        <v>0.7</v>
      </c>
      <c r="X86" s="19">
        <v>0</v>
      </c>
      <c r="Y86" s="19">
        <v>0</v>
      </c>
      <c r="Z86" s="16">
        <f t="shared" si="114"/>
        <v>0</v>
      </c>
      <c r="AA86" s="16">
        <f t="shared" si="115"/>
        <v>0</v>
      </c>
      <c r="AB86" s="18">
        <f t="shared" si="116"/>
        <v>1</v>
      </c>
      <c r="AC86" s="16">
        <f t="shared" si="117"/>
        <v>0.7</v>
      </c>
      <c r="AD86" s="19">
        <v>1</v>
      </c>
      <c r="AE86" s="19">
        <v>0</v>
      </c>
      <c r="AF86" s="16">
        <f t="shared" si="118"/>
        <v>0</v>
      </c>
      <c r="AG86" s="16">
        <f t="shared" si="119"/>
        <v>0.7</v>
      </c>
      <c r="AH86" s="18">
        <f t="shared" si="92"/>
        <v>0</v>
      </c>
      <c r="AI86" s="16">
        <f t="shared" si="93"/>
        <v>0</v>
      </c>
      <c r="AJ86" s="19">
        <v>0</v>
      </c>
      <c r="AK86" s="19">
        <v>0</v>
      </c>
      <c r="AL86" s="16">
        <f t="shared" si="94"/>
        <v>0</v>
      </c>
      <c r="AM86" s="16">
        <f t="shared" si="95"/>
        <v>0</v>
      </c>
      <c r="AN86" s="18">
        <f t="shared" si="96"/>
        <v>0</v>
      </c>
      <c r="AO86" s="16">
        <f t="shared" si="97"/>
        <v>0</v>
      </c>
      <c r="AP86" s="19">
        <v>0</v>
      </c>
      <c r="AQ86" s="19">
        <v>0</v>
      </c>
      <c r="AR86" s="16">
        <f t="shared" si="98"/>
        <v>0</v>
      </c>
      <c r="AS86" s="16">
        <f t="shared" si="99"/>
        <v>0</v>
      </c>
      <c r="AT86" s="18">
        <f t="shared" si="100"/>
        <v>0</v>
      </c>
      <c r="AU86" s="16">
        <f t="shared" si="101"/>
        <v>0</v>
      </c>
      <c r="AV86" s="19">
        <v>0</v>
      </c>
      <c r="AW86" s="19">
        <v>0</v>
      </c>
      <c r="AX86" s="16">
        <f t="shared" si="102"/>
        <v>0</v>
      </c>
      <c r="AY86" s="16">
        <f t="shared" si="103"/>
        <v>0</v>
      </c>
      <c r="AZ86" s="18">
        <f t="shared" si="120"/>
        <v>0</v>
      </c>
      <c r="BA86" s="16">
        <f t="shared" si="121"/>
        <v>0</v>
      </c>
      <c r="BB86" s="19">
        <v>0</v>
      </c>
      <c r="BC86" s="19">
        <v>0</v>
      </c>
      <c r="BD86" s="16">
        <f t="shared" si="122"/>
        <v>0</v>
      </c>
      <c r="BE86" s="16">
        <f t="shared" si="123"/>
        <v>0</v>
      </c>
      <c r="BF86" s="18">
        <f t="shared" si="124"/>
        <v>0</v>
      </c>
      <c r="BG86" s="16">
        <f t="shared" si="125"/>
        <v>0</v>
      </c>
      <c r="BH86" s="19">
        <v>0</v>
      </c>
      <c r="BI86" s="19">
        <v>0</v>
      </c>
      <c r="BJ86" s="16">
        <f t="shared" si="126"/>
        <v>0</v>
      </c>
      <c r="BK86" s="16">
        <f t="shared" si="127"/>
        <v>0</v>
      </c>
      <c r="BL86" s="18">
        <f t="shared" si="128"/>
        <v>0</v>
      </c>
      <c r="BM86" s="16">
        <f t="shared" si="129"/>
        <v>0</v>
      </c>
      <c r="BN86" s="19">
        <v>0</v>
      </c>
      <c r="BO86" s="19">
        <v>0</v>
      </c>
      <c r="BP86" s="16">
        <f t="shared" si="130"/>
        <v>0</v>
      </c>
      <c r="BQ86" s="16">
        <f t="shared" si="131"/>
        <v>0</v>
      </c>
      <c r="BR86" s="18">
        <f t="shared" si="132"/>
        <v>0</v>
      </c>
      <c r="BS86" s="16">
        <f t="shared" si="133"/>
        <v>0</v>
      </c>
      <c r="BT86" s="19">
        <v>0</v>
      </c>
      <c r="BU86" s="19">
        <v>0</v>
      </c>
      <c r="BV86" s="16">
        <f t="shared" si="134"/>
        <v>0</v>
      </c>
      <c r="BW86" s="16">
        <f t="shared" si="135"/>
        <v>0</v>
      </c>
      <c r="BX86" s="18">
        <f t="shared" si="136"/>
        <v>0</v>
      </c>
      <c r="BY86" s="16">
        <f t="shared" si="137"/>
        <v>0</v>
      </c>
      <c r="BZ86" s="19">
        <v>0</v>
      </c>
      <c r="CA86" s="19">
        <v>0</v>
      </c>
      <c r="CB86" s="16">
        <f t="shared" si="138"/>
        <v>0</v>
      </c>
      <c r="CC86" s="16">
        <f t="shared" si="139"/>
        <v>0</v>
      </c>
      <c r="CD86" s="20">
        <f t="shared" si="140"/>
        <v>0</v>
      </c>
      <c r="CE86" s="21">
        <f t="shared" si="105"/>
        <v>0</v>
      </c>
    </row>
    <row r="87" spans="1:83" x14ac:dyDescent="0.25">
      <c r="A87" s="23"/>
      <c r="B87" s="70">
        <v>73</v>
      </c>
      <c r="C87" s="175"/>
      <c r="D87" s="13" t="s">
        <v>139</v>
      </c>
      <c r="E87" s="80"/>
      <c r="F87" s="80"/>
      <c r="G87" s="80"/>
      <c r="H87" s="17">
        <v>30</v>
      </c>
      <c r="I87" s="30">
        <v>0.65</v>
      </c>
      <c r="J87" s="17">
        <v>30</v>
      </c>
      <c r="K87" s="16">
        <f t="shared" si="104"/>
        <v>19.5</v>
      </c>
      <c r="L87" s="19">
        <v>0</v>
      </c>
      <c r="M87" s="19">
        <v>0</v>
      </c>
      <c r="N87" s="16">
        <f t="shared" si="106"/>
        <v>0</v>
      </c>
      <c r="O87" s="16">
        <f t="shared" si="107"/>
        <v>0</v>
      </c>
      <c r="P87" s="18">
        <f t="shared" si="108"/>
        <v>30</v>
      </c>
      <c r="Q87" s="16">
        <f t="shared" si="109"/>
        <v>19.5</v>
      </c>
      <c r="R87" s="19">
        <v>0</v>
      </c>
      <c r="S87" s="18">
        <v>0</v>
      </c>
      <c r="T87" s="16">
        <f t="shared" si="110"/>
        <v>0</v>
      </c>
      <c r="U87" s="16">
        <f t="shared" si="111"/>
        <v>0</v>
      </c>
      <c r="V87" s="18">
        <f t="shared" si="112"/>
        <v>30</v>
      </c>
      <c r="W87" s="16">
        <f t="shared" si="113"/>
        <v>19.5</v>
      </c>
      <c r="X87" s="19">
        <v>0</v>
      </c>
      <c r="Y87" s="19">
        <v>0</v>
      </c>
      <c r="Z87" s="16">
        <f t="shared" si="114"/>
        <v>0</v>
      </c>
      <c r="AA87" s="16">
        <f t="shared" si="115"/>
        <v>0</v>
      </c>
      <c r="AB87" s="18">
        <f t="shared" si="116"/>
        <v>30</v>
      </c>
      <c r="AC87" s="16">
        <f t="shared" si="117"/>
        <v>19.5</v>
      </c>
      <c r="AD87" s="19">
        <v>0</v>
      </c>
      <c r="AE87" s="19">
        <v>0</v>
      </c>
      <c r="AF87" s="16">
        <f t="shared" si="118"/>
        <v>0</v>
      </c>
      <c r="AG87" s="16">
        <f t="shared" si="119"/>
        <v>0</v>
      </c>
      <c r="AH87" s="18">
        <f t="shared" si="92"/>
        <v>30</v>
      </c>
      <c r="AI87" s="16">
        <f t="shared" si="93"/>
        <v>19.5</v>
      </c>
      <c r="AJ87" s="19">
        <v>0</v>
      </c>
      <c r="AK87" s="19">
        <v>0</v>
      </c>
      <c r="AL87" s="16">
        <f t="shared" si="94"/>
        <v>0</v>
      </c>
      <c r="AM87" s="16">
        <f t="shared" si="95"/>
        <v>0</v>
      </c>
      <c r="AN87" s="18">
        <f t="shared" si="96"/>
        <v>30</v>
      </c>
      <c r="AO87" s="16">
        <f t="shared" si="97"/>
        <v>19.5</v>
      </c>
      <c r="AP87" s="19">
        <v>0</v>
      </c>
      <c r="AQ87" s="19">
        <v>0</v>
      </c>
      <c r="AR87" s="16">
        <f t="shared" si="98"/>
        <v>0</v>
      </c>
      <c r="AS87" s="16">
        <f t="shared" si="99"/>
        <v>0</v>
      </c>
      <c r="AT87" s="18">
        <f t="shared" si="100"/>
        <v>30</v>
      </c>
      <c r="AU87" s="16">
        <f t="shared" si="101"/>
        <v>19.5</v>
      </c>
      <c r="AV87" s="19">
        <v>5</v>
      </c>
      <c r="AW87" s="19">
        <v>0</v>
      </c>
      <c r="AX87" s="16">
        <f t="shared" si="102"/>
        <v>0</v>
      </c>
      <c r="AY87" s="16">
        <f t="shared" si="103"/>
        <v>3.25</v>
      </c>
      <c r="AZ87" s="18">
        <f t="shared" si="120"/>
        <v>25</v>
      </c>
      <c r="BA87" s="16">
        <f t="shared" si="121"/>
        <v>16.25</v>
      </c>
      <c r="BB87" s="19">
        <v>0</v>
      </c>
      <c r="BC87" s="19">
        <v>0</v>
      </c>
      <c r="BD87" s="16">
        <f t="shared" si="122"/>
        <v>0</v>
      </c>
      <c r="BE87" s="16">
        <f t="shared" si="123"/>
        <v>0</v>
      </c>
      <c r="BF87" s="18">
        <f t="shared" si="124"/>
        <v>25</v>
      </c>
      <c r="BG87" s="16">
        <f t="shared" si="125"/>
        <v>16.25</v>
      </c>
      <c r="BH87" s="19">
        <v>0</v>
      </c>
      <c r="BI87" s="19">
        <v>0</v>
      </c>
      <c r="BJ87" s="16">
        <f t="shared" si="126"/>
        <v>0</v>
      </c>
      <c r="BK87" s="16">
        <f t="shared" si="127"/>
        <v>0</v>
      </c>
      <c r="BL87" s="18">
        <f t="shared" si="128"/>
        <v>25</v>
      </c>
      <c r="BM87" s="16">
        <f t="shared" si="129"/>
        <v>16.25</v>
      </c>
      <c r="BN87" s="19">
        <v>0</v>
      </c>
      <c r="BO87" s="19">
        <v>0</v>
      </c>
      <c r="BP87" s="16">
        <f t="shared" si="130"/>
        <v>0</v>
      </c>
      <c r="BQ87" s="16">
        <f t="shared" si="131"/>
        <v>0</v>
      </c>
      <c r="BR87" s="18">
        <f t="shared" si="132"/>
        <v>25</v>
      </c>
      <c r="BS87" s="16">
        <f t="shared" si="133"/>
        <v>16.25</v>
      </c>
      <c r="BT87" s="19">
        <v>0</v>
      </c>
      <c r="BU87" s="19">
        <v>0</v>
      </c>
      <c r="BV87" s="16">
        <f t="shared" si="134"/>
        <v>0</v>
      </c>
      <c r="BW87" s="16">
        <f t="shared" si="135"/>
        <v>0</v>
      </c>
      <c r="BX87" s="18">
        <f t="shared" si="136"/>
        <v>25</v>
      </c>
      <c r="BY87" s="16">
        <f t="shared" si="137"/>
        <v>16.25</v>
      </c>
      <c r="BZ87" s="19">
        <v>0</v>
      </c>
      <c r="CA87" s="19">
        <v>0</v>
      </c>
      <c r="CB87" s="16">
        <f t="shared" si="138"/>
        <v>0</v>
      </c>
      <c r="CC87" s="16">
        <f t="shared" si="139"/>
        <v>0</v>
      </c>
      <c r="CD87" s="20">
        <f t="shared" si="140"/>
        <v>25</v>
      </c>
      <c r="CE87" s="21">
        <f t="shared" si="105"/>
        <v>16.25</v>
      </c>
    </row>
    <row r="88" spans="1:83" x14ac:dyDescent="0.25">
      <c r="A88" s="23"/>
      <c r="B88" s="70">
        <v>74</v>
      </c>
      <c r="C88" s="174" t="s">
        <v>140</v>
      </c>
      <c r="D88" s="13" t="s">
        <v>141</v>
      </c>
      <c r="E88" s="168">
        <v>20</v>
      </c>
      <c r="F88" s="168">
        <v>30</v>
      </c>
      <c r="G88" s="168">
        <v>50</v>
      </c>
      <c r="H88" s="17">
        <v>4</v>
      </c>
      <c r="I88" s="30">
        <v>1.55</v>
      </c>
      <c r="J88" s="17">
        <v>4</v>
      </c>
      <c r="K88" s="16">
        <f t="shared" si="104"/>
        <v>6.2</v>
      </c>
      <c r="L88" s="19">
        <v>0</v>
      </c>
      <c r="M88" s="19">
        <v>0</v>
      </c>
      <c r="N88" s="16">
        <f t="shared" si="106"/>
        <v>0</v>
      </c>
      <c r="O88" s="16">
        <f t="shared" si="107"/>
        <v>0</v>
      </c>
      <c r="P88" s="18">
        <f t="shared" si="108"/>
        <v>4</v>
      </c>
      <c r="Q88" s="16">
        <f t="shared" si="109"/>
        <v>6.2</v>
      </c>
      <c r="R88" s="19">
        <v>0</v>
      </c>
      <c r="S88" s="18">
        <v>0</v>
      </c>
      <c r="T88" s="16">
        <f t="shared" si="110"/>
        <v>0</v>
      </c>
      <c r="U88" s="16">
        <f t="shared" si="111"/>
        <v>0</v>
      </c>
      <c r="V88" s="18">
        <f t="shared" si="112"/>
        <v>4</v>
      </c>
      <c r="W88" s="16">
        <f t="shared" si="113"/>
        <v>6.2</v>
      </c>
      <c r="X88" s="19">
        <v>0</v>
      </c>
      <c r="Y88" s="19">
        <v>0</v>
      </c>
      <c r="Z88" s="16">
        <f t="shared" si="114"/>
        <v>0</v>
      </c>
      <c r="AA88" s="16">
        <f t="shared" si="115"/>
        <v>0</v>
      </c>
      <c r="AB88" s="18">
        <f t="shared" si="116"/>
        <v>4</v>
      </c>
      <c r="AC88" s="16">
        <f t="shared" si="117"/>
        <v>6.2</v>
      </c>
      <c r="AD88" s="19">
        <v>0</v>
      </c>
      <c r="AE88" s="19">
        <v>0</v>
      </c>
      <c r="AF88" s="16">
        <f t="shared" si="118"/>
        <v>0</v>
      </c>
      <c r="AG88" s="16">
        <f t="shared" si="119"/>
        <v>0</v>
      </c>
      <c r="AH88" s="18">
        <f t="shared" si="92"/>
        <v>4</v>
      </c>
      <c r="AI88" s="16">
        <f t="shared" si="93"/>
        <v>6.2</v>
      </c>
      <c r="AJ88" s="19">
        <v>0</v>
      </c>
      <c r="AK88" s="19">
        <v>0</v>
      </c>
      <c r="AL88" s="16">
        <f t="shared" si="94"/>
        <v>0</v>
      </c>
      <c r="AM88" s="16">
        <f t="shared" si="95"/>
        <v>0</v>
      </c>
      <c r="AN88" s="18">
        <f t="shared" si="96"/>
        <v>4</v>
      </c>
      <c r="AO88" s="16">
        <f t="shared" si="97"/>
        <v>6.2</v>
      </c>
      <c r="AP88" s="19">
        <v>0</v>
      </c>
      <c r="AQ88" s="19">
        <v>0</v>
      </c>
      <c r="AR88" s="16">
        <f t="shared" si="98"/>
        <v>0</v>
      </c>
      <c r="AS88" s="16">
        <f t="shared" si="99"/>
        <v>0</v>
      </c>
      <c r="AT88" s="18">
        <f t="shared" si="100"/>
        <v>4</v>
      </c>
      <c r="AU88" s="16">
        <f t="shared" si="101"/>
        <v>6.2</v>
      </c>
      <c r="AV88" s="19">
        <v>0</v>
      </c>
      <c r="AW88" s="19">
        <v>0</v>
      </c>
      <c r="AX88" s="16">
        <f t="shared" si="102"/>
        <v>0</v>
      </c>
      <c r="AY88" s="16">
        <f t="shared" si="103"/>
        <v>0</v>
      </c>
      <c r="AZ88" s="18">
        <f t="shared" si="120"/>
        <v>4</v>
      </c>
      <c r="BA88" s="16">
        <f t="shared" si="121"/>
        <v>6.2</v>
      </c>
      <c r="BB88" s="19">
        <v>0</v>
      </c>
      <c r="BC88" s="19">
        <v>0</v>
      </c>
      <c r="BD88" s="16">
        <f t="shared" si="122"/>
        <v>0</v>
      </c>
      <c r="BE88" s="16">
        <f t="shared" si="123"/>
        <v>0</v>
      </c>
      <c r="BF88" s="18">
        <f t="shared" si="124"/>
        <v>4</v>
      </c>
      <c r="BG88" s="16">
        <f t="shared" si="125"/>
        <v>6.2</v>
      </c>
      <c r="BH88" s="19">
        <v>0</v>
      </c>
      <c r="BI88" s="19">
        <v>0</v>
      </c>
      <c r="BJ88" s="16">
        <f t="shared" si="126"/>
        <v>0</v>
      </c>
      <c r="BK88" s="16">
        <f t="shared" si="127"/>
        <v>0</v>
      </c>
      <c r="BL88" s="18">
        <f t="shared" si="128"/>
        <v>4</v>
      </c>
      <c r="BM88" s="16">
        <f t="shared" si="129"/>
        <v>6.2</v>
      </c>
      <c r="BN88" s="19">
        <v>0</v>
      </c>
      <c r="BO88" s="19">
        <v>0</v>
      </c>
      <c r="BP88" s="16">
        <f t="shared" si="130"/>
        <v>0</v>
      </c>
      <c r="BQ88" s="16">
        <f t="shared" si="131"/>
        <v>0</v>
      </c>
      <c r="BR88" s="18">
        <f t="shared" si="132"/>
        <v>4</v>
      </c>
      <c r="BS88" s="16">
        <f t="shared" si="133"/>
        <v>6.2</v>
      </c>
      <c r="BT88" s="19">
        <v>0</v>
      </c>
      <c r="BU88" s="19">
        <v>0</v>
      </c>
      <c r="BV88" s="16">
        <f t="shared" si="134"/>
        <v>0</v>
      </c>
      <c r="BW88" s="16">
        <f t="shared" si="135"/>
        <v>0</v>
      </c>
      <c r="BX88" s="18">
        <f t="shared" si="136"/>
        <v>4</v>
      </c>
      <c r="BY88" s="16">
        <f t="shared" si="137"/>
        <v>6.2</v>
      </c>
      <c r="BZ88" s="19">
        <v>0</v>
      </c>
      <c r="CA88" s="19">
        <v>0</v>
      </c>
      <c r="CB88" s="16">
        <f t="shared" si="138"/>
        <v>0</v>
      </c>
      <c r="CC88" s="16">
        <f t="shared" si="139"/>
        <v>0</v>
      </c>
      <c r="CD88" s="20">
        <f t="shared" si="140"/>
        <v>4</v>
      </c>
      <c r="CE88" s="21">
        <f t="shared" si="105"/>
        <v>6.2</v>
      </c>
    </row>
    <row r="89" spans="1:83" x14ac:dyDescent="0.25">
      <c r="A89" s="23"/>
      <c r="B89" s="70">
        <v>75</v>
      </c>
      <c r="C89" s="175"/>
      <c r="D89" s="13" t="s">
        <v>142</v>
      </c>
      <c r="E89" s="169"/>
      <c r="F89" s="169"/>
      <c r="G89" s="169"/>
      <c r="H89" s="17">
        <v>26</v>
      </c>
      <c r="I89" s="30">
        <v>3.5</v>
      </c>
      <c r="J89" s="17">
        <v>26</v>
      </c>
      <c r="K89" s="16">
        <f t="shared" si="104"/>
        <v>91</v>
      </c>
      <c r="L89" s="19">
        <v>0</v>
      </c>
      <c r="M89" s="19">
        <v>0</v>
      </c>
      <c r="N89" s="16">
        <f t="shared" si="106"/>
        <v>0</v>
      </c>
      <c r="O89" s="16">
        <f t="shared" si="107"/>
        <v>0</v>
      </c>
      <c r="P89" s="18">
        <f t="shared" si="108"/>
        <v>26</v>
      </c>
      <c r="Q89" s="16">
        <f t="shared" si="109"/>
        <v>91</v>
      </c>
      <c r="R89" s="19">
        <v>0</v>
      </c>
      <c r="S89" s="18">
        <v>0</v>
      </c>
      <c r="T89" s="16">
        <f t="shared" si="110"/>
        <v>0</v>
      </c>
      <c r="U89" s="16">
        <f t="shared" si="111"/>
        <v>0</v>
      </c>
      <c r="V89" s="18">
        <f t="shared" si="112"/>
        <v>26</v>
      </c>
      <c r="W89" s="16">
        <f t="shared" si="113"/>
        <v>91</v>
      </c>
      <c r="X89" s="19">
        <v>0</v>
      </c>
      <c r="Y89" s="19">
        <v>0</v>
      </c>
      <c r="Z89" s="16">
        <f t="shared" si="114"/>
        <v>0</v>
      </c>
      <c r="AA89" s="16">
        <f t="shared" si="115"/>
        <v>0</v>
      </c>
      <c r="AB89" s="18">
        <f t="shared" si="116"/>
        <v>26</v>
      </c>
      <c r="AC89" s="16">
        <f t="shared" si="117"/>
        <v>91</v>
      </c>
      <c r="AD89" s="19">
        <v>0</v>
      </c>
      <c r="AE89" s="19">
        <v>0</v>
      </c>
      <c r="AF89" s="16">
        <f t="shared" si="118"/>
        <v>0</v>
      </c>
      <c r="AG89" s="16">
        <f t="shared" si="119"/>
        <v>0</v>
      </c>
      <c r="AH89" s="18">
        <f t="shared" si="92"/>
        <v>26</v>
      </c>
      <c r="AI89" s="16">
        <f t="shared" si="93"/>
        <v>91</v>
      </c>
      <c r="AJ89" s="19">
        <v>0</v>
      </c>
      <c r="AK89" s="19">
        <v>0</v>
      </c>
      <c r="AL89" s="16">
        <f t="shared" si="94"/>
        <v>0</v>
      </c>
      <c r="AM89" s="16">
        <f t="shared" si="95"/>
        <v>0</v>
      </c>
      <c r="AN89" s="18">
        <f t="shared" si="96"/>
        <v>26</v>
      </c>
      <c r="AO89" s="16">
        <f t="shared" si="97"/>
        <v>91</v>
      </c>
      <c r="AP89" s="19">
        <v>0</v>
      </c>
      <c r="AQ89" s="19">
        <v>0</v>
      </c>
      <c r="AR89" s="16">
        <f t="shared" si="98"/>
        <v>0</v>
      </c>
      <c r="AS89" s="16">
        <f t="shared" si="99"/>
        <v>0</v>
      </c>
      <c r="AT89" s="18">
        <f t="shared" si="100"/>
        <v>26</v>
      </c>
      <c r="AU89" s="16">
        <f t="shared" si="101"/>
        <v>91</v>
      </c>
      <c r="AV89" s="19">
        <v>0</v>
      </c>
      <c r="AW89" s="19">
        <v>0</v>
      </c>
      <c r="AX89" s="16">
        <f t="shared" si="102"/>
        <v>0</v>
      </c>
      <c r="AY89" s="16">
        <f t="shared" si="103"/>
        <v>0</v>
      </c>
      <c r="AZ89" s="18">
        <f t="shared" si="120"/>
        <v>26</v>
      </c>
      <c r="BA89" s="16">
        <f t="shared" si="121"/>
        <v>91</v>
      </c>
      <c r="BB89" s="19">
        <v>0</v>
      </c>
      <c r="BC89" s="19">
        <v>0</v>
      </c>
      <c r="BD89" s="16">
        <f t="shared" si="122"/>
        <v>0</v>
      </c>
      <c r="BE89" s="16">
        <f t="shared" si="123"/>
        <v>0</v>
      </c>
      <c r="BF89" s="18">
        <f t="shared" si="124"/>
        <v>26</v>
      </c>
      <c r="BG89" s="16">
        <f t="shared" si="125"/>
        <v>91</v>
      </c>
      <c r="BH89" s="19">
        <v>0</v>
      </c>
      <c r="BI89" s="19">
        <v>0</v>
      </c>
      <c r="BJ89" s="16">
        <f t="shared" si="126"/>
        <v>0</v>
      </c>
      <c r="BK89" s="16">
        <f t="shared" si="127"/>
        <v>0</v>
      </c>
      <c r="BL89" s="18">
        <f t="shared" si="128"/>
        <v>26</v>
      </c>
      <c r="BM89" s="16">
        <f t="shared" si="129"/>
        <v>91</v>
      </c>
      <c r="BN89" s="19">
        <v>0</v>
      </c>
      <c r="BO89" s="19">
        <v>0</v>
      </c>
      <c r="BP89" s="16">
        <f t="shared" si="130"/>
        <v>0</v>
      </c>
      <c r="BQ89" s="16">
        <f t="shared" si="131"/>
        <v>0</v>
      </c>
      <c r="BR89" s="18">
        <f t="shared" si="132"/>
        <v>26</v>
      </c>
      <c r="BS89" s="16">
        <f t="shared" si="133"/>
        <v>91</v>
      </c>
      <c r="BT89" s="19">
        <v>0</v>
      </c>
      <c r="BU89" s="19">
        <v>0</v>
      </c>
      <c r="BV89" s="16">
        <f t="shared" si="134"/>
        <v>0</v>
      </c>
      <c r="BW89" s="16">
        <f t="shared" si="135"/>
        <v>0</v>
      </c>
      <c r="BX89" s="18">
        <f t="shared" si="136"/>
        <v>26</v>
      </c>
      <c r="BY89" s="16">
        <f t="shared" si="137"/>
        <v>91</v>
      </c>
      <c r="BZ89" s="19">
        <v>0</v>
      </c>
      <c r="CA89" s="19">
        <v>0</v>
      </c>
      <c r="CB89" s="16">
        <f t="shared" si="138"/>
        <v>0</v>
      </c>
      <c r="CC89" s="16">
        <f t="shared" si="139"/>
        <v>0</v>
      </c>
      <c r="CD89" s="20">
        <f t="shared" si="140"/>
        <v>26</v>
      </c>
      <c r="CE89" s="21">
        <f t="shared" si="105"/>
        <v>91</v>
      </c>
    </row>
    <row r="90" spans="1:83" ht="16.5" customHeight="1" x14ac:dyDescent="0.25">
      <c r="A90" s="23"/>
      <c r="B90" s="70">
        <v>76</v>
      </c>
      <c r="C90" s="86" t="s">
        <v>143</v>
      </c>
      <c r="D90" s="29" t="s">
        <v>379</v>
      </c>
      <c r="E90" s="23"/>
      <c r="F90" s="23"/>
      <c r="G90" s="23"/>
      <c r="H90" s="17">
        <v>12</v>
      </c>
      <c r="I90" s="30">
        <v>36.700000000000003</v>
      </c>
      <c r="J90" s="17">
        <v>12</v>
      </c>
      <c r="K90" s="16">
        <f t="shared" si="104"/>
        <v>440.40000000000003</v>
      </c>
      <c r="L90" s="19">
        <v>5</v>
      </c>
      <c r="M90" s="19">
        <v>0</v>
      </c>
      <c r="N90" s="16">
        <f t="shared" si="106"/>
        <v>0</v>
      </c>
      <c r="O90" s="16">
        <f t="shared" si="107"/>
        <v>183.5</v>
      </c>
      <c r="P90" s="18">
        <f t="shared" si="108"/>
        <v>7</v>
      </c>
      <c r="Q90" s="16">
        <f t="shared" si="109"/>
        <v>256.90000000000003</v>
      </c>
      <c r="R90" s="19">
        <v>0</v>
      </c>
      <c r="S90" s="18">
        <v>0</v>
      </c>
      <c r="T90" s="16">
        <f t="shared" si="110"/>
        <v>0</v>
      </c>
      <c r="U90" s="16">
        <f t="shared" si="111"/>
        <v>0</v>
      </c>
      <c r="V90" s="18">
        <f t="shared" si="112"/>
        <v>7</v>
      </c>
      <c r="W90" s="16">
        <f t="shared" si="113"/>
        <v>256.90000000000003</v>
      </c>
      <c r="X90" s="19">
        <v>0</v>
      </c>
      <c r="Y90" s="19">
        <v>0</v>
      </c>
      <c r="Z90" s="16">
        <f t="shared" si="114"/>
        <v>0</v>
      </c>
      <c r="AA90" s="16">
        <f t="shared" si="115"/>
        <v>0</v>
      </c>
      <c r="AB90" s="18">
        <f t="shared" si="116"/>
        <v>7</v>
      </c>
      <c r="AC90" s="16">
        <f t="shared" si="117"/>
        <v>256.90000000000003</v>
      </c>
      <c r="AD90" s="19">
        <v>0</v>
      </c>
      <c r="AE90" s="19">
        <v>0</v>
      </c>
      <c r="AF90" s="16">
        <f t="shared" si="118"/>
        <v>0</v>
      </c>
      <c r="AG90" s="16">
        <f t="shared" si="119"/>
        <v>0</v>
      </c>
      <c r="AH90" s="18">
        <f t="shared" si="92"/>
        <v>7</v>
      </c>
      <c r="AI90" s="16">
        <f t="shared" si="93"/>
        <v>256.90000000000003</v>
      </c>
      <c r="AJ90" s="19">
        <v>0</v>
      </c>
      <c r="AK90" s="19">
        <v>0</v>
      </c>
      <c r="AL90" s="16">
        <f t="shared" si="94"/>
        <v>0</v>
      </c>
      <c r="AM90" s="16">
        <f t="shared" si="95"/>
        <v>0</v>
      </c>
      <c r="AN90" s="18">
        <f t="shared" si="96"/>
        <v>7</v>
      </c>
      <c r="AO90" s="16">
        <f t="shared" si="97"/>
        <v>256.90000000000003</v>
      </c>
      <c r="AP90" s="19">
        <v>0</v>
      </c>
      <c r="AQ90" s="19">
        <v>0</v>
      </c>
      <c r="AR90" s="16">
        <f t="shared" si="98"/>
        <v>0</v>
      </c>
      <c r="AS90" s="16">
        <f t="shared" si="99"/>
        <v>0</v>
      </c>
      <c r="AT90" s="18">
        <f t="shared" si="100"/>
        <v>7</v>
      </c>
      <c r="AU90" s="16">
        <f t="shared" si="101"/>
        <v>256.90000000000003</v>
      </c>
      <c r="AV90" s="19">
        <v>0</v>
      </c>
      <c r="AW90" s="19">
        <v>0</v>
      </c>
      <c r="AX90" s="16">
        <f t="shared" si="102"/>
        <v>0</v>
      </c>
      <c r="AY90" s="16">
        <f t="shared" si="103"/>
        <v>0</v>
      </c>
      <c r="AZ90" s="18">
        <f t="shared" si="120"/>
        <v>7</v>
      </c>
      <c r="BA90" s="16">
        <f t="shared" si="121"/>
        <v>256.90000000000003</v>
      </c>
      <c r="BB90" s="19">
        <v>0</v>
      </c>
      <c r="BC90" s="19">
        <v>0</v>
      </c>
      <c r="BD90" s="16">
        <f t="shared" si="122"/>
        <v>0</v>
      </c>
      <c r="BE90" s="16">
        <f t="shared" si="123"/>
        <v>0</v>
      </c>
      <c r="BF90" s="18">
        <f t="shared" si="124"/>
        <v>7</v>
      </c>
      <c r="BG90" s="16">
        <f t="shared" si="125"/>
        <v>256.90000000000003</v>
      </c>
      <c r="BH90" s="19">
        <v>0</v>
      </c>
      <c r="BI90" s="19">
        <v>0</v>
      </c>
      <c r="BJ90" s="16">
        <f t="shared" si="126"/>
        <v>0</v>
      </c>
      <c r="BK90" s="16">
        <f t="shared" si="127"/>
        <v>0</v>
      </c>
      <c r="BL90" s="18">
        <f t="shared" si="128"/>
        <v>7</v>
      </c>
      <c r="BM90" s="16">
        <f t="shared" si="129"/>
        <v>256.90000000000003</v>
      </c>
      <c r="BN90" s="19">
        <v>0</v>
      </c>
      <c r="BO90" s="19">
        <v>0</v>
      </c>
      <c r="BP90" s="16">
        <f t="shared" si="130"/>
        <v>0</v>
      </c>
      <c r="BQ90" s="16">
        <f t="shared" si="131"/>
        <v>0</v>
      </c>
      <c r="BR90" s="18">
        <f t="shared" si="132"/>
        <v>7</v>
      </c>
      <c r="BS90" s="16">
        <f t="shared" si="133"/>
        <v>256.90000000000003</v>
      </c>
      <c r="BT90" s="19">
        <v>0</v>
      </c>
      <c r="BU90" s="19">
        <v>0</v>
      </c>
      <c r="BV90" s="16">
        <f t="shared" si="134"/>
        <v>0</v>
      </c>
      <c r="BW90" s="16">
        <f t="shared" si="135"/>
        <v>0</v>
      </c>
      <c r="BX90" s="18">
        <f t="shared" si="136"/>
        <v>7</v>
      </c>
      <c r="BY90" s="16">
        <f t="shared" si="137"/>
        <v>256.90000000000003</v>
      </c>
      <c r="BZ90" s="19">
        <v>0</v>
      </c>
      <c r="CA90" s="19">
        <v>0</v>
      </c>
      <c r="CB90" s="16">
        <f t="shared" si="138"/>
        <v>0</v>
      </c>
      <c r="CC90" s="16">
        <f t="shared" si="139"/>
        <v>0</v>
      </c>
      <c r="CD90" s="20">
        <f t="shared" si="140"/>
        <v>7</v>
      </c>
      <c r="CE90" s="21">
        <f t="shared" si="105"/>
        <v>256.90000000000003</v>
      </c>
    </row>
    <row r="91" spans="1:83" x14ac:dyDescent="0.25">
      <c r="A91" s="23"/>
      <c r="B91" s="70">
        <v>77</v>
      </c>
      <c r="C91" s="86" t="s">
        <v>145</v>
      </c>
      <c r="D91" s="13" t="s">
        <v>380</v>
      </c>
      <c r="E91" s="22"/>
      <c r="F91" s="22"/>
      <c r="G91" s="22"/>
      <c r="H91" s="17">
        <v>2</v>
      </c>
      <c r="I91" s="30">
        <v>7.8</v>
      </c>
      <c r="J91" s="17">
        <v>2</v>
      </c>
      <c r="K91" s="16">
        <f t="shared" si="104"/>
        <v>15.6</v>
      </c>
      <c r="L91" s="19">
        <v>0</v>
      </c>
      <c r="M91" s="19">
        <v>0</v>
      </c>
      <c r="N91" s="16">
        <f t="shared" si="106"/>
        <v>0</v>
      </c>
      <c r="O91" s="16">
        <f t="shared" si="107"/>
        <v>0</v>
      </c>
      <c r="P91" s="18">
        <f t="shared" si="108"/>
        <v>2</v>
      </c>
      <c r="Q91" s="16">
        <f t="shared" si="109"/>
        <v>15.6</v>
      </c>
      <c r="R91" s="19">
        <v>0</v>
      </c>
      <c r="S91" s="18">
        <v>0</v>
      </c>
      <c r="T91" s="16">
        <f t="shared" si="110"/>
        <v>0</v>
      </c>
      <c r="U91" s="16">
        <f t="shared" si="111"/>
        <v>0</v>
      </c>
      <c r="V91" s="18">
        <f t="shared" si="112"/>
        <v>2</v>
      </c>
      <c r="W91" s="16">
        <f t="shared" si="113"/>
        <v>15.6</v>
      </c>
      <c r="X91" s="19">
        <v>0</v>
      </c>
      <c r="Y91" s="19">
        <v>0</v>
      </c>
      <c r="Z91" s="16">
        <f t="shared" si="114"/>
        <v>0</v>
      </c>
      <c r="AA91" s="16">
        <f t="shared" si="115"/>
        <v>0</v>
      </c>
      <c r="AB91" s="18">
        <f t="shared" si="116"/>
        <v>2</v>
      </c>
      <c r="AC91" s="16">
        <f t="shared" si="117"/>
        <v>15.6</v>
      </c>
      <c r="AD91" s="19">
        <v>0</v>
      </c>
      <c r="AE91" s="19">
        <v>0</v>
      </c>
      <c r="AF91" s="16">
        <f t="shared" si="118"/>
        <v>0</v>
      </c>
      <c r="AG91" s="16">
        <f t="shared" si="119"/>
        <v>0</v>
      </c>
      <c r="AH91" s="18">
        <f t="shared" si="92"/>
        <v>2</v>
      </c>
      <c r="AI91" s="16">
        <f t="shared" si="93"/>
        <v>15.6</v>
      </c>
      <c r="AJ91" s="19">
        <v>0</v>
      </c>
      <c r="AK91" s="19">
        <v>0</v>
      </c>
      <c r="AL91" s="16">
        <f t="shared" si="94"/>
        <v>0</v>
      </c>
      <c r="AM91" s="16">
        <f t="shared" si="95"/>
        <v>0</v>
      </c>
      <c r="AN91" s="18">
        <f t="shared" si="96"/>
        <v>2</v>
      </c>
      <c r="AO91" s="16">
        <f t="shared" si="97"/>
        <v>15.6</v>
      </c>
      <c r="AP91" s="19">
        <v>0</v>
      </c>
      <c r="AQ91" s="19">
        <v>0</v>
      </c>
      <c r="AR91" s="16">
        <f t="shared" si="98"/>
        <v>0</v>
      </c>
      <c r="AS91" s="16">
        <f t="shared" si="99"/>
        <v>0</v>
      </c>
      <c r="AT91" s="18">
        <f t="shared" si="100"/>
        <v>2</v>
      </c>
      <c r="AU91" s="16">
        <f t="shared" si="101"/>
        <v>15.6</v>
      </c>
      <c r="AV91" s="19">
        <v>0</v>
      </c>
      <c r="AW91" s="19">
        <v>0</v>
      </c>
      <c r="AX91" s="16">
        <f t="shared" si="102"/>
        <v>0</v>
      </c>
      <c r="AY91" s="16">
        <f t="shared" si="103"/>
        <v>0</v>
      </c>
      <c r="AZ91" s="18">
        <f t="shared" si="120"/>
        <v>2</v>
      </c>
      <c r="BA91" s="16">
        <f t="shared" si="121"/>
        <v>15.6</v>
      </c>
      <c r="BB91" s="19">
        <v>1</v>
      </c>
      <c r="BC91" s="19">
        <v>0</v>
      </c>
      <c r="BD91" s="16">
        <f t="shared" si="122"/>
        <v>0</v>
      </c>
      <c r="BE91" s="16">
        <f t="shared" si="123"/>
        <v>7.8</v>
      </c>
      <c r="BF91" s="18">
        <f t="shared" si="124"/>
        <v>1</v>
      </c>
      <c r="BG91" s="16">
        <f t="shared" si="125"/>
        <v>7.8</v>
      </c>
      <c r="BH91" s="19">
        <v>0</v>
      </c>
      <c r="BI91" s="19">
        <v>0</v>
      </c>
      <c r="BJ91" s="16">
        <f t="shared" si="126"/>
        <v>0</v>
      </c>
      <c r="BK91" s="16">
        <f t="shared" si="127"/>
        <v>0</v>
      </c>
      <c r="BL91" s="18">
        <f t="shared" si="128"/>
        <v>1</v>
      </c>
      <c r="BM91" s="16">
        <f t="shared" si="129"/>
        <v>7.8</v>
      </c>
      <c r="BN91" s="19">
        <v>0</v>
      </c>
      <c r="BO91" s="19">
        <v>0</v>
      </c>
      <c r="BP91" s="16">
        <f t="shared" si="130"/>
        <v>0</v>
      </c>
      <c r="BQ91" s="16">
        <f t="shared" si="131"/>
        <v>0</v>
      </c>
      <c r="BR91" s="18">
        <f t="shared" si="132"/>
        <v>1</v>
      </c>
      <c r="BS91" s="16">
        <f t="shared" si="133"/>
        <v>7.8</v>
      </c>
      <c r="BT91" s="19">
        <v>0</v>
      </c>
      <c r="BU91" s="19">
        <v>0</v>
      </c>
      <c r="BV91" s="16">
        <f t="shared" si="134"/>
        <v>0</v>
      </c>
      <c r="BW91" s="16">
        <f t="shared" si="135"/>
        <v>0</v>
      </c>
      <c r="BX91" s="18">
        <f t="shared" si="136"/>
        <v>1</v>
      </c>
      <c r="BY91" s="16">
        <f t="shared" si="137"/>
        <v>7.8</v>
      </c>
      <c r="BZ91" s="19">
        <v>0</v>
      </c>
      <c r="CA91" s="19">
        <v>0</v>
      </c>
      <c r="CB91" s="16">
        <f t="shared" si="138"/>
        <v>0</v>
      </c>
      <c r="CC91" s="16">
        <f t="shared" si="139"/>
        <v>0</v>
      </c>
      <c r="CD91" s="20">
        <f t="shared" si="140"/>
        <v>1</v>
      </c>
      <c r="CE91" s="21">
        <f t="shared" si="105"/>
        <v>7.8</v>
      </c>
    </row>
    <row r="92" spans="1:83" x14ac:dyDescent="0.25">
      <c r="A92" s="23"/>
      <c r="B92" s="70">
        <v>78</v>
      </c>
      <c r="C92" s="79" t="s">
        <v>146</v>
      </c>
      <c r="D92" s="13" t="s">
        <v>147</v>
      </c>
      <c r="E92" s="22">
        <v>0</v>
      </c>
      <c r="F92" s="22">
        <v>1</v>
      </c>
      <c r="G92" s="22">
        <v>3</v>
      </c>
      <c r="H92" s="17">
        <v>3</v>
      </c>
      <c r="I92" s="30">
        <v>23.75</v>
      </c>
      <c r="J92" s="17">
        <v>3</v>
      </c>
      <c r="K92" s="16">
        <f t="shared" si="104"/>
        <v>71.25</v>
      </c>
      <c r="L92" s="19">
        <v>0</v>
      </c>
      <c r="M92" s="19">
        <v>0</v>
      </c>
      <c r="N92" s="16">
        <f t="shared" si="106"/>
        <v>0</v>
      </c>
      <c r="O92" s="16">
        <f t="shared" si="107"/>
        <v>0</v>
      </c>
      <c r="P92" s="18">
        <f t="shared" si="108"/>
        <v>3</v>
      </c>
      <c r="Q92" s="16">
        <f t="shared" si="109"/>
        <v>71.25</v>
      </c>
      <c r="R92" s="19">
        <v>0</v>
      </c>
      <c r="S92" s="18">
        <v>0</v>
      </c>
      <c r="T92" s="16">
        <f t="shared" si="110"/>
        <v>0</v>
      </c>
      <c r="U92" s="16">
        <f t="shared" si="111"/>
        <v>0</v>
      </c>
      <c r="V92" s="18">
        <f t="shared" si="112"/>
        <v>3</v>
      </c>
      <c r="W92" s="16">
        <f t="shared" si="113"/>
        <v>71.25</v>
      </c>
      <c r="X92" s="19">
        <v>0</v>
      </c>
      <c r="Y92" s="19">
        <v>0</v>
      </c>
      <c r="Z92" s="16">
        <f t="shared" si="114"/>
        <v>0</v>
      </c>
      <c r="AA92" s="16">
        <f t="shared" si="115"/>
        <v>0</v>
      </c>
      <c r="AB92" s="18">
        <f t="shared" si="116"/>
        <v>3</v>
      </c>
      <c r="AC92" s="16">
        <f t="shared" si="117"/>
        <v>71.25</v>
      </c>
      <c r="AD92" s="19">
        <v>0</v>
      </c>
      <c r="AE92" s="19">
        <v>0</v>
      </c>
      <c r="AF92" s="16">
        <f t="shared" si="118"/>
        <v>0</v>
      </c>
      <c r="AG92" s="16">
        <f t="shared" si="119"/>
        <v>0</v>
      </c>
      <c r="AH92" s="18">
        <f t="shared" si="92"/>
        <v>3</v>
      </c>
      <c r="AI92" s="16">
        <f t="shared" si="93"/>
        <v>71.25</v>
      </c>
      <c r="AJ92" s="19">
        <v>0</v>
      </c>
      <c r="AK92" s="19">
        <v>0</v>
      </c>
      <c r="AL92" s="16">
        <f t="shared" si="94"/>
        <v>0</v>
      </c>
      <c r="AM92" s="16">
        <f t="shared" si="95"/>
        <v>0</v>
      </c>
      <c r="AN92" s="18">
        <f t="shared" si="96"/>
        <v>3</v>
      </c>
      <c r="AO92" s="16">
        <f t="shared" si="97"/>
        <v>71.25</v>
      </c>
      <c r="AP92" s="19">
        <v>0</v>
      </c>
      <c r="AQ92" s="19">
        <v>0</v>
      </c>
      <c r="AR92" s="16">
        <f t="shared" si="98"/>
        <v>0</v>
      </c>
      <c r="AS92" s="16">
        <f t="shared" si="99"/>
        <v>0</v>
      </c>
      <c r="AT92" s="18">
        <f t="shared" si="100"/>
        <v>3</v>
      </c>
      <c r="AU92" s="16">
        <f t="shared" si="101"/>
        <v>71.25</v>
      </c>
      <c r="AV92" s="19">
        <v>0</v>
      </c>
      <c r="AW92" s="19">
        <v>0</v>
      </c>
      <c r="AX92" s="16">
        <f t="shared" si="102"/>
        <v>0</v>
      </c>
      <c r="AY92" s="16">
        <f t="shared" si="103"/>
        <v>0</v>
      </c>
      <c r="AZ92" s="18">
        <f t="shared" si="120"/>
        <v>3</v>
      </c>
      <c r="BA92" s="16">
        <f t="shared" si="121"/>
        <v>71.25</v>
      </c>
      <c r="BB92" s="19">
        <v>0</v>
      </c>
      <c r="BC92" s="19">
        <v>0</v>
      </c>
      <c r="BD92" s="16">
        <f t="shared" si="122"/>
        <v>0</v>
      </c>
      <c r="BE92" s="16">
        <f t="shared" si="123"/>
        <v>0</v>
      </c>
      <c r="BF92" s="18">
        <f t="shared" si="124"/>
        <v>3</v>
      </c>
      <c r="BG92" s="16">
        <f t="shared" si="125"/>
        <v>71.25</v>
      </c>
      <c r="BH92" s="19">
        <v>0</v>
      </c>
      <c r="BI92" s="19">
        <v>0</v>
      </c>
      <c r="BJ92" s="16">
        <f t="shared" si="126"/>
        <v>0</v>
      </c>
      <c r="BK92" s="16">
        <f t="shared" si="127"/>
        <v>0</v>
      </c>
      <c r="BL92" s="18">
        <f t="shared" si="128"/>
        <v>3</v>
      </c>
      <c r="BM92" s="16">
        <f t="shared" si="129"/>
        <v>71.25</v>
      </c>
      <c r="BN92" s="19">
        <v>0</v>
      </c>
      <c r="BO92" s="19">
        <v>0</v>
      </c>
      <c r="BP92" s="16">
        <f t="shared" si="130"/>
        <v>0</v>
      </c>
      <c r="BQ92" s="16">
        <f t="shared" si="131"/>
        <v>0</v>
      </c>
      <c r="BR92" s="18">
        <f t="shared" si="132"/>
        <v>3</v>
      </c>
      <c r="BS92" s="16">
        <f t="shared" si="133"/>
        <v>71.25</v>
      </c>
      <c r="BT92" s="19">
        <v>0</v>
      </c>
      <c r="BU92" s="19">
        <v>0</v>
      </c>
      <c r="BV92" s="16">
        <f t="shared" si="134"/>
        <v>0</v>
      </c>
      <c r="BW92" s="16">
        <f t="shared" si="135"/>
        <v>0</v>
      </c>
      <c r="BX92" s="18">
        <f t="shared" si="136"/>
        <v>3</v>
      </c>
      <c r="BY92" s="16">
        <f t="shared" si="137"/>
        <v>71.25</v>
      </c>
      <c r="BZ92" s="19">
        <v>0</v>
      </c>
      <c r="CA92" s="19">
        <v>0</v>
      </c>
      <c r="CB92" s="16">
        <f t="shared" si="138"/>
        <v>0</v>
      </c>
      <c r="CC92" s="16">
        <f t="shared" si="139"/>
        <v>0</v>
      </c>
      <c r="CD92" s="20">
        <f t="shared" si="140"/>
        <v>3</v>
      </c>
      <c r="CE92" s="21">
        <f t="shared" si="105"/>
        <v>71.25</v>
      </c>
    </row>
    <row r="93" spans="1:83" x14ac:dyDescent="0.25">
      <c r="A93" s="23"/>
      <c r="B93" s="70">
        <v>79</v>
      </c>
      <c r="C93" s="79" t="s">
        <v>148</v>
      </c>
      <c r="D93" s="13" t="s">
        <v>149</v>
      </c>
      <c r="E93" s="12">
        <v>10</v>
      </c>
      <c r="F93" s="12">
        <v>15</v>
      </c>
      <c r="G93" s="12">
        <v>30</v>
      </c>
      <c r="H93" s="17">
        <v>6</v>
      </c>
      <c r="I93" s="30">
        <v>3.9</v>
      </c>
      <c r="J93" s="17">
        <v>6</v>
      </c>
      <c r="K93" s="16">
        <f t="shared" si="104"/>
        <v>23.4</v>
      </c>
      <c r="L93" s="19">
        <v>0</v>
      </c>
      <c r="M93" s="19">
        <v>0</v>
      </c>
      <c r="N93" s="16">
        <f t="shared" si="106"/>
        <v>0</v>
      </c>
      <c r="O93" s="16">
        <f t="shared" si="107"/>
        <v>0</v>
      </c>
      <c r="P93" s="18">
        <f t="shared" si="108"/>
        <v>6</v>
      </c>
      <c r="Q93" s="16">
        <f t="shared" si="109"/>
        <v>23.4</v>
      </c>
      <c r="R93" s="19">
        <v>0</v>
      </c>
      <c r="S93" s="18">
        <v>0</v>
      </c>
      <c r="T93" s="16">
        <f t="shared" si="110"/>
        <v>0</v>
      </c>
      <c r="U93" s="16">
        <f t="shared" si="111"/>
        <v>0</v>
      </c>
      <c r="V93" s="18">
        <f t="shared" si="112"/>
        <v>6</v>
      </c>
      <c r="W93" s="16">
        <f t="shared" si="113"/>
        <v>23.4</v>
      </c>
      <c r="X93" s="19">
        <v>0</v>
      </c>
      <c r="Y93" s="19">
        <v>0</v>
      </c>
      <c r="Z93" s="16">
        <f t="shared" si="114"/>
        <v>0</v>
      </c>
      <c r="AA93" s="16">
        <f t="shared" si="115"/>
        <v>0</v>
      </c>
      <c r="AB93" s="18">
        <f t="shared" si="116"/>
        <v>6</v>
      </c>
      <c r="AC93" s="16">
        <f t="shared" si="117"/>
        <v>23.4</v>
      </c>
      <c r="AD93" s="19">
        <v>0</v>
      </c>
      <c r="AE93" s="19">
        <v>0</v>
      </c>
      <c r="AF93" s="16">
        <f t="shared" si="118"/>
        <v>0</v>
      </c>
      <c r="AG93" s="16">
        <f t="shared" si="119"/>
        <v>0</v>
      </c>
      <c r="AH93" s="18">
        <f t="shared" si="92"/>
        <v>6</v>
      </c>
      <c r="AI93" s="16">
        <f t="shared" si="93"/>
        <v>23.4</v>
      </c>
      <c r="AJ93" s="19">
        <v>1</v>
      </c>
      <c r="AK93" s="19">
        <v>0</v>
      </c>
      <c r="AL93" s="16">
        <f t="shared" si="94"/>
        <v>0</v>
      </c>
      <c r="AM93" s="16">
        <f t="shared" si="95"/>
        <v>3.9</v>
      </c>
      <c r="AN93" s="18">
        <f t="shared" si="96"/>
        <v>5</v>
      </c>
      <c r="AO93" s="16">
        <f t="shared" si="97"/>
        <v>19.5</v>
      </c>
      <c r="AP93" s="19">
        <v>1</v>
      </c>
      <c r="AQ93" s="19">
        <v>0</v>
      </c>
      <c r="AR93" s="16">
        <f t="shared" si="98"/>
        <v>0</v>
      </c>
      <c r="AS93" s="16">
        <f t="shared" si="99"/>
        <v>3.9</v>
      </c>
      <c r="AT93" s="18">
        <f t="shared" si="100"/>
        <v>4</v>
      </c>
      <c r="AU93" s="16">
        <f t="shared" si="101"/>
        <v>15.6</v>
      </c>
      <c r="AV93" s="19">
        <v>0</v>
      </c>
      <c r="AW93" s="19">
        <v>0</v>
      </c>
      <c r="AX93" s="16">
        <f t="shared" si="102"/>
        <v>0</v>
      </c>
      <c r="AY93" s="16">
        <f t="shared" si="103"/>
        <v>0</v>
      </c>
      <c r="AZ93" s="18">
        <f t="shared" si="120"/>
        <v>4</v>
      </c>
      <c r="BA93" s="16">
        <f t="shared" si="121"/>
        <v>15.6</v>
      </c>
      <c r="BB93" s="19">
        <v>0</v>
      </c>
      <c r="BC93" s="19">
        <v>0</v>
      </c>
      <c r="BD93" s="16">
        <f t="shared" si="122"/>
        <v>0</v>
      </c>
      <c r="BE93" s="16">
        <f t="shared" si="123"/>
        <v>0</v>
      </c>
      <c r="BF93" s="18">
        <f t="shared" si="124"/>
        <v>4</v>
      </c>
      <c r="BG93" s="16">
        <f t="shared" si="125"/>
        <v>15.6</v>
      </c>
      <c r="BH93" s="19">
        <v>0</v>
      </c>
      <c r="BI93" s="19">
        <v>0</v>
      </c>
      <c r="BJ93" s="16">
        <f t="shared" si="126"/>
        <v>0</v>
      </c>
      <c r="BK93" s="16">
        <f t="shared" si="127"/>
        <v>0</v>
      </c>
      <c r="BL93" s="18">
        <f t="shared" si="128"/>
        <v>4</v>
      </c>
      <c r="BM93" s="16">
        <f t="shared" si="129"/>
        <v>15.6</v>
      </c>
      <c r="BN93" s="19">
        <v>0</v>
      </c>
      <c r="BO93" s="19">
        <v>0</v>
      </c>
      <c r="BP93" s="16">
        <f t="shared" si="130"/>
        <v>0</v>
      </c>
      <c r="BQ93" s="16">
        <f t="shared" si="131"/>
        <v>0</v>
      </c>
      <c r="BR93" s="18">
        <f t="shared" si="132"/>
        <v>4</v>
      </c>
      <c r="BS93" s="16">
        <f t="shared" si="133"/>
        <v>15.6</v>
      </c>
      <c r="BT93" s="19">
        <v>0</v>
      </c>
      <c r="BU93" s="19">
        <v>0</v>
      </c>
      <c r="BV93" s="16">
        <f t="shared" si="134"/>
        <v>0</v>
      </c>
      <c r="BW93" s="16">
        <f t="shared" si="135"/>
        <v>0</v>
      </c>
      <c r="BX93" s="18">
        <f t="shared" si="136"/>
        <v>4</v>
      </c>
      <c r="BY93" s="16">
        <f t="shared" si="137"/>
        <v>15.6</v>
      </c>
      <c r="BZ93" s="19">
        <v>0</v>
      </c>
      <c r="CA93" s="19">
        <v>0</v>
      </c>
      <c r="CB93" s="16">
        <f t="shared" si="138"/>
        <v>0</v>
      </c>
      <c r="CC93" s="16">
        <f t="shared" si="139"/>
        <v>0</v>
      </c>
      <c r="CD93" s="20">
        <f t="shared" si="140"/>
        <v>4</v>
      </c>
      <c r="CE93" s="21">
        <f t="shared" si="105"/>
        <v>15.6</v>
      </c>
    </row>
    <row r="94" spans="1:83" x14ac:dyDescent="0.25">
      <c r="A94" s="23"/>
      <c r="B94" s="70">
        <v>80</v>
      </c>
      <c r="C94" s="86" t="s">
        <v>150</v>
      </c>
      <c r="D94" s="13" t="s">
        <v>346</v>
      </c>
      <c r="E94" s="12"/>
      <c r="F94" s="12"/>
      <c r="G94" s="12"/>
      <c r="H94" s="17">
        <v>1</v>
      </c>
      <c r="I94" s="30">
        <v>14.3</v>
      </c>
      <c r="J94" s="17">
        <v>1</v>
      </c>
      <c r="K94" s="16">
        <f t="shared" si="104"/>
        <v>14.3</v>
      </c>
      <c r="L94" s="19">
        <v>0</v>
      </c>
      <c r="M94" s="19">
        <v>0</v>
      </c>
      <c r="N94" s="16">
        <f t="shared" si="106"/>
        <v>0</v>
      </c>
      <c r="O94" s="16">
        <f t="shared" si="107"/>
        <v>0</v>
      </c>
      <c r="P94" s="18">
        <f t="shared" si="108"/>
        <v>1</v>
      </c>
      <c r="Q94" s="16">
        <f t="shared" si="109"/>
        <v>14.3</v>
      </c>
      <c r="R94" s="19">
        <v>0</v>
      </c>
      <c r="S94" s="18">
        <v>0</v>
      </c>
      <c r="T94" s="16">
        <f t="shared" si="110"/>
        <v>0</v>
      </c>
      <c r="U94" s="16">
        <f t="shared" si="111"/>
        <v>0</v>
      </c>
      <c r="V94" s="18">
        <f t="shared" si="112"/>
        <v>1</v>
      </c>
      <c r="W94" s="16">
        <f t="shared" si="113"/>
        <v>14.3</v>
      </c>
      <c r="X94" s="19">
        <v>0</v>
      </c>
      <c r="Y94" s="19">
        <v>0</v>
      </c>
      <c r="Z94" s="16">
        <f t="shared" si="114"/>
        <v>0</v>
      </c>
      <c r="AA94" s="16">
        <f t="shared" si="115"/>
        <v>0</v>
      </c>
      <c r="AB94" s="18">
        <f t="shared" si="116"/>
        <v>1</v>
      </c>
      <c r="AC94" s="16">
        <f t="shared" si="117"/>
        <v>14.3</v>
      </c>
      <c r="AD94" s="19">
        <v>0</v>
      </c>
      <c r="AE94" s="19">
        <v>0</v>
      </c>
      <c r="AF94" s="16">
        <f t="shared" si="118"/>
        <v>0</v>
      </c>
      <c r="AG94" s="16">
        <f t="shared" si="119"/>
        <v>0</v>
      </c>
      <c r="AH94" s="18">
        <f t="shared" si="92"/>
        <v>1</v>
      </c>
      <c r="AI94" s="16">
        <f t="shared" si="93"/>
        <v>14.3</v>
      </c>
      <c r="AJ94" s="19">
        <v>0</v>
      </c>
      <c r="AK94" s="19">
        <v>0</v>
      </c>
      <c r="AL94" s="16">
        <f t="shared" si="94"/>
        <v>0</v>
      </c>
      <c r="AM94" s="16">
        <f t="shared" si="95"/>
        <v>0</v>
      </c>
      <c r="AN94" s="18">
        <f t="shared" si="96"/>
        <v>1</v>
      </c>
      <c r="AO94" s="16">
        <f t="shared" si="97"/>
        <v>14.3</v>
      </c>
      <c r="AP94" s="19">
        <v>0</v>
      </c>
      <c r="AQ94" s="19">
        <v>0</v>
      </c>
      <c r="AR94" s="16">
        <f t="shared" si="98"/>
        <v>0</v>
      </c>
      <c r="AS94" s="16">
        <f t="shared" si="99"/>
        <v>0</v>
      </c>
      <c r="AT94" s="18">
        <f t="shared" si="100"/>
        <v>1</v>
      </c>
      <c r="AU94" s="16">
        <f t="shared" si="101"/>
        <v>14.3</v>
      </c>
      <c r="AV94" s="19">
        <v>0</v>
      </c>
      <c r="AW94" s="19">
        <v>0</v>
      </c>
      <c r="AX94" s="16">
        <f t="shared" si="102"/>
        <v>0</v>
      </c>
      <c r="AY94" s="16">
        <f t="shared" si="103"/>
        <v>0</v>
      </c>
      <c r="AZ94" s="18">
        <f t="shared" si="120"/>
        <v>1</v>
      </c>
      <c r="BA94" s="16">
        <f t="shared" si="121"/>
        <v>14.3</v>
      </c>
      <c r="BB94" s="19">
        <v>0</v>
      </c>
      <c r="BC94" s="19">
        <v>0</v>
      </c>
      <c r="BD94" s="16">
        <f t="shared" si="122"/>
        <v>0</v>
      </c>
      <c r="BE94" s="16">
        <f t="shared" si="123"/>
        <v>0</v>
      </c>
      <c r="BF94" s="18">
        <f t="shared" si="124"/>
        <v>1</v>
      </c>
      <c r="BG94" s="16">
        <f t="shared" si="125"/>
        <v>14.3</v>
      </c>
      <c r="BH94" s="19">
        <v>0</v>
      </c>
      <c r="BI94" s="19">
        <v>0</v>
      </c>
      <c r="BJ94" s="16">
        <f t="shared" si="126"/>
        <v>0</v>
      </c>
      <c r="BK94" s="16">
        <f t="shared" si="127"/>
        <v>0</v>
      </c>
      <c r="BL94" s="18">
        <f t="shared" si="128"/>
        <v>1</v>
      </c>
      <c r="BM94" s="16">
        <f t="shared" si="129"/>
        <v>14.3</v>
      </c>
      <c r="BN94" s="19">
        <v>0</v>
      </c>
      <c r="BO94" s="19">
        <v>0</v>
      </c>
      <c r="BP94" s="16">
        <f t="shared" si="130"/>
        <v>0</v>
      </c>
      <c r="BQ94" s="16">
        <f t="shared" si="131"/>
        <v>0</v>
      </c>
      <c r="BR94" s="18">
        <f t="shared" si="132"/>
        <v>1</v>
      </c>
      <c r="BS94" s="16">
        <f t="shared" si="133"/>
        <v>14.3</v>
      </c>
      <c r="BT94" s="19">
        <v>0</v>
      </c>
      <c r="BU94" s="19">
        <v>0</v>
      </c>
      <c r="BV94" s="16">
        <f t="shared" si="134"/>
        <v>0</v>
      </c>
      <c r="BW94" s="16">
        <f t="shared" si="135"/>
        <v>0</v>
      </c>
      <c r="BX94" s="18">
        <f t="shared" si="136"/>
        <v>1</v>
      </c>
      <c r="BY94" s="16">
        <f t="shared" si="137"/>
        <v>14.3</v>
      </c>
      <c r="BZ94" s="19">
        <v>0</v>
      </c>
      <c r="CA94" s="19">
        <v>0</v>
      </c>
      <c r="CB94" s="16">
        <f t="shared" si="138"/>
        <v>0</v>
      </c>
      <c r="CC94" s="16">
        <f t="shared" si="139"/>
        <v>0</v>
      </c>
      <c r="CD94" s="20">
        <f t="shared" si="140"/>
        <v>1</v>
      </c>
      <c r="CE94" s="21">
        <f t="shared" si="105"/>
        <v>14.3</v>
      </c>
    </row>
    <row r="95" spans="1:83" x14ac:dyDescent="0.25">
      <c r="A95" s="23"/>
      <c r="B95" s="70">
        <v>81</v>
      </c>
      <c r="C95" s="86" t="s">
        <v>344</v>
      </c>
      <c r="D95" s="13" t="s">
        <v>348</v>
      </c>
      <c r="E95" s="12"/>
      <c r="F95" s="12"/>
      <c r="G95" s="12"/>
      <c r="H95" s="17">
        <v>1</v>
      </c>
      <c r="I95" s="30">
        <v>14.3</v>
      </c>
      <c r="J95" s="17">
        <v>1</v>
      </c>
      <c r="K95" s="16">
        <f t="shared" si="104"/>
        <v>14.3</v>
      </c>
      <c r="L95" s="19">
        <v>0</v>
      </c>
      <c r="M95" s="19">
        <v>0</v>
      </c>
      <c r="N95" s="16">
        <f t="shared" si="106"/>
        <v>0</v>
      </c>
      <c r="O95" s="16">
        <f t="shared" si="107"/>
        <v>0</v>
      </c>
      <c r="P95" s="18">
        <f t="shared" si="108"/>
        <v>1</v>
      </c>
      <c r="Q95" s="16">
        <f t="shared" si="109"/>
        <v>14.3</v>
      </c>
      <c r="R95" s="19">
        <v>0</v>
      </c>
      <c r="S95" s="18">
        <v>0</v>
      </c>
      <c r="T95" s="16">
        <f t="shared" si="110"/>
        <v>0</v>
      </c>
      <c r="U95" s="16">
        <f t="shared" si="111"/>
        <v>0</v>
      </c>
      <c r="V95" s="18">
        <f t="shared" si="112"/>
        <v>1</v>
      </c>
      <c r="W95" s="16">
        <f t="shared" si="113"/>
        <v>14.3</v>
      </c>
      <c r="X95" s="19">
        <v>0</v>
      </c>
      <c r="Y95" s="19">
        <v>0</v>
      </c>
      <c r="Z95" s="16">
        <f t="shared" si="114"/>
        <v>0</v>
      </c>
      <c r="AA95" s="16">
        <f t="shared" si="115"/>
        <v>0</v>
      </c>
      <c r="AB95" s="18">
        <f t="shared" si="116"/>
        <v>1</v>
      </c>
      <c r="AC95" s="16">
        <f t="shared" si="117"/>
        <v>14.3</v>
      </c>
      <c r="AD95" s="19">
        <v>0</v>
      </c>
      <c r="AE95" s="19">
        <v>0</v>
      </c>
      <c r="AF95" s="16">
        <f t="shared" si="118"/>
        <v>0</v>
      </c>
      <c r="AG95" s="16">
        <f t="shared" si="119"/>
        <v>0</v>
      </c>
      <c r="AH95" s="18">
        <f t="shared" si="92"/>
        <v>1</v>
      </c>
      <c r="AI95" s="16">
        <f t="shared" si="93"/>
        <v>14.3</v>
      </c>
      <c r="AJ95" s="19">
        <v>0</v>
      </c>
      <c r="AK95" s="19">
        <v>0</v>
      </c>
      <c r="AL95" s="16">
        <f t="shared" si="94"/>
        <v>0</v>
      </c>
      <c r="AM95" s="16">
        <f t="shared" si="95"/>
        <v>0</v>
      </c>
      <c r="AN95" s="18">
        <f t="shared" si="96"/>
        <v>1</v>
      </c>
      <c r="AO95" s="16">
        <f t="shared" si="97"/>
        <v>14.3</v>
      </c>
      <c r="AP95" s="19">
        <v>0</v>
      </c>
      <c r="AQ95" s="19">
        <v>0</v>
      </c>
      <c r="AR95" s="16">
        <f t="shared" si="98"/>
        <v>0</v>
      </c>
      <c r="AS95" s="16">
        <f t="shared" si="99"/>
        <v>0</v>
      </c>
      <c r="AT95" s="18">
        <f t="shared" si="100"/>
        <v>1</v>
      </c>
      <c r="AU95" s="16">
        <f t="shared" si="101"/>
        <v>14.3</v>
      </c>
      <c r="AV95" s="19">
        <v>0</v>
      </c>
      <c r="AW95" s="19">
        <v>0</v>
      </c>
      <c r="AX95" s="16">
        <f t="shared" si="102"/>
        <v>0</v>
      </c>
      <c r="AY95" s="16">
        <f t="shared" si="103"/>
        <v>0</v>
      </c>
      <c r="AZ95" s="18">
        <f t="shared" si="120"/>
        <v>1</v>
      </c>
      <c r="BA95" s="16">
        <f t="shared" si="121"/>
        <v>14.3</v>
      </c>
      <c r="BB95" s="19">
        <v>0</v>
      </c>
      <c r="BC95" s="19">
        <v>0</v>
      </c>
      <c r="BD95" s="16">
        <f t="shared" si="122"/>
        <v>0</v>
      </c>
      <c r="BE95" s="16">
        <f t="shared" si="123"/>
        <v>0</v>
      </c>
      <c r="BF95" s="18">
        <f t="shared" si="124"/>
        <v>1</v>
      </c>
      <c r="BG95" s="16">
        <f t="shared" si="125"/>
        <v>14.3</v>
      </c>
      <c r="BH95" s="19">
        <v>0</v>
      </c>
      <c r="BI95" s="19">
        <v>0</v>
      </c>
      <c r="BJ95" s="16">
        <f t="shared" si="126"/>
        <v>0</v>
      </c>
      <c r="BK95" s="16">
        <f t="shared" si="127"/>
        <v>0</v>
      </c>
      <c r="BL95" s="18">
        <f t="shared" si="128"/>
        <v>1</v>
      </c>
      <c r="BM95" s="16">
        <f t="shared" si="129"/>
        <v>14.3</v>
      </c>
      <c r="BN95" s="19">
        <v>0</v>
      </c>
      <c r="BO95" s="19">
        <v>0</v>
      </c>
      <c r="BP95" s="16">
        <f t="shared" si="130"/>
        <v>0</v>
      </c>
      <c r="BQ95" s="16">
        <f t="shared" si="131"/>
        <v>0</v>
      </c>
      <c r="BR95" s="18">
        <f t="shared" si="132"/>
        <v>1</v>
      </c>
      <c r="BS95" s="16">
        <f t="shared" si="133"/>
        <v>14.3</v>
      </c>
      <c r="BT95" s="19">
        <v>0</v>
      </c>
      <c r="BU95" s="19">
        <v>0</v>
      </c>
      <c r="BV95" s="16">
        <f t="shared" si="134"/>
        <v>0</v>
      </c>
      <c r="BW95" s="16">
        <f t="shared" si="135"/>
        <v>0</v>
      </c>
      <c r="BX95" s="18">
        <f t="shared" si="136"/>
        <v>1</v>
      </c>
      <c r="BY95" s="16">
        <f t="shared" si="137"/>
        <v>14.3</v>
      </c>
      <c r="BZ95" s="19">
        <v>0</v>
      </c>
      <c r="CA95" s="19">
        <v>0</v>
      </c>
      <c r="CB95" s="16">
        <f t="shared" si="138"/>
        <v>0</v>
      </c>
      <c r="CC95" s="16">
        <f t="shared" si="139"/>
        <v>0</v>
      </c>
      <c r="CD95" s="20">
        <f t="shared" si="140"/>
        <v>1</v>
      </c>
      <c r="CE95" s="21">
        <f t="shared" si="105"/>
        <v>14.3</v>
      </c>
    </row>
    <row r="96" spans="1:83" x14ac:dyDescent="0.25">
      <c r="A96" s="23"/>
      <c r="B96" s="70">
        <v>82</v>
      </c>
      <c r="C96" s="86" t="s">
        <v>345</v>
      </c>
      <c r="D96" s="13" t="s">
        <v>347</v>
      </c>
      <c r="E96" s="12"/>
      <c r="F96" s="12"/>
      <c r="G96" s="12"/>
      <c r="H96" s="17">
        <v>1</v>
      </c>
      <c r="I96" s="30">
        <v>14.3</v>
      </c>
      <c r="J96" s="17">
        <v>1</v>
      </c>
      <c r="K96" s="16">
        <f t="shared" si="104"/>
        <v>14.3</v>
      </c>
      <c r="L96" s="19">
        <v>0</v>
      </c>
      <c r="M96" s="19">
        <v>0</v>
      </c>
      <c r="N96" s="16">
        <f t="shared" si="106"/>
        <v>0</v>
      </c>
      <c r="O96" s="16">
        <f t="shared" si="107"/>
        <v>0</v>
      </c>
      <c r="P96" s="18">
        <f t="shared" si="108"/>
        <v>1</v>
      </c>
      <c r="Q96" s="16">
        <f t="shared" si="109"/>
        <v>14.3</v>
      </c>
      <c r="R96" s="19">
        <v>0</v>
      </c>
      <c r="S96" s="18">
        <v>0</v>
      </c>
      <c r="T96" s="16">
        <f t="shared" si="110"/>
        <v>0</v>
      </c>
      <c r="U96" s="16">
        <f t="shared" si="111"/>
        <v>0</v>
      </c>
      <c r="V96" s="18">
        <f t="shared" si="112"/>
        <v>1</v>
      </c>
      <c r="W96" s="16">
        <f t="shared" si="113"/>
        <v>14.3</v>
      </c>
      <c r="X96" s="19">
        <v>0</v>
      </c>
      <c r="Y96" s="19">
        <v>0</v>
      </c>
      <c r="Z96" s="16">
        <f t="shared" si="114"/>
        <v>0</v>
      </c>
      <c r="AA96" s="16">
        <f t="shared" si="115"/>
        <v>0</v>
      </c>
      <c r="AB96" s="18">
        <f t="shared" si="116"/>
        <v>1</v>
      </c>
      <c r="AC96" s="16">
        <f t="shared" si="117"/>
        <v>14.3</v>
      </c>
      <c r="AD96" s="19">
        <v>0</v>
      </c>
      <c r="AE96" s="19">
        <v>0</v>
      </c>
      <c r="AF96" s="16">
        <f t="shared" si="118"/>
        <v>0</v>
      </c>
      <c r="AG96" s="16">
        <f t="shared" si="119"/>
        <v>0</v>
      </c>
      <c r="AH96" s="18">
        <f t="shared" si="92"/>
        <v>1</v>
      </c>
      <c r="AI96" s="16">
        <f t="shared" si="93"/>
        <v>14.3</v>
      </c>
      <c r="AJ96" s="19">
        <v>0</v>
      </c>
      <c r="AK96" s="19">
        <v>0</v>
      </c>
      <c r="AL96" s="16">
        <f t="shared" si="94"/>
        <v>0</v>
      </c>
      <c r="AM96" s="16">
        <f t="shared" si="95"/>
        <v>0</v>
      </c>
      <c r="AN96" s="18">
        <f t="shared" si="96"/>
        <v>1</v>
      </c>
      <c r="AO96" s="16">
        <f t="shared" si="97"/>
        <v>14.3</v>
      </c>
      <c r="AP96" s="19">
        <v>0</v>
      </c>
      <c r="AQ96" s="19">
        <v>0</v>
      </c>
      <c r="AR96" s="16">
        <f t="shared" si="98"/>
        <v>0</v>
      </c>
      <c r="AS96" s="16">
        <f t="shared" si="99"/>
        <v>0</v>
      </c>
      <c r="AT96" s="18">
        <f t="shared" si="100"/>
        <v>1</v>
      </c>
      <c r="AU96" s="16">
        <f t="shared" si="101"/>
        <v>14.3</v>
      </c>
      <c r="AV96" s="19">
        <v>0</v>
      </c>
      <c r="AW96" s="19">
        <v>0</v>
      </c>
      <c r="AX96" s="16">
        <f t="shared" si="102"/>
        <v>0</v>
      </c>
      <c r="AY96" s="16">
        <f t="shared" si="103"/>
        <v>0</v>
      </c>
      <c r="AZ96" s="18">
        <f t="shared" si="120"/>
        <v>1</v>
      </c>
      <c r="BA96" s="16">
        <f t="shared" si="121"/>
        <v>14.3</v>
      </c>
      <c r="BB96" s="19">
        <v>0</v>
      </c>
      <c r="BC96" s="19">
        <v>0</v>
      </c>
      <c r="BD96" s="16">
        <f t="shared" si="122"/>
        <v>0</v>
      </c>
      <c r="BE96" s="16">
        <f t="shared" si="123"/>
        <v>0</v>
      </c>
      <c r="BF96" s="18">
        <f t="shared" si="124"/>
        <v>1</v>
      </c>
      <c r="BG96" s="16">
        <f t="shared" si="125"/>
        <v>14.3</v>
      </c>
      <c r="BH96" s="19">
        <v>0</v>
      </c>
      <c r="BI96" s="19">
        <v>0</v>
      </c>
      <c r="BJ96" s="16">
        <f t="shared" si="126"/>
        <v>0</v>
      </c>
      <c r="BK96" s="16">
        <f t="shared" si="127"/>
        <v>0</v>
      </c>
      <c r="BL96" s="18">
        <f t="shared" si="128"/>
        <v>1</v>
      </c>
      <c r="BM96" s="16">
        <f t="shared" si="129"/>
        <v>14.3</v>
      </c>
      <c r="BN96" s="19">
        <v>0</v>
      </c>
      <c r="BO96" s="19">
        <v>0</v>
      </c>
      <c r="BP96" s="16">
        <f t="shared" si="130"/>
        <v>0</v>
      </c>
      <c r="BQ96" s="16">
        <f t="shared" si="131"/>
        <v>0</v>
      </c>
      <c r="BR96" s="18">
        <f t="shared" si="132"/>
        <v>1</v>
      </c>
      <c r="BS96" s="16">
        <f t="shared" si="133"/>
        <v>14.3</v>
      </c>
      <c r="BT96" s="19">
        <v>0</v>
      </c>
      <c r="BU96" s="19">
        <v>0</v>
      </c>
      <c r="BV96" s="16">
        <f t="shared" si="134"/>
        <v>0</v>
      </c>
      <c r="BW96" s="16">
        <f t="shared" si="135"/>
        <v>0</v>
      </c>
      <c r="BX96" s="18">
        <f t="shared" si="136"/>
        <v>1</v>
      </c>
      <c r="BY96" s="16">
        <f t="shared" si="137"/>
        <v>14.3</v>
      </c>
      <c r="BZ96" s="19">
        <v>0</v>
      </c>
      <c r="CA96" s="19">
        <v>0</v>
      </c>
      <c r="CB96" s="16">
        <f t="shared" si="138"/>
        <v>0</v>
      </c>
      <c r="CC96" s="16">
        <f t="shared" si="139"/>
        <v>0</v>
      </c>
      <c r="CD96" s="20">
        <f t="shared" si="140"/>
        <v>1</v>
      </c>
      <c r="CE96" s="21">
        <f t="shared" si="105"/>
        <v>14.3</v>
      </c>
    </row>
    <row r="97" spans="1:83" x14ac:dyDescent="0.25">
      <c r="A97" s="23">
        <v>138</v>
      </c>
      <c r="B97" s="70">
        <v>83</v>
      </c>
      <c r="C97" s="174" t="s">
        <v>351</v>
      </c>
      <c r="D97" s="13" t="s">
        <v>151</v>
      </c>
      <c r="E97" s="168">
        <v>5</v>
      </c>
      <c r="F97" s="168">
        <v>8</v>
      </c>
      <c r="G97" s="168">
        <v>10</v>
      </c>
      <c r="H97" s="40">
        <v>7</v>
      </c>
      <c r="I97" s="30">
        <v>3.8</v>
      </c>
      <c r="J97" s="40">
        <v>7</v>
      </c>
      <c r="K97" s="16">
        <f t="shared" si="104"/>
        <v>26.599999999999998</v>
      </c>
      <c r="L97" s="19">
        <v>0</v>
      </c>
      <c r="M97" s="19">
        <v>0</v>
      </c>
      <c r="N97" s="16">
        <f t="shared" si="106"/>
        <v>0</v>
      </c>
      <c r="O97" s="16">
        <f t="shared" si="107"/>
        <v>0</v>
      </c>
      <c r="P97" s="18">
        <f t="shared" si="108"/>
        <v>7</v>
      </c>
      <c r="Q97" s="16">
        <f t="shared" si="109"/>
        <v>26.599999999999998</v>
      </c>
      <c r="R97" s="19">
        <v>0</v>
      </c>
      <c r="S97" s="18">
        <v>0</v>
      </c>
      <c r="T97" s="16">
        <f t="shared" si="110"/>
        <v>0</v>
      </c>
      <c r="U97" s="16">
        <f t="shared" si="111"/>
        <v>0</v>
      </c>
      <c r="V97" s="18">
        <f t="shared" si="112"/>
        <v>7</v>
      </c>
      <c r="W97" s="16">
        <f t="shared" si="113"/>
        <v>26.599999999999998</v>
      </c>
      <c r="X97" s="19">
        <v>0</v>
      </c>
      <c r="Y97" s="19">
        <v>0</v>
      </c>
      <c r="Z97" s="16">
        <f t="shared" si="114"/>
        <v>0</v>
      </c>
      <c r="AA97" s="16">
        <f t="shared" si="115"/>
        <v>0</v>
      </c>
      <c r="AB97" s="18">
        <f t="shared" si="116"/>
        <v>7</v>
      </c>
      <c r="AC97" s="16">
        <f t="shared" si="117"/>
        <v>26.599999999999998</v>
      </c>
      <c r="AD97" s="19">
        <v>0</v>
      </c>
      <c r="AE97" s="19">
        <v>0</v>
      </c>
      <c r="AF97" s="16">
        <f t="shared" si="118"/>
        <v>0</v>
      </c>
      <c r="AG97" s="16">
        <f t="shared" si="119"/>
        <v>0</v>
      </c>
      <c r="AH97" s="18">
        <f t="shared" si="92"/>
        <v>7</v>
      </c>
      <c r="AI97" s="16">
        <f t="shared" si="93"/>
        <v>26.599999999999998</v>
      </c>
      <c r="AJ97" s="19">
        <v>0</v>
      </c>
      <c r="AK97" s="19">
        <v>0</v>
      </c>
      <c r="AL97" s="16">
        <f t="shared" si="94"/>
        <v>0</v>
      </c>
      <c r="AM97" s="16">
        <f t="shared" si="95"/>
        <v>0</v>
      </c>
      <c r="AN97" s="18">
        <f t="shared" si="96"/>
        <v>7</v>
      </c>
      <c r="AO97" s="16">
        <f t="shared" si="97"/>
        <v>26.599999999999998</v>
      </c>
      <c r="AP97" s="19">
        <v>0</v>
      </c>
      <c r="AQ97" s="19">
        <v>0</v>
      </c>
      <c r="AR97" s="16">
        <f t="shared" si="98"/>
        <v>0</v>
      </c>
      <c r="AS97" s="16">
        <f t="shared" si="99"/>
        <v>0</v>
      </c>
      <c r="AT97" s="18">
        <f t="shared" si="100"/>
        <v>7</v>
      </c>
      <c r="AU97" s="16">
        <f t="shared" si="101"/>
        <v>26.599999999999998</v>
      </c>
      <c r="AV97" s="19">
        <v>0</v>
      </c>
      <c r="AW97" s="19">
        <v>0</v>
      </c>
      <c r="AX97" s="16">
        <f t="shared" si="102"/>
        <v>0</v>
      </c>
      <c r="AY97" s="16">
        <f t="shared" si="103"/>
        <v>0</v>
      </c>
      <c r="AZ97" s="18">
        <f t="shared" si="120"/>
        <v>7</v>
      </c>
      <c r="BA97" s="16">
        <f t="shared" si="121"/>
        <v>26.599999999999998</v>
      </c>
      <c r="BB97" s="19">
        <v>0</v>
      </c>
      <c r="BC97" s="19">
        <v>0</v>
      </c>
      <c r="BD97" s="16">
        <f t="shared" si="122"/>
        <v>0</v>
      </c>
      <c r="BE97" s="16">
        <f t="shared" si="123"/>
        <v>0</v>
      </c>
      <c r="BF97" s="18">
        <f t="shared" si="124"/>
        <v>7</v>
      </c>
      <c r="BG97" s="16">
        <f t="shared" si="125"/>
        <v>26.599999999999998</v>
      </c>
      <c r="BH97" s="19">
        <v>0</v>
      </c>
      <c r="BI97" s="19">
        <v>0</v>
      </c>
      <c r="BJ97" s="16">
        <f t="shared" si="126"/>
        <v>0</v>
      </c>
      <c r="BK97" s="16">
        <f t="shared" si="127"/>
        <v>0</v>
      </c>
      <c r="BL97" s="18">
        <f t="shared" si="128"/>
        <v>7</v>
      </c>
      <c r="BM97" s="16">
        <f t="shared" si="129"/>
        <v>26.599999999999998</v>
      </c>
      <c r="BN97" s="19">
        <v>0</v>
      </c>
      <c r="BO97" s="19">
        <v>0</v>
      </c>
      <c r="BP97" s="16">
        <f t="shared" si="130"/>
        <v>0</v>
      </c>
      <c r="BQ97" s="16">
        <f t="shared" si="131"/>
        <v>0</v>
      </c>
      <c r="BR97" s="18">
        <f t="shared" si="132"/>
        <v>7</v>
      </c>
      <c r="BS97" s="16">
        <f t="shared" si="133"/>
        <v>26.599999999999998</v>
      </c>
      <c r="BT97" s="19">
        <v>0</v>
      </c>
      <c r="BU97" s="19">
        <v>0</v>
      </c>
      <c r="BV97" s="16">
        <f t="shared" si="134"/>
        <v>0</v>
      </c>
      <c r="BW97" s="16">
        <f t="shared" si="135"/>
        <v>0</v>
      </c>
      <c r="BX97" s="18">
        <f t="shared" si="136"/>
        <v>7</v>
      </c>
      <c r="BY97" s="16">
        <f t="shared" si="137"/>
        <v>26.599999999999998</v>
      </c>
      <c r="BZ97" s="19">
        <v>0</v>
      </c>
      <c r="CA97" s="19">
        <v>0</v>
      </c>
      <c r="CB97" s="16">
        <f t="shared" si="138"/>
        <v>0</v>
      </c>
      <c r="CC97" s="16">
        <f t="shared" si="139"/>
        <v>0</v>
      </c>
      <c r="CD97" s="20">
        <f t="shared" si="140"/>
        <v>7</v>
      </c>
      <c r="CE97" s="21">
        <f t="shared" si="105"/>
        <v>26.599999999999998</v>
      </c>
    </row>
    <row r="98" spans="1:83" ht="20.25" customHeight="1" x14ac:dyDescent="0.25">
      <c r="B98" s="70">
        <v>84</v>
      </c>
      <c r="C98" s="175"/>
      <c r="D98" s="41" t="s">
        <v>152</v>
      </c>
      <c r="E98" s="169"/>
      <c r="F98" s="169"/>
      <c r="G98" s="169"/>
      <c r="H98" s="40">
        <v>20</v>
      </c>
      <c r="I98" s="30">
        <v>3.5</v>
      </c>
      <c r="J98" s="40">
        <v>20</v>
      </c>
      <c r="K98" s="16">
        <f t="shared" si="104"/>
        <v>70</v>
      </c>
      <c r="L98" s="19">
        <v>0</v>
      </c>
      <c r="M98" s="19">
        <v>0</v>
      </c>
      <c r="N98" s="16">
        <f t="shared" si="106"/>
        <v>0</v>
      </c>
      <c r="O98" s="16">
        <f t="shared" si="107"/>
        <v>0</v>
      </c>
      <c r="P98" s="18">
        <f t="shared" si="108"/>
        <v>20</v>
      </c>
      <c r="Q98" s="16">
        <f t="shared" si="109"/>
        <v>70</v>
      </c>
      <c r="R98" s="19">
        <v>0</v>
      </c>
      <c r="S98" s="18">
        <v>0</v>
      </c>
      <c r="T98" s="16">
        <f t="shared" si="110"/>
        <v>0</v>
      </c>
      <c r="U98" s="16">
        <f t="shared" si="111"/>
        <v>0</v>
      </c>
      <c r="V98" s="18">
        <f t="shared" si="112"/>
        <v>20</v>
      </c>
      <c r="W98" s="16">
        <f t="shared" si="113"/>
        <v>70</v>
      </c>
      <c r="X98" s="19">
        <v>0</v>
      </c>
      <c r="Y98" s="19">
        <v>0</v>
      </c>
      <c r="Z98" s="16">
        <f t="shared" si="114"/>
        <v>0</v>
      </c>
      <c r="AA98" s="16">
        <f t="shared" si="115"/>
        <v>0</v>
      </c>
      <c r="AB98" s="18">
        <f t="shared" si="116"/>
        <v>20</v>
      </c>
      <c r="AC98" s="16">
        <f t="shared" si="117"/>
        <v>70</v>
      </c>
      <c r="AD98" s="19">
        <v>0</v>
      </c>
      <c r="AE98" s="19">
        <v>0</v>
      </c>
      <c r="AF98" s="16">
        <f t="shared" si="118"/>
        <v>0</v>
      </c>
      <c r="AG98" s="16">
        <f t="shared" si="119"/>
        <v>0</v>
      </c>
      <c r="AH98" s="18">
        <f t="shared" si="92"/>
        <v>20</v>
      </c>
      <c r="AI98" s="16">
        <f t="shared" si="93"/>
        <v>70</v>
      </c>
      <c r="AJ98" s="19">
        <v>0</v>
      </c>
      <c r="AK98" s="19">
        <v>0</v>
      </c>
      <c r="AL98" s="16">
        <f t="shared" si="94"/>
        <v>0</v>
      </c>
      <c r="AM98" s="16">
        <f t="shared" si="95"/>
        <v>0</v>
      </c>
      <c r="AN98" s="18">
        <f t="shared" si="96"/>
        <v>20</v>
      </c>
      <c r="AO98" s="16">
        <f t="shared" si="97"/>
        <v>70</v>
      </c>
      <c r="AP98" s="19">
        <v>0</v>
      </c>
      <c r="AQ98" s="19">
        <v>0</v>
      </c>
      <c r="AR98" s="16">
        <f t="shared" si="98"/>
        <v>0</v>
      </c>
      <c r="AS98" s="16">
        <f t="shared" si="99"/>
        <v>0</v>
      </c>
      <c r="AT98" s="18">
        <f t="shared" si="100"/>
        <v>20</v>
      </c>
      <c r="AU98" s="16">
        <f t="shared" si="101"/>
        <v>70</v>
      </c>
      <c r="AV98" s="19">
        <v>0</v>
      </c>
      <c r="AW98" s="19">
        <v>0</v>
      </c>
      <c r="AX98" s="16">
        <f t="shared" si="102"/>
        <v>0</v>
      </c>
      <c r="AY98" s="16">
        <f t="shared" si="103"/>
        <v>0</v>
      </c>
      <c r="AZ98" s="18">
        <f t="shared" si="120"/>
        <v>20</v>
      </c>
      <c r="BA98" s="16">
        <f t="shared" si="121"/>
        <v>70</v>
      </c>
      <c r="BB98" s="19">
        <v>0</v>
      </c>
      <c r="BC98" s="19">
        <v>0</v>
      </c>
      <c r="BD98" s="16">
        <f t="shared" si="122"/>
        <v>0</v>
      </c>
      <c r="BE98" s="16">
        <f t="shared" si="123"/>
        <v>0</v>
      </c>
      <c r="BF98" s="18">
        <f t="shared" si="124"/>
        <v>20</v>
      </c>
      <c r="BG98" s="16">
        <f t="shared" si="125"/>
        <v>70</v>
      </c>
      <c r="BH98" s="19">
        <v>0</v>
      </c>
      <c r="BI98" s="19">
        <v>0</v>
      </c>
      <c r="BJ98" s="16">
        <f t="shared" si="126"/>
        <v>0</v>
      </c>
      <c r="BK98" s="16">
        <f t="shared" si="127"/>
        <v>0</v>
      </c>
      <c r="BL98" s="18">
        <f t="shared" si="128"/>
        <v>20</v>
      </c>
      <c r="BM98" s="16">
        <f t="shared" si="129"/>
        <v>70</v>
      </c>
      <c r="BN98" s="19">
        <v>0</v>
      </c>
      <c r="BO98" s="19">
        <v>0</v>
      </c>
      <c r="BP98" s="16">
        <f t="shared" si="130"/>
        <v>0</v>
      </c>
      <c r="BQ98" s="16">
        <f t="shared" si="131"/>
        <v>0</v>
      </c>
      <c r="BR98" s="18">
        <f t="shared" si="132"/>
        <v>20</v>
      </c>
      <c r="BS98" s="16">
        <f t="shared" si="133"/>
        <v>70</v>
      </c>
      <c r="BT98" s="19">
        <v>0</v>
      </c>
      <c r="BU98" s="19">
        <v>0</v>
      </c>
      <c r="BV98" s="16">
        <f t="shared" si="134"/>
        <v>0</v>
      </c>
      <c r="BW98" s="16">
        <f t="shared" si="135"/>
        <v>0</v>
      </c>
      <c r="BX98" s="18">
        <f t="shared" si="136"/>
        <v>20</v>
      </c>
      <c r="BY98" s="16">
        <f t="shared" si="137"/>
        <v>70</v>
      </c>
      <c r="BZ98" s="19">
        <v>0</v>
      </c>
      <c r="CA98" s="19">
        <v>0</v>
      </c>
      <c r="CB98" s="16">
        <f t="shared" si="138"/>
        <v>0</v>
      </c>
      <c r="CC98" s="16">
        <f t="shared" si="139"/>
        <v>0</v>
      </c>
      <c r="CD98" s="20">
        <f t="shared" si="140"/>
        <v>20</v>
      </c>
      <c r="CE98" s="21">
        <f t="shared" si="105"/>
        <v>70</v>
      </c>
    </row>
    <row r="99" spans="1:83" x14ac:dyDescent="0.25">
      <c r="A99" s="23"/>
      <c r="B99" s="70">
        <v>85</v>
      </c>
      <c r="C99" s="86" t="s">
        <v>153</v>
      </c>
      <c r="D99" s="13" t="s">
        <v>155</v>
      </c>
      <c r="E99" s="22"/>
      <c r="F99" s="22"/>
      <c r="G99" s="22"/>
      <c r="H99" s="17">
        <v>8</v>
      </c>
      <c r="I99" s="30">
        <v>56.25</v>
      </c>
      <c r="J99" s="17">
        <v>8</v>
      </c>
      <c r="K99" s="16">
        <f t="shared" si="104"/>
        <v>450</v>
      </c>
      <c r="L99" s="19">
        <v>2</v>
      </c>
      <c r="M99" s="19">
        <v>0</v>
      </c>
      <c r="N99" s="16">
        <f t="shared" si="106"/>
        <v>0</v>
      </c>
      <c r="O99" s="16">
        <f t="shared" si="107"/>
        <v>112.5</v>
      </c>
      <c r="P99" s="18">
        <f t="shared" si="108"/>
        <v>6</v>
      </c>
      <c r="Q99" s="16">
        <f t="shared" si="109"/>
        <v>337.5</v>
      </c>
      <c r="R99" s="19">
        <v>0</v>
      </c>
      <c r="S99" s="18">
        <v>0</v>
      </c>
      <c r="T99" s="16">
        <f t="shared" si="110"/>
        <v>0</v>
      </c>
      <c r="U99" s="16">
        <f t="shared" si="111"/>
        <v>0</v>
      </c>
      <c r="V99" s="18">
        <f t="shared" si="112"/>
        <v>6</v>
      </c>
      <c r="W99" s="16">
        <f t="shared" si="113"/>
        <v>337.5</v>
      </c>
      <c r="X99" s="19">
        <v>0</v>
      </c>
      <c r="Y99" s="19">
        <v>0</v>
      </c>
      <c r="Z99" s="16">
        <f t="shared" si="114"/>
        <v>0</v>
      </c>
      <c r="AA99" s="16">
        <f t="shared" si="115"/>
        <v>0</v>
      </c>
      <c r="AB99" s="18">
        <f t="shared" si="116"/>
        <v>6</v>
      </c>
      <c r="AC99" s="16">
        <f t="shared" si="117"/>
        <v>337.5</v>
      </c>
      <c r="AD99" s="19">
        <v>1</v>
      </c>
      <c r="AE99" s="19">
        <v>0</v>
      </c>
      <c r="AF99" s="16">
        <f t="shared" si="118"/>
        <v>0</v>
      </c>
      <c r="AG99" s="16">
        <f t="shared" si="119"/>
        <v>56.25</v>
      </c>
      <c r="AH99" s="18">
        <f t="shared" si="92"/>
        <v>5</v>
      </c>
      <c r="AI99" s="16">
        <f t="shared" si="93"/>
        <v>281.25</v>
      </c>
      <c r="AJ99" s="19">
        <v>0</v>
      </c>
      <c r="AK99" s="19">
        <v>0</v>
      </c>
      <c r="AL99" s="16">
        <f t="shared" si="94"/>
        <v>0</v>
      </c>
      <c r="AM99" s="16">
        <f t="shared" si="95"/>
        <v>0</v>
      </c>
      <c r="AN99" s="18">
        <f t="shared" si="96"/>
        <v>5</v>
      </c>
      <c r="AO99" s="16">
        <f t="shared" si="97"/>
        <v>281.25</v>
      </c>
      <c r="AP99" s="19">
        <v>1</v>
      </c>
      <c r="AQ99" s="19">
        <v>0</v>
      </c>
      <c r="AR99" s="16">
        <f t="shared" si="98"/>
        <v>0</v>
      </c>
      <c r="AS99" s="16">
        <f t="shared" si="99"/>
        <v>56.25</v>
      </c>
      <c r="AT99" s="18">
        <f t="shared" si="100"/>
        <v>4</v>
      </c>
      <c r="AU99" s="16">
        <f t="shared" si="101"/>
        <v>225</v>
      </c>
      <c r="AV99" s="19">
        <v>0</v>
      </c>
      <c r="AW99" s="19">
        <v>0</v>
      </c>
      <c r="AX99" s="16">
        <f t="shared" si="102"/>
        <v>0</v>
      </c>
      <c r="AY99" s="16">
        <f t="shared" si="103"/>
        <v>0</v>
      </c>
      <c r="AZ99" s="18">
        <f t="shared" si="120"/>
        <v>4</v>
      </c>
      <c r="BA99" s="16">
        <f t="shared" si="121"/>
        <v>225</v>
      </c>
      <c r="BB99" s="19">
        <v>1</v>
      </c>
      <c r="BC99" s="19">
        <v>0</v>
      </c>
      <c r="BD99" s="16">
        <f t="shared" si="122"/>
        <v>0</v>
      </c>
      <c r="BE99" s="16">
        <f t="shared" si="123"/>
        <v>56.25</v>
      </c>
      <c r="BF99" s="18">
        <f t="shared" si="124"/>
        <v>3</v>
      </c>
      <c r="BG99" s="16">
        <f t="shared" si="125"/>
        <v>168.75</v>
      </c>
      <c r="BH99" s="19">
        <v>0</v>
      </c>
      <c r="BI99" s="19">
        <v>0</v>
      </c>
      <c r="BJ99" s="16">
        <f t="shared" si="126"/>
        <v>0</v>
      </c>
      <c r="BK99" s="16">
        <f t="shared" si="127"/>
        <v>0</v>
      </c>
      <c r="BL99" s="18">
        <f t="shared" si="128"/>
        <v>3</v>
      </c>
      <c r="BM99" s="16">
        <f t="shared" si="129"/>
        <v>168.75</v>
      </c>
      <c r="BN99" s="19">
        <v>0</v>
      </c>
      <c r="BO99" s="19">
        <v>0</v>
      </c>
      <c r="BP99" s="16">
        <f t="shared" si="130"/>
        <v>0</v>
      </c>
      <c r="BQ99" s="16">
        <f t="shared" si="131"/>
        <v>0</v>
      </c>
      <c r="BR99" s="18">
        <f t="shared" si="132"/>
        <v>3</v>
      </c>
      <c r="BS99" s="16">
        <f t="shared" si="133"/>
        <v>168.75</v>
      </c>
      <c r="BT99" s="19">
        <v>0</v>
      </c>
      <c r="BU99" s="19">
        <v>0</v>
      </c>
      <c r="BV99" s="16">
        <f t="shared" si="134"/>
        <v>0</v>
      </c>
      <c r="BW99" s="16">
        <f t="shared" si="135"/>
        <v>0</v>
      </c>
      <c r="BX99" s="18">
        <f t="shared" si="136"/>
        <v>3</v>
      </c>
      <c r="BY99" s="16">
        <f t="shared" si="137"/>
        <v>168.75</v>
      </c>
      <c r="BZ99" s="19">
        <v>0</v>
      </c>
      <c r="CA99" s="19">
        <v>0</v>
      </c>
      <c r="CB99" s="16">
        <f t="shared" si="138"/>
        <v>0</v>
      </c>
      <c r="CC99" s="16">
        <f t="shared" si="139"/>
        <v>0</v>
      </c>
      <c r="CD99" s="20">
        <f t="shared" si="140"/>
        <v>3</v>
      </c>
      <c r="CE99" s="21">
        <f t="shared" si="105"/>
        <v>168.75</v>
      </c>
    </row>
    <row r="100" spans="1:83" x14ac:dyDescent="0.25">
      <c r="A100" s="23">
        <v>61</v>
      </c>
      <c r="B100" s="70">
        <v>86</v>
      </c>
      <c r="C100" s="174" t="s">
        <v>156</v>
      </c>
      <c r="D100" s="13" t="s">
        <v>157</v>
      </c>
      <c r="E100" s="23">
        <v>1</v>
      </c>
      <c r="F100" s="23">
        <v>2</v>
      </c>
      <c r="G100" s="23">
        <v>3</v>
      </c>
      <c r="H100" s="17">
        <v>1</v>
      </c>
      <c r="I100" s="30">
        <v>168</v>
      </c>
      <c r="J100" s="17">
        <v>1</v>
      </c>
      <c r="K100" s="16">
        <f t="shared" si="104"/>
        <v>168</v>
      </c>
      <c r="L100" s="19">
        <v>0</v>
      </c>
      <c r="M100" s="19">
        <v>0</v>
      </c>
      <c r="N100" s="16">
        <f t="shared" si="106"/>
        <v>0</v>
      </c>
      <c r="O100" s="16">
        <f t="shared" si="107"/>
        <v>0</v>
      </c>
      <c r="P100" s="18">
        <f t="shared" si="108"/>
        <v>1</v>
      </c>
      <c r="Q100" s="16">
        <f t="shared" si="109"/>
        <v>168</v>
      </c>
      <c r="R100" s="19">
        <v>0</v>
      </c>
      <c r="S100" s="18">
        <v>0</v>
      </c>
      <c r="T100" s="16">
        <f t="shared" si="110"/>
        <v>0</v>
      </c>
      <c r="U100" s="16">
        <f t="shared" si="111"/>
        <v>0</v>
      </c>
      <c r="V100" s="18">
        <f t="shared" si="112"/>
        <v>1</v>
      </c>
      <c r="W100" s="16">
        <f t="shared" si="113"/>
        <v>168</v>
      </c>
      <c r="X100" s="19">
        <v>0</v>
      </c>
      <c r="Y100" s="19">
        <v>0</v>
      </c>
      <c r="Z100" s="16">
        <f t="shared" si="114"/>
        <v>0</v>
      </c>
      <c r="AA100" s="16">
        <f t="shared" si="115"/>
        <v>0</v>
      </c>
      <c r="AB100" s="18">
        <f t="shared" si="116"/>
        <v>1</v>
      </c>
      <c r="AC100" s="16">
        <f t="shared" si="117"/>
        <v>168</v>
      </c>
      <c r="AD100" s="19">
        <v>0</v>
      </c>
      <c r="AE100" s="19">
        <v>0</v>
      </c>
      <c r="AF100" s="16">
        <f t="shared" si="118"/>
        <v>0</v>
      </c>
      <c r="AG100" s="16">
        <f t="shared" si="119"/>
        <v>0</v>
      </c>
      <c r="AH100" s="18">
        <f t="shared" si="92"/>
        <v>1</v>
      </c>
      <c r="AI100" s="16">
        <f t="shared" si="93"/>
        <v>168</v>
      </c>
      <c r="AJ100" s="19">
        <v>0</v>
      </c>
      <c r="AK100" s="19">
        <v>0</v>
      </c>
      <c r="AL100" s="16">
        <f t="shared" si="94"/>
        <v>0</v>
      </c>
      <c r="AM100" s="16">
        <f t="shared" si="95"/>
        <v>0</v>
      </c>
      <c r="AN100" s="18">
        <f t="shared" si="96"/>
        <v>1</v>
      </c>
      <c r="AO100" s="16">
        <f t="shared" si="97"/>
        <v>168</v>
      </c>
      <c r="AP100" s="19">
        <v>0</v>
      </c>
      <c r="AQ100" s="19">
        <v>0</v>
      </c>
      <c r="AR100" s="16">
        <f t="shared" si="98"/>
        <v>0</v>
      </c>
      <c r="AS100" s="16">
        <f t="shared" si="99"/>
        <v>0</v>
      </c>
      <c r="AT100" s="18">
        <f t="shared" si="100"/>
        <v>1</v>
      </c>
      <c r="AU100" s="16">
        <f t="shared" si="101"/>
        <v>168</v>
      </c>
      <c r="AV100" s="19">
        <v>0</v>
      </c>
      <c r="AW100" s="19">
        <v>0</v>
      </c>
      <c r="AX100" s="16">
        <f t="shared" si="102"/>
        <v>0</v>
      </c>
      <c r="AY100" s="16">
        <f t="shared" si="103"/>
        <v>0</v>
      </c>
      <c r="AZ100" s="18">
        <f t="shared" si="120"/>
        <v>1</v>
      </c>
      <c r="BA100" s="16">
        <f t="shared" si="121"/>
        <v>168</v>
      </c>
      <c r="BB100" s="19">
        <v>0</v>
      </c>
      <c r="BC100" s="19">
        <v>0</v>
      </c>
      <c r="BD100" s="16">
        <f t="shared" si="122"/>
        <v>0</v>
      </c>
      <c r="BE100" s="16">
        <f t="shared" si="123"/>
        <v>0</v>
      </c>
      <c r="BF100" s="18">
        <f t="shared" si="124"/>
        <v>1</v>
      </c>
      <c r="BG100" s="16">
        <f t="shared" si="125"/>
        <v>168</v>
      </c>
      <c r="BH100" s="19">
        <v>0</v>
      </c>
      <c r="BI100" s="19">
        <v>0</v>
      </c>
      <c r="BJ100" s="16">
        <f t="shared" si="126"/>
        <v>0</v>
      </c>
      <c r="BK100" s="16">
        <f t="shared" si="127"/>
        <v>0</v>
      </c>
      <c r="BL100" s="18">
        <f t="shared" si="128"/>
        <v>1</v>
      </c>
      <c r="BM100" s="16">
        <f t="shared" si="129"/>
        <v>168</v>
      </c>
      <c r="BN100" s="19">
        <v>0</v>
      </c>
      <c r="BO100" s="19">
        <v>0</v>
      </c>
      <c r="BP100" s="16">
        <f t="shared" si="130"/>
        <v>0</v>
      </c>
      <c r="BQ100" s="16">
        <f t="shared" si="131"/>
        <v>0</v>
      </c>
      <c r="BR100" s="18">
        <f t="shared" si="132"/>
        <v>1</v>
      </c>
      <c r="BS100" s="16">
        <f t="shared" si="133"/>
        <v>168</v>
      </c>
      <c r="BT100" s="19">
        <v>0</v>
      </c>
      <c r="BU100" s="19">
        <v>0</v>
      </c>
      <c r="BV100" s="16">
        <f t="shared" si="134"/>
        <v>0</v>
      </c>
      <c r="BW100" s="16">
        <f t="shared" si="135"/>
        <v>0</v>
      </c>
      <c r="BX100" s="18">
        <f t="shared" si="136"/>
        <v>1</v>
      </c>
      <c r="BY100" s="16">
        <f t="shared" si="137"/>
        <v>168</v>
      </c>
      <c r="BZ100" s="19">
        <v>0</v>
      </c>
      <c r="CA100" s="19">
        <v>0</v>
      </c>
      <c r="CB100" s="16">
        <f t="shared" si="138"/>
        <v>0</v>
      </c>
      <c r="CC100" s="16">
        <f t="shared" si="139"/>
        <v>0</v>
      </c>
      <c r="CD100" s="20">
        <f t="shared" si="140"/>
        <v>1</v>
      </c>
      <c r="CE100" s="21">
        <f t="shared" si="105"/>
        <v>168</v>
      </c>
    </row>
    <row r="101" spans="1:83" x14ac:dyDescent="0.25">
      <c r="A101" s="23"/>
      <c r="B101" s="70">
        <v>87</v>
      </c>
      <c r="C101" s="175"/>
      <c r="D101" s="13" t="s">
        <v>157</v>
      </c>
      <c r="E101" s="22"/>
      <c r="F101" s="22"/>
      <c r="G101" s="22"/>
      <c r="H101" s="17">
        <v>2</v>
      </c>
      <c r="I101" s="30">
        <v>220</v>
      </c>
      <c r="J101" s="17">
        <v>2</v>
      </c>
      <c r="K101" s="16">
        <f t="shared" si="104"/>
        <v>440</v>
      </c>
      <c r="L101" s="19">
        <v>0</v>
      </c>
      <c r="M101" s="19">
        <v>0</v>
      </c>
      <c r="N101" s="16">
        <f t="shared" si="106"/>
        <v>0</v>
      </c>
      <c r="O101" s="16">
        <f t="shared" si="107"/>
        <v>0</v>
      </c>
      <c r="P101" s="18">
        <f t="shared" si="108"/>
        <v>2</v>
      </c>
      <c r="Q101" s="16">
        <f t="shared" si="109"/>
        <v>440</v>
      </c>
      <c r="R101" s="19">
        <v>0</v>
      </c>
      <c r="S101" s="18">
        <v>0</v>
      </c>
      <c r="T101" s="16">
        <f t="shared" si="110"/>
        <v>0</v>
      </c>
      <c r="U101" s="16">
        <f t="shared" si="111"/>
        <v>0</v>
      </c>
      <c r="V101" s="18">
        <f t="shared" si="112"/>
        <v>2</v>
      </c>
      <c r="W101" s="16">
        <f t="shared" si="113"/>
        <v>440</v>
      </c>
      <c r="X101" s="19">
        <v>0</v>
      </c>
      <c r="Y101" s="19">
        <v>0</v>
      </c>
      <c r="Z101" s="16">
        <f t="shared" si="114"/>
        <v>0</v>
      </c>
      <c r="AA101" s="16">
        <f t="shared" si="115"/>
        <v>0</v>
      </c>
      <c r="AB101" s="18">
        <f t="shared" si="116"/>
        <v>2</v>
      </c>
      <c r="AC101" s="16">
        <f t="shared" si="117"/>
        <v>440</v>
      </c>
      <c r="AD101" s="19">
        <v>0</v>
      </c>
      <c r="AE101" s="19">
        <v>0</v>
      </c>
      <c r="AF101" s="16">
        <f t="shared" si="118"/>
        <v>0</v>
      </c>
      <c r="AG101" s="16">
        <f t="shared" si="119"/>
        <v>0</v>
      </c>
      <c r="AH101" s="18">
        <f t="shared" si="92"/>
        <v>2</v>
      </c>
      <c r="AI101" s="16">
        <f t="shared" si="93"/>
        <v>440</v>
      </c>
      <c r="AJ101" s="19">
        <v>0</v>
      </c>
      <c r="AK101" s="19">
        <v>0</v>
      </c>
      <c r="AL101" s="16">
        <f t="shared" si="94"/>
        <v>0</v>
      </c>
      <c r="AM101" s="16">
        <f t="shared" si="95"/>
        <v>0</v>
      </c>
      <c r="AN101" s="18">
        <f t="shared" si="96"/>
        <v>2</v>
      </c>
      <c r="AO101" s="16">
        <f t="shared" si="97"/>
        <v>440</v>
      </c>
      <c r="AP101" s="19">
        <v>0</v>
      </c>
      <c r="AQ101" s="19">
        <v>0</v>
      </c>
      <c r="AR101" s="16">
        <f t="shared" si="98"/>
        <v>0</v>
      </c>
      <c r="AS101" s="16">
        <f t="shared" si="99"/>
        <v>0</v>
      </c>
      <c r="AT101" s="18">
        <f t="shared" si="100"/>
        <v>2</v>
      </c>
      <c r="AU101" s="16">
        <f t="shared" si="101"/>
        <v>440</v>
      </c>
      <c r="AV101" s="19">
        <v>0</v>
      </c>
      <c r="AW101" s="19">
        <v>0</v>
      </c>
      <c r="AX101" s="16">
        <f t="shared" si="102"/>
        <v>0</v>
      </c>
      <c r="AY101" s="16">
        <f t="shared" si="103"/>
        <v>0</v>
      </c>
      <c r="AZ101" s="18">
        <f t="shared" si="120"/>
        <v>2</v>
      </c>
      <c r="BA101" s="16">
        <f t="shared" si="121"/>
        <v>440</v>
      </c>
      <c r="BB101" s="19">
        <v>0</v>
      </c>
      <c r="BC101" s="19">
        <v>0</v>
      </c>
      <c r="BD101" s="16">
        <f t="shared" si="122"/>
        <v>0</v>
      </c>
      <c r="BE101" s="16">
        <f t="shared" si="123"/>
        <v>0</v>
      </c>
      <c r="BF101" s="18">
        <f t="shared" si="124"/>
        <v>2</v>
      </c>
      <c r="BG101" s="16">
        <f t="shared" si="125"/>
        <v>440</v>
      </c>
      <c r="BH101" s="19">
        <v>0</v>
      </c>
      <c r="BI101" s="19">
        <v>0</v>
      </c>
      <c r="BJ101" s="16">
        <f t="shared" si="126"/>
        <v>0</v>
      </c>
      <c r="BK101" s="16">
        <f t="shared" si="127"/>
        <v>0</v>
      </c>
      <c r="BL101" s="18">
        <f t="shared" si="128"/>
        <v>2</v>
      </c>
      <c r="BM101" s="16">
        <f t="shared" si="129"/>
        <v>440</v>
      </c>
      <c r="BN101" s="19">
        <v>0</v>
      </c>
      <c r="BO101" s="19">
        <v>0</v>
      </c>
      <c r="BP101" s="16">
        <f t="shared" si="130"/>
        <v>0</v>
      </c>
      <c r="BQ101" s="16">
        <f t="shared" si="131"/>
        <v>0</v>
      </c>
      <c r="BR101" s="18">
        <f t="shared" si="132"/>
        <v>2</v>
      </c>
      <c r="BS101" s="16">
        <f t="shared" si="133"/>
        <v>440</v>
      </c>
      <c r="BT101" s="19">
        <v>0</v>
      </c>
      <c r="BU101" s="19">
        <v>0</v>
      </c>
      <c r="BV101" s="16">
        <f t="shared" si="134"/>
        <v>0</v>
      </c>
      <c r="BW101" s="16">
        <f t="shared" si="135"/>
        <v>0</v>
      </c>
      <c r="BX101" s="18">
        <f t="shared" si="136"/>
        <v>2</v>
      </c>
      <c r="BY101" s="16">
        <f t="shared" si="137"/>
        <v>440</v>
      </c>
      <c r="BZ101" s="19">
        <v>0</v>
      </c>
      <c r="CA101" s="19">
        <v>0</v>
      </c>
      <c r="CB101" s="16">
        <f t="shared" si="138"/>
        <v>0</v>
      </c>
      <c r="CC101" s="16">
        <f t="shared" si="139"/>
        <v>0</v>
      </c>
      <c r="CD101" s="20">
        <f t="shared" si="140"/>
        <v>2</v>
      </c>
      <c r="CE101" s="21">
        <f t="shared" si="105"/>
        <v>440</v>
      </c>
    </row>
    <row r="102" spans="1:83" ht="19.5" customHeight="1" x14ac:dyDescent="0.25">
      <c r="A102" s="23"/>
      <c r="B102" s="70">
        <v>88</v>
      </c>
      <c r="C102" s="170" t="s">
        <v>158</v>
      </c>
      <c r="D102" s="29" t="s">
        <v>159</v>
      </c>
      <c r="E102" s="80"/>
      <c r="F102" s="80"/>
      <c r="G102" s="80"/>
      <c r="H102" s="17">
        <v>25</v>
      </c>
      <c r="I102" s="30">
        <v>68.5</v>
      </c>
      <c r="J102" s="17">
        <v>25</v>
      </c>
      <c r="K102" s="16">
        <f t="shared" si="104"/>
        <v>1712.5</v>
      </c>
      <c r="L102" s="19">
        <v>10</v>
      </c>
      <c r="M102" s="19">
        <v>0</v>
      </c>
      <c r="N102" s="16">
        <f t="shared" si="106"/>
        <v>0</v>
      </c>
      <c r="O102" s="16">
        <f t="shared" si="107"/>
        <v>685</v>
      </c>
      <c r="P102" s="18">
        <f t="shared" si="108"/>
        <v>15</v>
      </c>
      <c r="Q102" s="16">
        <f t="shared" si="109"/>
        <v>1027.5</v>
      </c>
      <c r="R102" s="19">
        <v>8</v>
      </c>
      <c r="S102" s="18">
        <v>0</v>
      </c>
      <c r="T102" s="16">
        <f t="shared" si="110"/>
        <v>0</v>
      </c>
      <c r="U102" s="16">
        <f t="shared" si="111"/>
        <v>548</v>
      </c>
      <c r="V102" s="18">
        <f t="shared" si="112"/>
        <v>7</v>
      </c>
      <c r="W102" s="16">
        <f t="shared" si="113"/>
        <v>479.5</v>
      </c>
      <c r="X102" s="19">
        <v>7</v>
      </c>
      <c r="Y102" s="19">
        <v>0</v>
      </c>
      <c r="Z102" s="16">
        <f t="shared" si="114"/>
        <v>0</v>
      </c>
      <c r="AA102" s="16">
        <f t="shared" si="115"/>
        <v>479.5</v>
      </c>
      <c r="AB102" s="18">
        <f t="shared" si="116"/>
        <v>0</v>
      </c>
      <c r="AC102" s="16">
        <f t="shared" si="117"/>
        <v>0</v>
      </c>
      <c r="AD102" s="19">
        <v>0</v>
      </c>
      <c r="AE102" s="19">
        <v>0</v>
      </c>
      <c r="AF102" s="16">
        <f t="shared" si="118"/>
        <v>0</v>
      </c>
      <c r="AG102" s="16">
        <f t="shared" si="119"/>
        <v>0</v>
      </c>
      <c r="AH102" s="18">
        <f t="shared" si="92"/>
        <v>0</v>
      </c>
      <c r="AI102" s="16">
        <f t="shared" si="93"/>
        <v>0</v>
      </c>
      <c r="AJ102" s="19">
        <v>0</v>
      </c>
      <c r="AK102" s="19">
        <v>0</v>
      </c>
      <c r="AL102" s="16">
        <f t="shared" si="94"/>
        <v>0</v>
      </c>
      <c r="AM102" s="16">
        <f t="shared" si="95"/>
        <v>0</v>
      </c>
      <c r="AN102" s="18">
        <f t="shared" si="96"/>
        <v>0</v>
      </c>
      <c r="AO102" s="16">
        <f t="shared" si="97"/>
        <v>0</v>
      </c>
      <c r="AP102" s="19">
        <v>0</v>
      </c>
      <c r="AQ102" s="19">
        <v>0</v>
      </c>
      <c r="AR102" s="16">
        <f t="shared" si="98"/>
        <v>0</v>
      </c>
      <c r="AS102" s="16">
        <f t="shared" si="99"/>
        <v>0</v>
      </c>
      <c r="AT102" s="18">
        <f t="shared" si="100"/>
        <v>0</v>
      </c>
      <c r="AU102" s="16">
        <f t="shared" si="101"/>
        <v>0</v>
      </c>
      <c r="AV102" s="19">
        <v>0</v>
      </c>
      <c r="AW102" s="19">
        <v>0</v>
      </c>
      <c r="AX102" s="16">
        <f t="shared" si="102"/>
        <v>0</v>
      </c>
      <c r="AY102" s="16">
        <f t="shared" si="103"/>
        <v>0</v>
      </c>
      <c r="AZ102" s="18">
        <f t="shared" si="120"/>
        <v>0</v>
      </c>
      <c r="BA102" s="16">
        <f t="shared" si="121"/>
        <v>0</v>
      </c>
      <c r="BB102" s="19">
        <v>0</v>
      </c>
      <c r="BC102" s="19">
        <v>0</v>
      </c>
      <c r="BD102" s="16">
        <f t="shared" si="122"/>
        <v>0</v>
      </c>
      <c r="BE102" s="16">
        <f t="shared" si="123"/>
        <v>0</v>
      </c>
      <c r="BF102" s="18">
        <f t="shared" si="124"/>
        <v>0</v>
      </c>
      <c r="BG102" s="16">
        <f t="shared" si="125"/>
        <v>0</v>
      </c>
      <c r="BH102" s="19">
        <v>0</v>
      </c>
      <c r="BI102" s="19">
        <v>0</v>
      </c>
      <c r="BJ102" s="16">
        <f t="shared" si="126"/>
        <v>0</v>
      </c>
      <c r="BK102" s="16">
        <f t="shared" si="127"/>
        <v>0</v>
      </c>
      <c r="BL102" s="18">
        <f t="shared" si="128"/>
        <v>0</v>
      </c>
      <c r="BM102" s="16">
        <f t="shared" si="129"/>
        <v>0</v>
      </c>
      <c r="BN102" s="19">
        <v>0</v>
      </c>
      <c r="BO102" s="19">
        <v>0</v>
      </c>
      <c r="BP102" s="16">
        <f t="shared" si="130"/>
        <v>0</v>
      </c>
      <c r="BQ102" s="16">
        <f t="shared" si="131"/>
        <v>0</v>
      </c>
      <c r="BR102" s="18">
        <f t="shared" si="132"/>
        <v>0</v>
      </c>
      <c r="BS102" s="16">
        <f t="shared" si="133"/>
        <v>0</v>
      </c>
      <c r="BT102" s="19">
        <v>0</v>
      </c>
      <c r="BU102" s="19">
        <v>0</v>
      </c>
      <c r="BV102" s="16">
        <f t="shared" si="134"/>
        <v>0</v>
      </c>
      <c r="BW102" s="16">
        <f t="shared" si="135"/>
        <v>0</v>
      </c>
      <c r="BX102" s="18">
        <f t="shared" si="136"/>
        <v>0</v>
      </c>
      <c r="BY102" s="16">
        <f t="shared" si="137"/>
        <v>0</v>
      </c>
      <c r="BZ102" s="19">
        <v>0</v>
      </c>
      <c r="CA102" s="19">
        <v>0</v>
      </c>
      <c r="CB102" s="16">
        <f t="shared" si="138"/>
        <v>0</v>
      </c>
      <c r="CC102" s="16">
        <f t="shared" si="139"/>
        <v>0</v>
      </c>
      <c r="CD102" s="20">
        <f t="shared" si="140"/>
        <v>0</v>
      </c>
      <c r="CE102" s="21">
        <f t="shared" si="105"/>
        <v>0</v>
      </c>
    </row>
    <row r="103" spans="1:83" ht="19.5" customHeight="1" x14ac:dyDescent="0.25">
      <c r="A103" s="23"/>
      <c r="B103" s="70">
        <v>89</v>
      </c>
      <c r="C103" s="186"/>
      <c r="D103" s="29" t="s">
        <v>428</v>
      </c>
      <c r="E103" s="80"/>
      <c r="F103" s="80"/>
      <c r="G103" s="80"/>
      <c r="H103" s="17">
        <v>0</v>
      </c>
      <c r="I103" s="30">
        <v>69.5</v>
      </c>
      <c r="J103" s="17"/>
      <c r="K103" s="16">
        <f t="shared" si="104"/>
        <v>0</v>
      </c>
      <c r="L103" s="19">
        <v>0</v>
      </c>
      <c r="M103" s="19">
        <v>30</v>
      </c>
      <c r="N103" s="16">
        <f t="shared" si="106"/>
        <v>2085</v>
      </c>
      <c r="O103" s="16">
        <f t="shared" si="107"/>
        <v>0</v>
      </c>
      <c r="P103" s="18">
        <f t="shared" si="108"/>
        <v>30</v>
      </c>
      <c r="Q103" s="16">
        <f t="shared" si="109"/>
        <v>2085</v>
      </c>
      <c r="R103" s="19">
        <v>0</v>
      </c>
      <c r="S103" s="18">
        <v>0</v>
      </c>
      <c r="T103" s="16">
        <f t="shared" si="110"/>
        <v>0</v>
      </c>
      <c r="U103" s="16">
        <f t="shared" si="111"/>
        <v>0</v>
      </c>
      <c r="V103" s="18">
        <f t="shared" si="112"/>
        <v>30</v>
      </c>
      <c r="W103" s="16">
        <f t="shared" si="113"/>
        <v>2085</v>
      </c>
      <c r="X103" s="19">
        <v>2</v>
      </c>
      <c r="Y103" s="19">
        <v>0</v>
      </c>
      <c r="Z103" s="16">
        <f t="shared" si="114"/>
        <v>0</v>
      </c>
      <c r="AA103" s="16">
        <f t="shared" si="115"/>
        <v>139</v>
      </c>
      <c r="AB103" s="18">
        <f t="shared" si="116"/>
        <v>28</v>
      </c>
      <c r="AC103" s="16">
        <f t="shared" si="117"/>
        <v>1946</v>
      </c>
      <c r="AD103" s="19">
        <v>6</v>
      </c>
      <c r="AE103" s="19">
        <v>0</v>
      </c>
      <c r="AF103" s="16">
        <f t="shared" si="118"/>
        <v>0</v>
      </c>
      <c r="AG103" s="16">
        <f t="shared" si="119"/>
        <v>417</v>
      </c>
      <c r="AH103" s="18">
        <f t="shared" si="92"/>
        <v>22</v>
      </c>
      <c r="AI103" s="16">
        <f t="shared" si="93"/>
        <v>1529</v>
      </c>
      <c r="AJ103" s="19">
        <v>4</v>
      </c>
      <c r="AK103" s="19">
        <v>0</v>
      </c>
      <c r="AL103" s="16">
        <f t="shared" si="94"/>
        <v>0</v>
      </c>
      <c r="AM103" s="16">
        <f t="shared" si="95"/>
        <v>278</v>
      </c>
      <c r="AN103" s="18">
        <f t="shared" si="96"/>
        <v>18</v>
      </c>
      <c r="AO103" s="16">
        <f t="shared" si="97"/>
        <v>1251</v>
      </c>
      <c r="AP103" s="19">
        <v>6</v>
      </c>
      <c r="AQ103" s="19">
        <v>0</v>
      </c>
      <c r="AR103" s="16">
        <f t="shared" si="98"/>
        <v>0</v>
      </c>
      <c r="AS103" s="16">
        <f t="shared" si="99"/>
        <v>417</v>
      </c>
      <c r="AT103" s="18">
        <f t="shared" si="100"/>
        <v>12</v>
      </c>
      <c r="AU103" s="16">
        <f t="shared" si="101"/>
        <v>834</v>
      </c>
      <c r="AV103" s="19">
        <v>2</v>
      </c>
      <c r="AW103" s="19">
        <v>0</v>
      </c>
      <c r="AX103" s="16">
        <f t="shared" si="102"/>
        <v>0</v>
      </c>
      <c r="AY103" s="16">
        <f t="shared" si="103"/>
        <v>139</v>
      </c>
      <c r="AZ103" s="18">
        <f t="shared" si="120"/>
        <v>10</v>
      </c>
      <c r="BA103" s="16">
        <v>0</v>
      </c>
      <c r="BB103" s="19">
        <v>8</v>
      </c>
      <c r="BC103" s="19">
        <v>0</v>
      </c>
      <c r="BD103" s="16">
        <f t="shared" si="122"/>
        <v>0</v>
      </c>
      <c r="BE103" s="16">
        <f t="shared" si="123"/>
        <v>556</v>
      </c>
      <c r="BF103" s="18">
        <f t="shared" si="124"/>
        <v>2</v>
      </c>
      <c r="BG103" s="16">
        <f t="shared" si="125"/>
        <v>139</v>
      </c>
      <c r="BH103" s="19">
        <v>0</v>
      </c>
      <c r="BI103" s="19">
        <v>0</v>
      </c>
      <c r="BJ103" s="16"/>
      <c r="BK103" s="16"/>
      <c r="BL103" s="18"/>
      <c r="BM103" s="16"/>
      <c r="BN103" s="19"/>
      <c r="BO103" s="19"/>
      <c r="BP103" s="16"/>
      <c r="BQ103" s="16"/>
      <c r="BR103" s="18"/>
      <c r="BS103" s="16"/>
      <c r="BT103" s="19"/>
      <c r="BU103" s="19"/>
      <c r="BV103" s="16"/>
      <c r="BW103" s="16"/>
      <c r="BX103" s="18"/>
      <c r="BY103" s="16"/>
      <c r="BZ103" s="19"/>
      <c r="CA103" s="19"/>
      <c r="CB103" s="16"/>
      <c r="CC103" s="16"/>
      <c r="CD103" s="20"/>
      <c r="CE103" s="21"/>
    </row>
    <row r="104" spans="1:83" ht="19.5" customHeight="1" x14ac:dyDescent="0.25">
      <c r="A104" s="23"/>
      <c r="B104" s="70"/>
      <c r="C104" s="171"/>
      <c r="D104" s="29" t="s">
        <v>428</v>
      </c>
      <c r="E104" s="80"/>
      <c r="F104" s="80"/>
      <c r="G104" s="80"/>
      <c r="H104" s="17"/>
      <c r="I104" s="30">
        <v>68.5</v>
      </c>
      <c r="J104" s="17"/>
      <c r="K104" s="16">
        <f t="shared" si="104"/>
        <v>0</v>
      </c>
      <c r="L104" s="19"/>
      <c r="M104" s="19"/>
      <c r="N104" s="16"/>
      <c r="O104" s="16"/>
      <c r="P104" s="18"/>
      <c r="Q104" s="16"/>
      <c r="R104" s="19"/>
      <c r="S104" s="18"/>
      <c r="T104" s="16"/>
      <c r="U104" s="16"/>
      <c r="V104" s="18"/>
      <c r="W104" s="16"/>
      <c r="X104" s="19"/>
      <c r="Y104" s="19"/>
      <c r="Z104" s="16"/>
      <c r="AA104" s="16"/>
      <c r="AB104" s="18">
        <v>0</v>
      </c>
      <c r="AC104" s="16">
        <v>0</v>
      </c>
      <c r="AD104" s="19">
        <v>0</v>
      </c>
      <c r="AE104" s="19">
        <v>0</v>
      </c>
      <c r="AF104" s="16">
        <v>0</v>
      </c>
      <c r="AG104" s="16">
        <f t="shared" si="119"/>
        <v>0</v>
      </c>
      <c r="AH104" s="18">
        <f t="shared" si="92"/>
        <v>0</v>
      </c>
      <c r="AI104" s="16">
        <f t="shared" si="93"/>
        <v>0</v>
      </c>
      <c r="AJ104" s="19">
        <v>0</v>
      </c>
      <c r="AK104" s="19">
        <v>0</v>
      </c>
      <c r="AL104" s="16">
        <f t="shared" si="94"/>
        <v>0</v>
      </c>
      <c r="AM104" s="16">
        <f t="shared" si="95"/>
        <v>0</v>
      </c>
      <c r="AN104" s="18">
        <f t="shared" si="96"/>
        <v>0</v>
      </c>
      <c r="AO104" s="16">
        <f t="shared" si="97"/>
        <v>0</v>
      </c>
      <c r="AP104" s="19">
        <v>0</v>
      </c>
      <c r="AQ104" s="19">
        <v>28</v>
      </c>
      <c r="AR104" s="16">
        <f t="shared" si="98"/>
        <v>1918</v>
      </c>
      <c r="AS104" s="16">
        <f t="shared" si="99"/>
        <v>0</v>
      </c>
      <c r="AT104" s="18">
        <f t="shared" si="100"/>
        <v>28</v>
      </c>
      <c r="AU104" s="16">
        <f t="shared" si="101"/>
        <v>1918</v>
      </c>
      <c r="AV104" s="19">
        <v>0</v>
      </c>
      <c r="AW104" s="19">
        <v>0</v>
      </c>
      <c r="AX104" s="16">
        <f t="shared" si="102"/>
        <v>0</v>
      </c>
      <c r="AY104" s="16">
        <f t="shared" si="103"/>
        <v>0</v>
      </c>
      <c r="AZ104" s="18">
        <f t="shared" si="120"/>
        <v>28</v>
      </c>
      <c r="BA104" s="16">
        <v>0</v>
      </c>
      <c r="BB104" s="19">
        <v>0</v>
      </c>
      <c r="BC104" s="19">
        <v>0</v>
      </c>
      <c r="BD104" s="16">
        <f t="shared" si="122"/>
        <v>0</v>
      </c>
      <c r="BE104" s="16">
        <f t="shared" si="123"/>
        <v>0</v>
      </c>
      <c r="BF104" s="18">
        <f t="shared" si="124"/>
        <v>28</v>
      </c>
      <c r="BG104" s="16">
        <f t="shared" si="125"/>
        <v>1918</v>
      </c>
      <c r="BH104" s="19">
        <v>0</v>
      </c>
      <c r="BI104" s="19">
        <v>0</v>
      </c>
      <c r="BJ104" s="16"/>
      <c r="BK104" s="16"/>
      <c r="BL104" s="18"/>
      <c r="BM104" s="16"/>
      <c r="BN104" s="19"/>
      <c r="BO104" s="19"/>
      <c r="BP104" s="16"/>
      <c r="BQ104" s="16"/>
      <c r="BR104" s="18"/>
      <c r="BS104" s="16"/>
      <c r="BT104" s="19"/>
      <c r="BU104" s="19"/>
      <c r="BV104" s="16"/>
      <c r="BW104" s="16"/>
      <c r="BX104" s="18"/>
      <c r="BY104" s="16"/>
      <c r="BZ104" s="19"/>
      <c r="CA104" s="19"/>
      <c r="CB104" s="16"/>
      <c r="CC104" s="16"/>
      <c r="CD104" s="20"/>
      <c r="CE104" s="21"/>
    </row>
    <row r="105" spans="1:83" x14ac:dyDescent="0.25">
      <c r="A105" s="23"/>
      <c r="B105" s="70">
        <v>90</v>
      </c>
      <c r="C105" s="174" t="s">
        <v>160</v>
      </c>
      <c r="D105" s="13" t="s">
        <v>381</v>
      </c>
      <c r="E105" s="22"/>
      <c r="F105" s="22"/>
      <c r="G105" s="22"/>
      <c r="H105" s="17">
        <v>2</v>
      </c>
      <c r="I105" s="30">
        <v>27</v>
      </c>
      <c r="J105" s="17">
        <v>2</v>
      </c>
      <c r="K105" s="16">
        <f t="shared" si="104"/>
        <v>54</v>
      </c>
      <c r="L105" s="19">
        <v>2</v>
      </c>
      <c r="M105" s="19">
        <v>0</v>
      </c>
      <c r="N105" s="16">
        <f t="shared" si="106"/>
        <v>0</v>
      </c>
      <c r="O105" s="16">
        <f t="shared" si="107"/>
        <v>54</v>
      </c>
      <c r="P105" s="18">
        <f t="shared" si="108"/>
        <v>0</v>
      </c>
      <c r="Q105" s="16">
        <f t="shared" si="109"/>
        <v>0</v>
      </c>
      <c r="R105" s="19">
        <v>0</v>
      </c>
      <c r="S105" s="18">
        <v>0</v>
      </c>
      <c r="T105" s="16">
        <f t="shared" si="110"/>
        <v>0</v>
      </c>
      <c r="U105" s="16">
        <f t="shared" si="111"/>
        <v>0</v>
      </c>
      <c r="V105" s="18">
        <f t="shared" si="112"/>
        <v>0</v>
      </c>
      <c r="W105" s="16">
        <f t="shared" si="113"/>
        <v>0</v>
      </c>
      <c r="X105" s="19">
        <v>0</v>
      </c>
      <c r="Y105" s="19">
        <v>0</v>
      </c>
      <c r="Z105" s="16">
        <f t="shared" si="114"/>
        <v>0</v>
      </c>
      <c r="AA105" s="16">
        <f t="shared" si="115"/>
        <v>0</v>
      </c>
      <c r="AB105" s="18">
        <f t="shared" si="116"/>
        <v>0</v>
      </c>
      <c r="AC105" s="16">
        <f t="shared" si="117"/>
        <v>0</v>
      </c>
      <c r="AD105" s="19">
        <v>0</v>
      </c>
      <c r="AE105" s="19">
        <v>0</v>
      </c>
      <c r="AF105" s="16">
        <f t="shared" si="118"/>
        <v>0</v>
      </c>
      <c r="AG105" s="16">
        <f t="shared" si="119"/>
        <v>0</v>
      </c>
      <c r="AH105" s="18">
        <f t="shared" si="92"/>
        <v>0</v>
      </c>
      <c r="AI105" s="16">
        <f t="shared" si="93"/>
        <v>0</v>
      </c>
      <c r="AJ105" s="19">
        <v>0</v>
      </c>
      <c r="AK105" s="19">
        <v>0</v>
      </c>
      <c r="AL105" s="16">
        <f t="shared" si="94"/>
        <v>0</v>
      </c>
      <c r="AM105" s="16">
        <f t="shared" si="95"/>
        <v>0</v>
      </c>
      <c r="AN105" s="18">
        <f t="shared" si="96"/>
        <v>0</v>
      </c>
      <c r="AO105" s="16">
        <f t="shared" si="97"/>
        <v>0</v>
      </c>
      <c r="AP105" s="19">
        <v>0</v>
      </c>
      <c r="AQ105" s="19">
        <v>0</v>
      </c>
      <c r="AR105" s="16">
        <f t="shared" si="98"/>
        <v>0</v>
      </c>
      <c r="AS105" s="16">
        <f t="shared" si="99"/>
        <v>0</v>
      </c>
      <c r="AT105" s="18">
        <f t="shared" si="100"/>
        <v>0</v>
      </c>
      <c r="AU105" s="16">
        <f t="shared" si="101"/>
        <v>0</v>
      </c>
      <c r="AV105" s="19">
        <v>0</v>
      </c>
      <c r="AW105" s="19">
        <v>0</v>
      </c>
      <c r="AX105" s="16">
        <f t="shared" si="102"/>
        <v>0</v>
      </c>
      <c r="AY105" s="16">
        <f t="shared" si="103"/>
        <v>0</v>
      </c>
      <c r="AZ105" s="18">
        <f t="shared" si="120"/>
        <v>0</v>
      </c>
      <c r="BA105" s="16">
        <f t="shared" si="121"/>
        <v>0</v>
      </c>
      <c r="BB105" s="19">
        <v>0</v>
      </c>
      <c r="BC105" s="19">
        <v>0</v>
      </c>
      <c r="BD105" s="16">
        <f t="shared" si="122"/>
        <v>0</v>
      </c>
      <c r="BE105" s="16">
        <f t="shared" si="123"/>
        <v>0</v>
      </c>
      <c r="BF105" s="18">
        <f t="shared" si="124"/>
        <v>0</v>
      </c>
      <c r="BG105" s="16">
        <f t="shared" si="125"/>
        <v>0</v>
      </c>
      <c r="BH105" s="19">
        <v>0</v>
      </c>
      <c r="BI105" s="19">
        <v>0</v>
      </c>
      <c r="BJ105" s="16">
        <f t="shared" si="126"/>
        <v>0</v>
      </c>
      <c r="BK105" s="16">
        <f t="shared" si="127"/>
        <v>0</v>
      </c>
      <c r="BL105" s="18">
        <f t="shared" si="128"/>
        <v>0</v>
      </c>
      <c r="BM105" s="16">
        <f t="shared" si="129"/>
        <v>0</v>
      </c>
      <c r="BN105" s="19">
        <v>0</v>
      </c>
      <c r="BO105" s="19">
        <v>0</v>
      </c>
      <c r="BP105" s="16">
        <f t="shared" si="130"/>
        <v>0</v>
      </c>
      <c r="BQ105" s="16">
        <f t="shared" si="131"/>
        <v>0</v>
      </c>
      <c r="BR105" s="18">
        <f t="shared" si="132"/>
        <v>0</v>
      </c>
      <c r="BS105" s="16">
        <f t="shared" si="133"/>
        <v>0</v>
      </c>
      <c r="BT105" s="19">
        <v>0</v>
      </c>
      <c r="BU105" s="19">
        <v>0</v>
      </c>
      <c r="BV105" s="16">
        <f t="shared" si="134"/>
        <v>0</v>
      </c>
      <c r="BW105" s="16">
        <f t="shared" si="135"/>
        <v>0</v>
      </c>
      <c r="BX105" s="18">
        <f t="shared" si="136"/>
        <v>0</v>
      </c>
      <c r="BY105" s="16">
        <f t="shared" si="137"/>
        <v>0</v>
      </c>
      <c r="BZ105" s="19">
        <v>0</v>
      </c>
      <c r="CA105" s="19">
        <v>0</v>
      </c>
      <c r="CB105" s="16">
        <f t="shared" si="138"/>
        <v>0</v>
      </c>
      <c r="CC105" s="16">
        <f t="shared" si="139"/>
        <v>0</v>
      </c>
      <c r="CD105" s="20">
        <f t="shared" si="140"/>
        <v>0</v>
      </c>
      <c r="CE105" s="21">
        <f t="shared" si="105"/>
        <v>0</v>
      </c>
    </row>
    <row r="106" spans="1:83" x14ac:dyDescent="0.25">
      <c r="A106" s="23"/>
      <c r="B106" s="70">
        <v>91</v>
      </c>
      <c r="C106" s="181"/>
      <c r="D106" s="13" t="s">
        <v>161</v>
      </c>
      <c r="E106" s="22"/>
      <c r="F106" s="22"/>
      <c r="G106" s="22"/>
      <c r="H106" s="17">
        <v>10</v>
      </c>
      <c r="I106" s="30">
        <v>28.5</v>
      </c>
      <c r="J106" s="17">
        <v>10</v>
      </c>
      <c r="K106" s="16">
        <f t="shared" si="104"/>
        <v>285</v>
      </c>
      <c r="L106" s="19">
        <v>3</v>
      </c>
      <c r="M106" s="19">
        <v>0</v>
      </c>
      <c r="N106" s="16">
        <f t="shared" si="106"/>
        <v>0</v>
      </c>
      <c r="O106" s="16">
        <f t="shared" si="107"/>
        <v>85.5</v>
      </c>
      <c r="P106" s="18">
        <f t="shared" si="108"/>
        <v>7</v>
      </c>
      <c r="Q106" s="16">
        <f t="shared" si="109"/>
        <v>199.5</v>
      </c>
      <c r="R106" s="19">
        <v>0</v>
      </c>
      <c r="S106" s="18">
        <v>0</v>
      </c>
      <c r="T106" s="16">
        <f t="shared" si="110"/>
        <v>0</v>
      </c>
      <c r="U106" s="16">
        <f t="shared" si="111"/>
        <v>0</v>
      </c>
      <c r="V106" s="18">
        <f t="shared" si="112"/>
        <v>7</v>
      </c>
      <c r="W106" s="16">
        <f t="shared" si="113"/>
        <v>199.5</v>
      </c>
      <c r="X106" s="19">
        <v>0</v>
      </c>
      <c r="Y106" s="19">
        <v>0</v>
      </c>
      <c r="Z106" s="16">
        <f t="shared" si="114"/>
        <v>0</v>
      </c>
      <c r="AA106" s="16">
        <f t="shared" si="115"/>
        <v>0</v>
      </c>
      <c r="AB106" s="18">
        <f t="shared" si="116"/>
        <v>7</v>
      </c>
      <c r="AC106" s="16">
        <f t="shared" si="117"/>
        <v>199.5</v>
      </c>
      <c r="AD106" s="19">
        <v>1</v>
      </c>
      <c r="AE106" s="19">
        <v>0</v>
      </c>
      <c r="AF106" s="16">
        <f t="shared" si="118"/>
        <v>0</v>
      </c>
      <c r="AG106" s="16">
        <f t="shared" si="119"/>
        <v>28.5</v>
      </c>
      <c r="AH106" s="18">
        <f t="shared" si="92"/>
        <v>6</v>
      </c>
      <c r="AI106" s="16">
        <f t="shared" si="93"/>
        <v>171</v>
      </c>
      <c r="AJ106" s="19">
        <v>0</v>
      </c>
      <c r="AK106" s="19">
        <v>0</v>
      </c>
      <c r="AL106" s="16">
        <f t="shared" si="94"/>
        <v>0</v>
      </c>
      <c r="AM106" s="16">
        <f t="shared" si="95"/>
        <v>0</v>
      </c>
      <c r="AN106" s="18">
        <f t="shared" si="96"/>
        <v>6</v>
      </c>
      <c r="AO106" s="16">
        <f t="shared" si="97"/>
        <v>171</v>
      </c>
      <c r="AP106" s="19">
        <v>0</v>
      </c>
      <c r="AQ106" s="19">
        <v>0</v>
      </c>
      <c r="AR106" s="16">
        <f t="shared" si="98"/>
        <v>0</v>
      </c>
      <c r="AS106" s="16">
        <f t="shared" si="99"/>
        <v>0</v>
      </c>
      <c r="AT106" s="18">
        <f t="shared" si="100"/>
        <v>6</v>
      </c>
      <c r="AU106" s="16">
        <f t="shared" si="101"/>
        <v>171</v>
      </c>
      <c r="AV106" s="19">
        <v>1</v>
      </c>
      <c r="AW106" s="19">
        <v>0</v>
      </c>
      <c r="AX106" s="16">
        <f t="shared" si="102"/>
        <v>0</v>
      </c>
      <c r="AY106" s="16">
        <f t="shared" si="103"/>
        <v>28.5</v>
      </c>
      <c r="AZ106" s="18">
        <f t="shared" si="120"/>
        <v>5</v>
      </c>
      <c r="BA106" s="16">
        <f t="shared" si="121"/>
        <v>142.5</v>
      </c>
      <c r="BB106" s="19">
        <v>0</v>
      </c>
      <c r="BC106" s="19">
        <v>0</v>
      </c>
      <c r="BD106" s="16">
        <f t="shared" si="122"/>
        <v>0</v>
      </c>
      <c r="BE106" s="16">
        <f t="shared" si="123"/>
        <v>0</v>
      </c>
      <c r="BF106" s="18">
        <f t="shared" si="124"/>
        <v>5</v>
      </c>
      <c r="BG106" s="16">
        <f t="shared" si="125"/>
        <v>142.5</v>
      </c>
      <c r="BH106" s="19">
        <v>0</v>
      </c>
      <c r="BI106" s="19">
        <v>0</v>
      </c>
      <c r="BJ106" s="16">
        <f t="shared" si="126"/>
        <v>0</v>
      </c>
      <c r="BK106" s="16">
        <f t="shared" si="127"/>
        <v>0</v>
      </c>
      <c r="BL106" s="18">
        <f t="shared" si="128"/>
        <v>5</v>
      </c>
      <c r="BM106" s="16">
        <f t="shared" si="129"/>
        <v>142.5</v>
      </c>
      <c r="BN106" s="19">
        <v>0</v>
      </c>
      <c r="BO106" s="19">
        <v>0</v>
      </c>
      <c r="BP106" s="16">
        <f t="shared" si="130"/>
        <v>0</v>
      </c>
      <c r="BQ106" s="16">
        <f t="shared" si="131"/>
        <v>0</v>
      </c>
      <c r="BR106" s="18">
        <f t="shared" si="132"/>
        <v>5</v>
      </c>
      <c r="BS106" s="16">
        <f t="shared" si="133"/>
        <v>142.5</v>
      </c>
      <c r="BT106" s="19">
        <v>0</v>
      </c>
      <c r="BU106" s="19">
        <v>0</v>
      </c>
      <c r="BV106" s="16">
        <f t="shared" si="134"/>
        <v>0</v>
      </c>
      <c r="BW106" s="16">
        <f t="shared" si="135"/>
        <v>0</v>
      </c>
      <c r="BX106" s="18">
        <f t="shared" si="136"/>
        <v>5</v>
      </c>
      <c r="BY106" s="16">
        <f t="shared" si="137"/>
        <v>142.5</v>
      </c>
      <c r="BZ106" s="19">
        <v>0</v>
      </c>
      <c r="CA106" s="19">
        <v>0</v>
      </c>
      <c r="CB106" s="16">
        <f t="shared" si="138"/>
        <v>0</v>
      </c>
      <c r="CC106" s="16">
        <f t="shared" si="139"/>
        <v>0</v>
      </c>
      <c r="CD106" s="20">
        <f t="shared" si="140"/>
        <v>5</v>
      </c>
      <c r="CE106" s="21">
        <f t="shared" si="105"/>
        <v>142.5</v>
      </c>
    </row>
    <row r="107" spans="1:83" x14ac:dyDescent="0.25">
      <c r="A107" s="23"/>
      <c r="B107" s="70"/>
      <c r="C107" s="175"/>
      <c r="D107" s="13" t="s">
        <v>161</v>
      </c>
      <c r="E107" s="22"/>
      <c r="F107" s="22"/>
      <c r="G107" s="22"/>
      <c r="H107" s="17"/>
      <c r="I107" s="30">
        <v>30.5</v>
      </c>
      <c r="J107" s="17"/>
      <c r="K107" s="16"/>
      <c r="L107" s="19"/>
      <c r="M107" s="19"/>
      <c r="N107" s="16"/>
      <c r="O107" s="16"/>
      <c r="P107" s="18"/>
      <c r="Q107" s="16"/>
      <c r="R107" s="19"/>
      <c r="S107" s="18"/>
      <c r="T107" s="16"/>
      <c r="U107" s="16"/>
      <c r="V107" s="18"/>
      <c r="W107" s="16"/>
      <c r="X107" s="19"/>
      <c r="Y107" s="19"/>
      <c r="Z107" s="16"/>
      <c r="AA107" s="16"/>
      <c r="AB107" s="18"/>
      <c r="AC107" s="16"/>
      <c r="AD107" s="19"/>
      <c r="AE107" s="19"/>
      <c r="AF107" s="16"/>
      <c r="AG107" s="16"/>
      <c r="AH107" s="18"/>
      <c r="AI107" s="16"/>
      <c r="AJ107" s="19"/>
      <c r="AK107" s="19"/>
      <c r="AL107" s="16"/>
      <c r="AM107" s="16"/>
      <c r="AN107" s="18"/>
      <c r="AO107" s="16"/>
      <c r="AP107" s="19"/>
      <c r="AQ107" s="19"/>
      <c r="AR107" s="16"/>
      <c r="AS107" s="16"/>
      <c r="AT107" s="18"/>
      <c r="AU107" s="16"/>
      <c r="AV107" s="19">
        <v>0</v>
      </c>
      <c r="AW107" s="19"/>
      <c r="AX107" s="16"/>
      <c r="AY107" s="16"/>
      <c r="AZ107" s="18"/>
      <c r="BA107" s="16">
        <v>0</v>
      </c>
      <c r="BB107" s="19">
        <v>0</v>
      </c>
      <c r="BC107" s="19">
        <v>5</v>
      </c>
      <c r="BD107" s="16">
        <f t="shared" si="122"/>
        <v>152.5</v>
      </c>
      <c r="BE107" s="16">
        <f t="shared" si="123"/>
        <v>0</v>
      </c>
      <c r="BF107" s="18">
        <f t="shared" si="124"/>
        <v>5</v>
      </c>
      <c r="BG107" s="16">
        <f t="shared" si="125"/>
        <v>152.5</v>
      </c>
      <c r="BH107" s="19">
        <v>0</v>
      </c>
      <c r="BI107" s="19">
        <v>0</v>
      </c>
      <c r="BJ107" s="16"/>
      <c r="BK107" s="16"/>
      <c r="BL107" s="18"/>
      <c r="BM107" s="16"/>
      <c r="BN107" s="19"/>
      <c r="BO107" s="19"/>
      <c r="BP107" s="16"/>
      <c r="BQ107" s="16"/>
      <c r="BR107" s="18"/>
      <c r="BS107" s="16"/>
      <c r="BT107" s="19"/>
      <c r="BU107" s="19"/>
      <c r="BV107" s="16"/>
      <c r="BW107" s="16"/>
      <c r="BX107" s="18"/>
      <c r="BY107" s="16"/>
      <c r="BZ107" s="19"/>
      <c r="CA107" s="19"/>
      <c r="CB107" s="16"/>
      <c r="CC107" s="16"/>
      <c r="CD107" s="20"/>
      <c r="CE107" s="21"/>
    </row>
    <row r="108" spans="1:83" s="154" customFormat="1" x14ac:dyDescent="0.25">
      <c r="A108" s="145">
        <v>63</v>
      </c>
      <c r="B108" s="146">
        <v>92</v>
      </c>
      <c r="C108" s="103" t="s">
        <v>162</v>
      </c>
      <c r="D108" s="104" t="s">
        <v>163</v>
      </c>
      <c r="E108" s="145">
        <v>5</v>
      </c>
      <c r="F108" s="145">
        <v>10</v>
      </c>
      <c r="G108" s="145">
        <v>15</v>
      </c>
      <c r="H108" s="147">
        <v>17</v>
      </c>
      <c r="I108" s="148">
        <v>13.8</v>
      </c>
      <c r="J108" s="147">
        <v>17</v>
      </c>
      <c r="K108" s="149">
        <f t="shared" si="104"/>
        <v>234.60000000000002</v>
      </c>
      <c r="L108" s="150">
        <v>0</v>
      </c>
      <c r="M108" s="150">
        <v>0</v>
      </c>
      <c r="N108" s="149">
        <f t="shared" si="106"/>
        <v>0</v>
      </c>
      <c r="O108" s="149">
        <f t="shared" si="107"/>
        <v>0</v>
      </c>
      <c r="P108" s="151">
        <f t="shared" si="108"/>
        <v>17</v>
      </c>
      <c r="Q108" s="149">
        <f t="shared" si="109"/>
        <v>234.60000000000002</v>
      </c>
      <c r="R108" s="150">
        <v>0</v>
      </c>
      <c r="S108" s="151">
        <v>0</v>
      </c>
      <c r="T108" s="149">
        <f t="shared" si="110"/>
        <v>0</v>
      </c>
      <c r="U108" s="149">
        <f t="shared" si="111"/>
        <v>0</v>
      </c>
      <c r="V108" s="151">
        <f t="shared" si="112"/>
        <v>17</v>
      </c>
      <c r="W108" s="149">
        <f t="shared" si="113"/>
        <v>234.60000000000002</v>
      </c>
      <c r="X108" s="150">
        <v>0</v>
      </c>
      <c r="Y108" s="150">
        <v>0</v>
      </c>
      <c r="Z108" s="149">
        <f t="shared" si="114"/>
        <v>0</v>
      </c>
      <c r="AA108" s="149">
        <f t="shared" si="115"/>
        <v>0</v>
      </c>
      <c r="AB108" s="151">
        <f t="shared" si="116"/>
        <v>17</v>
      </c>
      <c r="AC108" s="149">
        <f t="shared" si="117"/>
        <v>234.60000000000002</v>
      </c>
      <c r="AD108" s="150">
        <v>0</v>
      </c>
      <c r="AE108" s="150">
        <v>0</v>
      </c>
      <c r="AF108" s="149">
        <f t="shared" si="118"/>
        <v>0</v>
      </c>
      <c r="AG108" s="149">
        <f t="shared" si="119"/>
        <v>0</v>
      </c>
      <c r="AH108" s="151">
        <f t="shared" si="92"/>
        <v>17</v>
      </c>
      <c r="AI108" s="149">
        <f t="shared" si="93"/>
        <v>234.60000000000002</v>
      </c>
      <c r="AJ108" s="150">
        <v>0</v>
      </c>
      <c r="AK108" s="150">
        <v>0</v>
      </c>
      <c r="AL108" s="149">
        <f t="shared" si="94"/>
        <v>0</v>
      </c>
      <c r="AM108" s="149">
        <f t="shared" si="95"/>
        <v>0</v>
      </c>
      <c r="AN108" s="151">
        <f t="shared" si="96"/>
        <v>17</v>
      </c>
      <c r="AO108" s="149">
        <f t="shared" si="97"/>
        <v>234.60000000000002</v>
      </c>
      <c r="AP108" s="150">
        <v>1</v>
      </c>
      <c r="AQ108" s="150">
        <v>0</v>
      </c>
      <c r="AR108" s="149">
        <f t="shared" si="98"/>
        <v>0</v>
      </c>
      <c r="AS108" s="149">
        <f t="shared" si="99"/>
        <v>13.8</v>
      </c>
      <c r="AT108" s="151">
        <f t="shared" si="100"/>
        <v>16</v>
      </c>
      <c r="AU108" s="149">
        <f t="shared" si="101"/>
        <v>220.8</v>
      </c>
      <c r="AV108" s="150">
        <v>2</v>
      </c>
      <c r="AW108" s="150">
        <v>0</v>
      </c>
      <c r="AX108" s="149">
        <f t="shared" si="102"/>
        <v>0</v>
      </c>
      <c r="AY108" s="149">
        <f t="shared" si="103"/>
        <v>27.6</v>
      </c>
      <c r="AZ108" s="151">
        <f t="shared" si="120"/>
        <v>14</v>
      </c>
      <c r="BA108" s="149">
        <f t="shared" si="121"/>
        <v>193.20000000000002</v>
      </c>
      <c r="BB108" s="19">
        <v>0</v>
      </c>
      <c r="BC108" s="150">
        <v>0</v>
      </c>
      <c r="BD108" s="149">
        <f t="shared" si="122"/>
        <v>0</v>
      </c>
      <c r="BE108" s="149">
        <f t="shared" si="123"/>
        <v>0</v>
      </c>
      <c r="BF108" s="151">
        <f t="shared" si="124"/>
        <v>14</v>
      </c>
      <c r="BG108" s="149">
        <f t="shared" si="125"/>
        <v>193.20000000000002</v>
      </c>
      <c r="BH108" s="19">
        <v>0</v>
      </c>
      <c r="BI108" s="19">
        <v>0</v>
      </c>
      <c r="BJ108" s="149">
        <f t="shared" si="126"/>
        <v>0</v>
      </c>
      <c r="BK108" s="149">
        <f t="shared" si="127"/>
        <v>0</v>
      </c>
      <c r="BL108" s="151">
        <f t="shared" si="128"/>
        <v>14</v>
      </c>
      <c r="BM108" s="149">
        <f t="shared" si="129"/>
        <v>193.20000000000002</v>
      </c>
      <c r="BN108" s="150">
        <v>0</v>
      </c>
      <c r="BO108" s="150">
        <v>0</v>
      </c>
      <c r="BP108" s="149">
        <f t="shared" si="130"/>
        <v>0</v>
      </c>
      <c r="BQ108" s="149">
        <f t="shared" si="131"/>
        <v>0</v>
      </c>
      <c r="BR108" s="151">
        <f t="shared" si="132"/>
        <v>14</v>
      </c>
      <c r="BS108" s="149">
        <f t="shared" si="133"/>
        <v>193.20000000000002</v>
      </c>
      <c r="BT108" s="150">
        <v>0</v>
      </c>
      <c r="BU108" s="150">
        <v>0</v>
      </c>
      <c r="BV108" s="149">
        <f t="shared" si="134"/>
        <v>0</v>
      </c>
      <c r="BW108" s="149">
        <f t="shared" si="135"/>
        <v>0</v>
      </c>
      <c r="BX108" s="151">
        <f t="shared" si="136"/>
        <v>14</v>
      </c>
      <c r="BY108" s="149">
        <f t="shared" si="137"/>
        <v>193.20000000000002</v>
      </c>
      <c r="BZ108" s="150">
        <v>0</v>
      </c>
      <c r="CA108" s="150">
        <v>0</v>
      </c>
      <c r="CB108" s="149">
        <f t="shared" si="138"/>
        <v>0</v>
      </c>
      <c r="CC108" s="149">
        <f t="shared" si="139"/>
        <v>0</v>
      </c>
      <c r="CD108" s="152">
        <f t="shared" si="140"/>
        <v>14</v>
      </c>
      <c r="CE108" s="153">
        <f t="shared" si="105"/>
        <v>193.20000000000002</v>
      </c>
    </row>
    <row r="109" spans="1:83" s="154" customFormat="1" x14ac:dyDescent="0.25">
      <c r="A109" s="145">
        <v>64</v>
      </c>
      <c r="B109" s="146">
        <v>93</v>
      </c>
      <c r="C109" s="103" t="s">
        <v>164</v>
      </c>
      <c r="D109" s="104" t="s">
        <v>165</v>
      </c>
      <c r="E109" s="104"/>
      <c r="F109" s="104"/>
      <c r="G109" s="104"/>
      <c r="H109" s="147">
        <v>4</v>
      </c>
      <c r="I109" s="148">
        <v>13.8</v>
      </c>
      <c r="J109" s="147">
        <v>4</v>
      </c>
      <c r="K109" s="149">
        <f t="shared" si="104"/>
        <v>55.2</v>
      </c>
      <c r="L109" s="150">
        <v>0</v>
      </c>
      <c r="M109" s="150">
        <v>0</v>
      </c>
      <c r="N109" s="149">
        <f t="shared" si="106"/>
        <v>0</v>
      </c>
      <c r="O109" s="149">
        <f t="shared" si="107"/>
        <v>0</v>
      </c>
      <c r="P109" s="151">
        <f t="shared" si="108"/>
        <v>4</v>
      </c>
      <c r="Q109" s="149">
        <f t="shared" si="109"/>
        <v>55.2</v>
      </c>
      <c r="R109" s="150">
        <v>0</v>
      </c>
      <c r="S109" s="151">
        <v>0</v>
      </c>
      <c r="T109" s="149">
        <f t="shared" si="110"/>
        <v>0</v>
      </c>
      <c r="U109" s="149">
        <f t="shared" si="111"/>
        <v>0</v>
      </c>
      <c r="V109" s="151">
        <f t="shared" si="112"/>
        <v>4</v>
      </c>
      <c r="W109" s="149">
        <f t="shared" si="113"/>
        <v>55.2</v>
      </c>
      <c r="X109" s="150">
        <v>0</v>
      </c>
      <c r="Y109" s="150">
        <v>0</v>
      </c>
      <c r="Z109" s="149">
        <f t="shared" si="114"/>
        <v>0</v>
      </c>
      <c r="AA109" s="149">
        <f t="shared" si="115"/>
        <v>0</v>
      </c>
      <c r="AB109" s="151">
        <f t="shared" si="116"/>
        <v>4</v>
      </c>
      <c r="AC109" s="149">
        <f t="shared" si="117"/>
        <v>55.2</v>
      </c>
      <c r="AD109" s="150">
        <v>0</v>
      </c>
      <c r="AE109" s="150">
        <v>0</v>
      </c>
      <c r="AF109" s="149">
        <f t="shared" si="118"/>
        <v>0</v>
      </c>
      <c r="AG109" s="149">
        <f t="shared" si="119"/>
        <v>0</v>
      </c>
      <c r="AH109" s="151">
        <f t="shared" si="92"/>
        <v>4</v>
      </c>
      <c r="AI109" s="149">
        <f t="shared" si="93"/>
        <v>55.2</v>
      </c>
      <c r="AJ109" s="150">
        <v>0</v>
      </c>
      <c r="AK109" s="150">
        <v>0</v>
      </c>
      <c r="AL109" s="149">
        <f t="shared" si="94"/>
        <v>0</v>
      </c>
      <c r="AM109" s="149">
        <f t="shared" si="95"/>
        <v>0</v>
      </c>
      <c r="AN109" s="151">
        <f t="shared" si="96"/>
        <v>4</v>
      </c>
      <c r="AO109" s="149">
        <f t="shared" si="97"/>
        <v>55.2</v>
      </c>
      <c r="AP109" s="150">
        <v>0</v>
      </c>
      <c r="AQ109" s="150">
        <v>0</v>
      </c>
      <c r="AR109" s="149">
        <f t="shared" si="98"/>
        <v>0</v>
      </c>
      <c r="AS109" s="149">
        <f t="shared" si="99"/>
        <v>0</v>
      </c>
      <c r="AT109" s="151">
        <f t="shared" si="100"/>
        <v>4</v>
      </c>
      <c r="AU109" s="149">
        <f t="shared" si="101"/>
        <v>55.2</v>
      </c>
      <c r="AV109" s="150">
        <v>0</v>
      </c>
      <c r="AW109" s="150">
        <v>0</v>
      </c>
      <c r="AX109" s="149">
        <f t="shared" si="102"/>
        <v>0</v>
      </c>
      <c r="AY109" s="149">
        <f t="shared" si="103"/>
        <v>0</v>
      </c>
      <c r="AZ109" s="151">
        <f t="shared" si="120"/>
        <v>4</v>
      </c>
      <c r="BA109" s="149">
        <f t="shared" si="121"/>
        <v>55.2</v>
      </c>
      <c r="BB109" s="19">
        <v>0</v>
      </c>
      <c r="BC109" s="150">
        <v>0</v>
      </c>
      <c r="BD109" s="149">
        <f t="shared" si="122"/>
        <v>0</v>
      </c>
      <c r="BE109" s="149">
        <f t="shared" si="123"/>
        <v>0</v>
      </c>
      <c r="BF109" s="151">
        <f t="shared" si="124"/>
        <v>4</v>
      </c>
      <c r="BG109" s="149">
        <f t="shared" si="125"/>
        <v>55.2</v>
      </c>
      <c r="BH109" s="19">
        <v>0</v>
      </c>
      <c r="BI109" s="19">
        <v>0</v>
      </c>
      <c r="BJ109" s="149">
        <f t="shared" si="126"/>
        <v>0</v>
      </c>
      <c r="BK109" s="149">
        <f t="shared" si="127"/>
        <v>0</v>
      </c>
      <c r="BL109" s="151">
        <f t="shared" si="128"/>
        <v>4</v>
      </c>
      <c r="BM109" s="149">
        <f t="shared" si="129"/>
        <v>55.2</v>
      </c>
      <c r="BN109" s="150">
        <v>0</v>
      </c>
      <c r="BO109" s="150">
        <v>0</v>
      </c>
      <c r="BP109" s="149">
        <f t="shared" si="130"/>
        <v>0</v>
      </c>
      <c r="BQ109" s="149">
        <f t="shared" si="131"/>
        <v>0</v>
      </c>
      <c r="BR109" s="151">
        <f t="shared" si="132"/>
        <v>4</v>
      </c>
      <c r="BS109" s="149">
        <f t="shared" si="133"/>
        <v>55.2</v>
      </c>
      <c r="BT109" s="150">
        <v>0</v>
      </c>
      <c r="BU109" s="150">
        <v>0</v>
      </c>
      <c r="BV109" s="149">
        <f t="shared" si="134"/>
        <v>0</v>
      </c>
      <c r="BW109" s="149">
        <f t="shared" si="135"/>
        <v>0</v>
      </c>
      <c r="BX109" s="151">
        <f t="shared" si="136"/>
        <v>4</v>
      </c>
      <c r="BY109" s="149">
        <f t="shared" si="137"/>
        <v>55.2</v>
      </c>
      <c r="BZ109" s="150">
        <v>0</v>
      </c>
      <c r="CA109" s="150">
        <v>0</v>
      </c>
      <c r="CB109" s="149">
        <f t="shared" si="138"/>
        <v>0</v>
      </c>
      <c r="CC109" s="149">
        <f t="shared" si="139"/>
        <v>0</v>
      </c>
      <c r="CD109" s="152">
        <f t="shared" si="140"/>
        <v>4</v>
      </c>
      <c r="CE109" s="153">
        <f t="shared" si="105"/>
        <v>55.2</v>
      </c>
    </row>
    <row r="110" spans="1:83" s="154" customFormat="1" x14ac:dyDescent="0.25">
      <c r="A110" s="145">
        <v>65</v>
      </c>
      <c r="B110" s="146">
        <v>94</v>
      </c>
      <c r="C110" s="103" t="s">
        <v>166</v>
      </c>
      <c r="D110" s="104" t="s">
        <v>167</v>
      </c>
      <c r="E110" s="104"/>
      <c r="F110" s="104"/>
      <c r="G110" s="104"/>
      <c r="H110" s="147">
        <v>10</v>
      </c>
      <c r="I110" s="148">
        <v>13.8</v>
      </c>
      <c r="J110" s="147">
        <v>10</v>
      </c>
      <c r="K110" s="149">
        <f t="shared" si="104"/>
        <v>138</v>
      </c>
      <c r="L110" s="150">
        <v>0</v>
      </c>
      <c r="M110" s="150">
        <v>0</v>
      </c>
      <c r="N110" s="149">
        <f t="shared" si="106"/>
        <v>0</v>
      </c>
      <c r="O110" s="149">
        <f t="shared" si="107"/>
        <v>0</v>
      </c>
      <c r="P110" s="151">
        <f t="shared" si="108"/>
        <v>10</v>
      </c>
      <c r="Q110" s="149">
        <f t="shared" si="109"/>
        <v>138</v>
      </c>
      <c r="R110" s="150">
        <v>0</v>
      </c>
      <c r="S110" s="151">
        <v>0</v>
      </c>
      <c r="T110" s="149">
        <f t="shared" si="110"/>
        <v>0</v>
      </c>
      <c r="U110" s="149">
        <f t="shared" si="111"/>
        <v>0</v>
      </c>
      <c r="V110" s="151">
        <f t="shared" si="112"/>
        <v>10</v>
      </c>
      <c r="W110" s="149">
        <f t="shared" si="113"/>
        <v>138</v>
      </c>
      <c r="X110" s="150">
        <v>0</v>
      </c>
      <c r="Y110" s="150">
        <v>0</v>
      </c>
      <c r="Z110" s="149">
        <f t="shared" si="114"/>
        <v>0</v>
      </c>
      <c r="AA110" s="149">
        <f t="shared" si="115"/>
        <v>0</v>
      </c>
      <c r="AB110" s="151">
        <f t="shared" si="116"/>
        <v>10</v>
      </c>
      <c r="AC110" s="149">
        <f t="shared" si="117"/>
        <v>138</v>
      </c>
      <c r="AD110" s="150">
        <v>1</v>
      </c>
      <c r="AE110" s="150">
        <v>0</v>
      </c>
      <c r="AF110" s="149">
        <f t="shared" si="118"/>
        <v>0</v>
      </c>
      <c r="AG110" s="149">
        <f t="shared" si="119"/>
        <v>13.8</v>
      </c>
      <c r="AH110" s="151">
        <f t="shared" si="92"/>
        <v>9</v>
      </c>
      <c r="AI110" s="149">
        <f t="shared" si="93"/>
        <v>124.2</v>
      </c>
      <c r="AJ110" s="150">
        <v>0</v>
      </c>
      <c r="AK110" s="150">
        <v>0</v>
      </c>
      <c r="AL110" s="149">
        <f t="shared" si="94"/>
        <v>0</v>
      </c>
      <c r="AM110" s="149">
        <f t="shared" si="95"/>
        <v>0</v>
      </c>
      <c r="AN110" s="151">
        <f t="shared" si="96"/>
        <v>9</v>
      </c>
      <c r="AO110" s="149">
        <f t="shared" si="97"/>
        <v>124.2</v>
      </c>
      <c r="AP110" s="150">
        <v>0</v>
      </c>
      <c r="AQ110" s="150">
        <v>0</v>
      </c>
      <c r="AR110" s="149">
        <f t="shared" si="98"/>
        <v>0</v>
      </c>
      <c r="AS110" s="149">
        <f t="shared" si="99"/>
        <v>0</v>
      </c>
      <c r="AT110" s="151">
        <f t="shared" si="100"/>
        <v>9</v>
      </c>
      <c r="AU110" s="149">
        <f t="shared" si="101"/>
        <v>124.2</v>
      </c>
      <c r="AV110" s="150">
        <v>0</v>
      </c>
      <c r="AW110" s="150">
        <v>0</v>
      </c>
      <c r="AX110" s="149">
        <f t="shared" si="102"/>
        <v>0</v>
      </c>
      <c r="AY110" s="149">
        <f t="shared" si="103"/>
        <v>0</v>
      </c>
      <c r="AZ110" s="151">
        <f t="shared" si="120"/>
        <v>9</v>
      </c>
      <c r="BA110" s="149">
        <f t="shared" si="121"/>
        <v>124.2</v>
      </c>
      <c r="BB110" s="19">
        <v>0</v>
      </c>
      <c r="BC110" s="150">
        <v>0</v>
      </c>
      <c r="BD110" s="149">
        <f t="shared" si="122"/>
        <v>0</v>
      </c>
      <c r="BE110" s="149">
        <f t="shared" si="123"/>
        <v>0</v>
      </c>
      <c r="BF110" s="151">
        <f t="shared" si="124"/>
        <v>9</v>
      </c>
      <c r="BG110" s="149">
        <f t="shared" si="125"/>
        <v>124.2</v>
      </c>
      <c r="BH110" s="19">
        <v>0</v>
      </c>
      <c r="BI110" s="19">
        <v>0</v>
      </c>
      <c r="BJ110" s="149">
        <f t="shared" si="126"/>
        <v>0</v>
      </c>
      <c r="BK110" s="149">
        <f t="shared" si="127"/>
        <v>0</v>
      </c>
      <c r="BL110" s="151">
        <f t="shared" si="128"/>
        <v>9</v>
      </c>
      <c r="BM110" s="149">
        <f t="shared" si="129"/>
        <v>124.2</v>
      </c>
      <c r="BN110" s="150">
        <v>0</v>
      </c>
      <c r="BO110" s="150">
        <v>0</v>
      </c>
      <c r="BP110" s="149">
        <f t="shared" si="130"/>
        <v>0</v>
      </c>
      <c r="BQ110" s="149">
        <f t="shared" si="131"/>
        <v>0</v>
      </c>
      <c r="BR110" s="151">
        <f t="shared" si="132"/>
        <v>9</v>
      </c>
      <c r="BS110" s="149">
        <f t="shared" si="133"/>
        <v>124.2</v>
      </c>
      <c r="BT110" s="150">
        <v>0</v>
      </c>
      <c r="BU110" s="150">
        <v>0</v>
      </c>
      <c r="BV110" s="149">
        <f t="shared" si="134"/>
        <v>0</v>
      </c>
      <c r="BW110" s="149">
        <f t="shared" si="135"/>
        <v>0</v>
      </c>
      <c r="BX110" s="151">
        <f t="shared" si="136"/>
        <v>9</v>
      </c>
      <c r="BY110" s="149">
        <f t="shared" si="137"/>
        <v>124.2</v>
      </c>
      <c r="BZ110" s="150">
        <v>0</v>
      </c>
      <c r="CA110" s="150">
        <v>0</v>
      </c>
      <c r="CB110" s="149">
        <f t="shared" si="138"/>
        <v>0</v>
      </c>
      <c r="CC110" s="149">
        <f t="shared" si="139"/>
        <v>0</v>
      </c>
      <c r="CD110" s="152">
        <f t="shared" si="140"/>
        <v>9</v>
      </c>
      <c r="CE110" s="153">
        <f t="shared" si="105"/>
        <v>124.2</v>
      </c>
    </row>
    <row r="111" spans="1:83" s="154" customFormat="1" x14ac:dyDescent="0.25">
      <c r="A111" s="145">
        <v>66</v>
      </c>
      <c r="B111" s="146">
        <v>95</v>
      </c>
      <c r="C111" s="103" t="s">
        <v>168</v>
      </c>
      <c r="D111" s="104" t="s">
        <v>169</v>
      </c>
      <c r="E111" s="145">
        <v>5</v>
      </c>
      <c r="F111" s="145">
        <v>10</v>
      </c>
      <c r="G111" s="145">
        <v>15</v>
      </c>
      <c r="H111" s="147">
        <v>6</v>
      </c>
      <c r="I111" s="148">
        <v>13.8</v>
      </c>
      <c r="J111" s="147">
        <v>6</v>
      </c>
      <c r="K111" s="149">
        <f t="shared" si="104"/>
        <v>82.800000000000011</v>
      </c>
      <c r="L111" s="150">
        <v>0</v>
      </c>
      <c r="M111" s="150">
        <v>0</v>
      </c>
      <c r="N111" s="149">
        <f t="shared" si="106"/>
        <v>0</v>
      </c>
      <c r="O111" s="149">
        <f t="shared" si="107"/>
        <v>0</v>
      </c>
      <c r="P111" s="151">
        <f t="shared" si="108"/>
        <v>6</v>
      </c>
      <c r="Q111" s="149">
        <f t="shared" si="109"/>
        <v>82.800000000000011</v>
      </c>
      <c r="R111" s="150">
        <v>0</v>
      </c>
      <c r="S111" s="151">
        <v>0</v>
      </c>
      <c r="T111" s="149">
        <f t="shared" si="110"/>
        <v>0</v>
      </c>
      <c r="U111" s="149">
        <f t="shared" si="111"/>
        <v>0</v>
      </c>
      <c r="V111" s="151">
        <f t="shared" si="112"/>
        <v>6</v>
      </c>
      <c r="W111" s="149">
        <f t="shared" si="113"/>
        <v>82.800000000000011</v>
      </c>
      <c r="X111" s="150">
        <v>0</v>
      </c>
      <c r="Y111" s="150">
        <v>0</v>
      </c>
      <c r="Z111" s="149">
        <f t="shared" si="114"/>
        <v>0</v>
      </c>
      <c r="AA111" s="149">
        <f t="shared" si="115"/>
        <v>0</v>
      </c>
      <c r="AB111" s="151">
        <f t="shared" si="116"/>
        <v>6</v>
      </c>
      <c r="AC111" s="149">
        <f t="shared" si="117"/>
        <v>82.800000000000011</v>
      </c>
      <c r="AD111" s="150">
        <v>0</v>
      </c>
      <c r="AE111" s="150">
        <v>0</v>
      </c>
      <c r="AF111" s="149">
        <f t="shared" si="118"/>
        <v>0</v>
      </c>
      <c r="AG111" s="149">
        <f t="shared" si="119"/>
        <v>0</v>
      </c>
      <c r="AH111" s="151">
        <f t="shared" si="92"/>
        <v>6</v>
      </c>
      <c r="AI111" s="149">
        <f t="shared" si="93"/>
        <v>82.800000000000011</v>
      </c>
      <c r="AJ111" s="150">
        <v>0</v>
      </c>
      <c r="AK111" s="150">
        <v>0</v>
      </c>
      <c r="AL111" s="149">
        <f t="shared" si="94"/>
        <v>0</v>
      </c>
      <c r="AM111" s="149">
        <f t="shared" si="95"/>
        <v>0</v>
      </c>
      <c r="AN111" s="151">
        <f t="shared" si="96"/>
        <v>6</v>
      </c>
      <c r="AO111" s="149">
        <f t="shared" si="97"/>
        <v>82.800000000000011</v>
      </c>
      <c r="AP111" s="150">
        <v>0</v>
      </c>
      <c r="AQ111" s="150">
        <v>0</v>
      </c>
      <c r="AR111" s="149">
        <f t="shared" si="98"/>
        <v>0</v>
      </c>
      <c r="AS111" s="149">
        <f t="shared" si="99"/>
        <v>0</v>
      </c>
      <c r="AT111" s="151">
        <f t="shared" si="100"/>
        <v>6</v>
      </c>
      <c r="AU111" s="149">
        <f t="shared" si="101"/>
        <v>82.800000000000011</v>
      </c>
      <c r="AV111" s="150">
        <v>0</v>
      </c>
      <c r="AW111" s="150">
        <v>0</v>
      </c>
      <c r="AX111" s="149">
        <f t="shared" si="102"/>
        <v>0</v>
      </c>
      <c r="AY111" s="149">
        <f t="shared" si="103"/>
        <v>0</v>
      </c>
      <c r="AZ111" s="151">
        <f t="shared" si="120"/>
        <v>6</v>
      </c>
      <c r="BA111" s="149">
        <f t="shared" si="121"/>
        <v>82.800000000000011</v>
      </c>
      <c r="BB111" s="19">
        <v>0</v>
      </c>
      <c r="BC111" s="150">
        <v>0</v>
      </c>
      <c r="BD111" s="149">
        <f t="shared" si="122"/>
        <v>0</v>
      </c>
      <c r="BE111" s="149">
        <f t="shared" si="123"/>
        <v>0</v>
      </c>
      <c r="BF111" s="151">
        <f t="shared" si="124"/>
        <v>6</v>
      </c>
      <c r="BG111" s="149">
        <f t="shared" si="125"/>
        <v>82.800000000000011</v>
      </c>
      <c r="BH111" s="19">
        <v>0</v>
      </c>
      <c r="BI111" s="19">
        <v>0</v>
      </c>
      <c r="BJ111" s="149">
        <f t="shared" si="126"/>
        <v>0</v>
      </c>
      <c r="BK111" s="149">
        <f t="shared" si="127"/>
        <v>0</v>
      </c>
      <c r="BL111" s="151">
        <f t="shared" si="128"/>
        <v>6</v>
      </c>
      <c r="BM111" s="149">
        <f t="shared" si="129"/>
        <v>82.800000000000011</v>
      </c>
      <c r="BN111" s="150">
        <v>0</v>
      </c>
      <c r="BO111" s="150">
        <v>0</v>
      </c>
      <c r="BP111" s="149">
        <f t="shared" si="130"/>
        <v>0</v>
      </c>
      <c r="BQ111" s="149">
        <f t="shared" si="131"/>
        <v>0</v>
      </c>
      <c r="BR111" s="151">
        <f t="shared" si="132"/>
        <v>6</v>
      </c>
      <c r="BS111" s="149">
        <f t="shared" si="133"/>
        <v>82.800000000000011</v>
      </c>
      <c r="BT111" s="150">
        <v>0</v>
      </c>
      <c r="BU111" s="150">
        <v>0</v>
      </c>
      <c r="BV111" s="149">
        <f t="shared" si="134"/>
        <v>0</v>
      </c>
      <c r="BW111" s="149">
        <f t="shared" si="135"/>
        <v>0</v>
      </c>
      <c r="BX111" s="151">
        <f t="shared" si="136"/>
        <v>6</v>
      </c>
      <c r="BY111" s="149">
        <f t="shared" si="137"/>
        <v>82.800000000000011</v>
      </c>
      <c r="BZ111" s="150">
        <v>0</v>
      </c>
      <c r="CA111" s="150">
        <v>0</v>
      </c>
      <c r="CB111" s="149">
        <f t="shared" si="138"/>
        <v>0</v>
      </c>
      <c r="CC111" s="149">
        <f t="shared" si="139"/>
        <v>0</v>
      </c>
      <c r="CD111" s="152">
        <f t="shared" si="140"/>
        <v>6</v>
      </c>
      <c r="CE111" s="153">
        <f t="shared" si="105"/>
        <v>82.800000000000011</v>
      </c>
    </row>
    <row r="112" spans="1:83" s="154" customFormat="1" ht="18" customHeight="1" x14ac:dyDescent="0.25">
      <c r="A112" s="145">
        <v>67</v>
      </c>
      <c r="B112" s="146">
        <v>96</v>
      </c>
      <c r="C112" s="103" t="s">
        <v>170</v>
      </c>
      <c r="D112" s="104" t="s">
        <v>171</v>
      </c>
      <c r="E112" s="145">
        <v>5</v>
      </c>
      <c r="F112" s="145">
        <v>10</v>
      </c>
      <c r="G112" s="145">
        <v>15</v>
      </c>
      <c r="H112" s="147">
        <v>14</v>
      </c>
      <c r="I112" s="148">
        <v>16.8</v>
      </c>
      <c r="J112" s="147">
        <v>14</v>
      </c>
      <c r="K112" s="149">
        <f t="shared" si="104"/>
        <v>235.20000000000002</v>
      </c>
      <c r="L112" s="150">
        <v>0</v>
      </c>
      <c r="M112" s="150">
        <v>0</v>
      </c>
      <c r="N112" s="149">
        <f t="shared" si="106"/>
        <v>0</v>
      </c>
      <c r="O112" s="149">
        <f t="shared" si="107"/>
        <v>0</v>
      </c>
      <c r="P112" s="151">
        <f t="shared" si="108"/>
        <v>14</v>
      </c>
      <c r="Q112" s="149">
        <f t="shared" si="109"/>
        <v>235.20000000000002</v>
      </c>
      <c r="R112" s="150">
        <v>0</v>
      </c>
      <c r="S112" s="151">
        <v>0</v>
      </c>
      <c r="T112" s="149">
        <f t="shared" si="110"/>
        <v>0</v>
      </c>
      <c r="U112" s="149">
        <f t="shared" si="111"/>
        <v>0</v>
      </c>
      <c r="V112" s="151">
        <f t="shared" si="112"/>
        <v>14</v>
      </c>
      <c r="W112" s="149">
        <f t="shared" si="113"/>
        <v>235.20000000000002</v>
      </c>
      <c r="X112" s="150">
        <v>0</v>
      </c>
      <c r="Y112" s="150">
        <v>0</v>
      </c>
      <c r="Z112" s="149">
        <f t="shared" si="114"/>
        <v>0</v>
      </c>
      <c r="AA112" s="149">
        <f t="shared" si="115"/>
        <v>0</v>
      </c>
      <c r="AB112" s="151">
        <f t="shared" si="116"/>
        <v>14</v>
      </c>
      <c r="AC112" s="149">
        <f t="shared" si="117"/>
        <v>235.20000000000002</v>
      </c>
      <c r="AD112" s="150">
        <v>0</v>
      </c>
      <c r="AE112" s="150">
        <v>0</v>
      </c>
      <c r="AF112" s="149">
        <f t="shared" si="118"/>
        <v>0</v>
      </c>
      <c r="AG112" s="149">
        <f t="shared" si="119"/>
        <v>0</v>
      </c>
      <c r="AH112" s="151">
        <f t="shared" si="92"/>
        <v>14</v>
      </c>
      <c r="AI112" s="149">
        <f t="shared" si="93"/>
        <v>235.20000000000002</v>
      </c>
      <c r="AJ112" s="150">
        <v>0</v>
      </c>
      <c r="AK112" s="150">
        <v>0</v>
      </c>
      <c r="AL112" s="149">
        <f t="shared" si="94"/>
        <v>0</v>
      </c>
      <c r="AM112" s="149">
        <f t="shared" si="95"/>
        <v>0</v>
      </c>
      <c r="AN112" s="151">
        <f t="shared" si="96"/>
        <v>14</v>
      </c>
      <c r="AO112" s="149">
        <f t="shared" si="97"/>
        <v>235.20000000000002</v>
      </c>
      <c r="AP112" s="150">
        <v>1</v>
      </c>
      <c r="AQ112" s="150">
        <v>0</v>
      </c>
      <c r="AR112" s="149">
        <f t="shared" si="98"/>
        <v>0</v>
      </c>
      <c r="AS112" s="149">
        <f t="shared" si="99"/>
        <v>16.8</v>
      </c>
      <c r="AT112" s="151">
        <f t="shared" si="100"/>
        <v>13</v>
      </c>
      <c r="AU112" s="149">
        <f t="shared" si="101"/>
        <v>218.4</v>
      </c>
      <c r="AV112" s="150">
        <v>0</v>
      </c>
      <c r="AW112" s="150">
        <v>0</v>
      </c>
      <c r="AX112" s="149">
        <f t="shared" si="102"/>
        <v>0</v>
      </c>
      <c r="AY112" s="149">
        <f t="shared" si="103"/>
        <v>0</v>
      </c>
      <c r="AZ112" s="151">
        <f t="shared" si="120"/>
        <v>13</v>
      </c>
      <c r="BA112" s="149">
        <f t="shared" si="121"/>
        <v>218.4</v>
      </c>
      <c r="BB112" s="19">
        <v>0</v>
      </c>
      <c r="BC112" s="150">
        <v>0</v>
      </c>
      <c r="BD112" s="149">
        <f t="shared" si="122"/>
        <v>0</v>
      </c>
      <c r="BE112" s="149">
        <f t="shared" si="123"/>
        <v>0</v>
      </c>
      <c r="BF112" s="151">
        <f t="shared" si="124"/>
        <v>13</v>
      </c>
      <c r="BG112" s="149">
        <f t="shared" si="125"/>
        <v>218.4</v>
      </c>
      <c r="BH112" s="19">
        <v>0</v>
      </c>
      <c r="BI112" s="19">
        <v>0</v>
      </c>
      <c r="BJ112" s="149">
        <f t="shared" si="126"/>
        <v>0</v>
      </c>
      <c r="BK112" s="149">
        <f t="shared" si="127"/>
        <v>0</v>
      </c>
      <c r="BL112" s="151">
        <f t="shared" si="128"/>
        <v>13</v>
      </c>
      <c r="BM112" s="149">
        <f t="shared" si="129"/>
        <v>218.4</v>
      </c>
      <c r="BN112" s="150">
        <v>0</v>
      </c>
      <c r="BO112" s="150">
        <v>0</v>
      </c>
      <c r="BP112" s="149">
        <f t="shared" si="130"/>
        <v>0</v>
      </c>
      <c r="BQ112" s="149">
        <f t="shared" si="131"/>
        <v>0</v>
      </c>
      <c r="BR112" s="151">
        <f t="shared" si="132"/>
        <v>13</v>
      </c>
      <c r="BS112" s="149">
        <f t="shared" si="133"/>
        <v>218.4</v>
      </c>
      <c r="BT112" s="150">
        <v>0</v>
      </c>
      <c r="BU112" s="150">
        <v>0</v>
      </c>
      <c r="BV112" s="149">
        <f t="shared" si="134"/>
        <v>0</v>
      </c>
      <c r="BW112" s="149">
        <f t="shared" si="135"/>
        <v>0</v>
      </c>
      <c r="BX112" s="151">
        <f t="shared" si="136"/>
        <v>13</v>
      </c>
      <c r="BY112" s="149">
        <f t="shared" si="137"/>
        <v>218.4</v>
      </c>
      <c r="BZ112" s="150">
        <v>0</v>
      </c>
      <c r="CA112" s="150">
        <v>0</v>
      </c>
      <c r="CB112" s="149">
        <f t="shared" si="138"/>
        <v>0</v>
      </c>
      <c r="CC112" s="149">
        <f t="shared" si="139"/>
        <v>0</v>
      </c>
      <c r="CD112" s="152">
        <f t="shared" si="140"/>
        <v>13</v>
      </c>
      <c r="CE112" s="153">
        <f t="shared" si="105"/>
        <v>218.4</v>
      </c>
    </row>
    <row r="113" spans="1:83" s="154" customFormat="1" x14ac:dyDescent="0.25">
      <c r="A113" s="145"/>
      <c r="B113" s="146">
        <v>97</v>
      </c>
      <c r="C113" s="172" t="s">
        <v>172</v>
      </c>
      <c r="D113" s="104" t="s">
        <v>173</v>
      </c>
      <c r="E113" s="155"/>
      <c r="F113" s="155"/>
      <c r="G113" s="155"/>
      <c r="H113" s="147">
        <v>4</v>
      </c>
      <c r="I113" s="148">
        <v>20.149999999999999</v>
      </c>
      <c r="J113" s="147">
        <v>4</v>
      </c>
      <c r="K113" s="149">
        <f t="shared" si="104"/>
        <v>80.599999999999994</v>
      </c>
      <c r="L113" s="150">
        <v>1</v>
      </c>
      <c r="M113" s="150">
        <v>0</v>
      </c>
      <c r="N113" s="149">
        <f t="shared" si="106"/>
        <v>0</v>
      </c>
      <c r="O113" s="149">
        <f t="shared" si="107"/>
        <v>20.149999999999999</v>
      </c>
      <c r="P113" s="151">
        <f t="shared" si="108"/>
        <v>3</v>
      </c>
      <c r="Q113" s="149">
        <f t="shared" si="109"/>
        <v>60.449999999999996</v>
      </c>
      <c r="R113" s="150">
        <v>0</v>
      </c>
      <c r="S113" s="151">
        <v>0</v>
      </c>
      <c r="T113" s="149">
        <f t="shared" si="110"/>
        <v>0</v>
      </c>
      <c r="U113" s="149">
        <f t="shared" si="111"/>
        <v>0</v>
      </c>
      <c r="V113" s="151">
        <f t="shared" si="112"/>
        <v>3</v>
      </c>
      <c r="W113" s="149">
        <f t="shared" si="113"/>
        <v>60.449999999999996</v>
      </c>
      <c r="X113" s="150">
        <v>0</v>
      </c>
      <c r="Y113" s="150">
        <v>0</v>
      </c>
      <c r="Z113" s="149">
        <f t="shared" si="114"/>
        <v>0</v>
      </c>
      <c r="AA113" s="149">
        <f t="shared" si="115"/>
        <v>0</v>
      </c>
      <c r="AB113" s="151">
        <f t="shared" si="116"/>
        <v>3</v>
      </c>
      <c r="AC113" s="149">
        <f t="shared" si="117"/>
        <v>60.449999999999996</v>
      </c>
      <c r="AD113" s="150">
        <v>0</v>
      </c>
      <c r="AE113" s="150">
        <v>0</v>
      </c>
      <c r="AF113" s="149">
        <f t="shared" si="118"/>
        <v>0</v>
      </c>
      <c r="AG113" s="149">
        <f t="shared" si="119"/>
        <v>0</v>
      </c>
      <c r="AH113" s="151">
        <f t="shared" si="92"/>
        <v>3</v>
      </c>
      <c r="AI113" s="149">
        <f t="shared" si="93"/>
        <v>60.449999999999996</v>
      </c>
      <c r="AJ113" s="150">
        <v>0</v>
      </c>
      <c r="AK113" s="150">
        <v>0</v>
      </c>
      <c r="AL113" s="149">
        <f t="shared" si="94"/>
        <v>0</v>
      </c>
      <c r="AM113" s="149">
        <f t="shared" si="95"/>
        <v>0</v>
      </c>
      <c r="AN113" s="151">
        <f t="shared" si="96"/>
        <v>3</v>
      </c>
      <c r="AO113" s="149">
        <f t="shared" si="97"/>
        <v>60.449999999999996</v>
      </c>
      <c r="AP113" s="150">
        <v>0</v>
      </c>
      <c r="AQ113" s="150">
        <v>0</v>
      </c>
      <c r="AR113" s="149">
        <f t="shared" si="98"/>
        <v>0</v>
      </c>
      <c r="AS113" s="149">
        <f t="shared" si="99"/>
        <v>0</v>
      </c>
      <c r="AT113" s="151">
        <f t="shared" si="100"/>
        <v>3</v>
      </c>
      <c r="AU113" s="149">
        <f t="shared" si="101"/>
        <v>60.449999999999996</v>
      </c>
      <c r="AV113" s="150">
        <v>1</v>
      </c>
      <c r="AW113" s="150">
        <v>0</v>
      </c>
      <c r="AX113" s="149">
        <f t="shared" si="102"/>
        <v>0</v>
      </c>
      <c r="AY113" s="149">
        <f t="shared" si="103"/>
        <v>20.149999999999999</v>
      </c>
      <c r="AZ113" s="151">
        <f t="shared" si="120"/>
        <v>2</v>
      </c>
      <c r="BA113" s="149">
        <f t="shared" si="121"/>
        <v>40.299999999999997</v>
      </c>
      <c r="BB113" s="19">
        <v>0</v>
      </c>
      <c r="BC113" s="150">
        <v>0</v>
      </c>
      <c r="BD113" s="149">
        <f t="shared" si="122"/>
        <v>0</v>
      </c>
      <c r="BE113" s="149">
        <f t="shared" si="123"/>
        <v>0</v>
      </c>
      <c r="BF113" s="151">
        <f t="shared" si="124"/>
        <v>2</v>
      </c>
      <c r="BG113" s="149">
        <f t="shared" si="125"/>
        <v>40.299999999999997</v>
      </c>
      <c r="BH113" s="19">
        <v>0</v>
      </c>
      <c r="BI113" s="19">
        <v>0</v>
      </c>
      <c r="BJ113" s="149">
        <f t="shared" si="126"/>
        <v>0</v>
      </c>
      <c r="BK113" s="149">
        <f t="shared" si="127"/>
        <v>0</v>
      </c>
      <c r="BL113" s="151">
        <f t="shared" si="128"/>
        <v>2</v>
      </c>
      <c r="BM113" s="149">
        <f t="shared" si="129"/>
        <v>40.299999999999997</v>
      </c>
      <c r="BN113" s="150">
        <v>0</v>
      </c>
      <c r="BO113" s="150">
        <v>0</v>
      </c>
      <c r="BP113" s="149">
        <f t="shared" si="130"/>
        <v>0</v>
      </c>
      <c r="BQ113" s="149">
        <f t="shared" si="131"/>
        <v>0</v>
      </c>
      <c r="BR113" s="151">
        <f t="shared" si="132"/>
        <v>2</v>
      </c>
      <c r="BS113" s="149">
        <f t="shared" si="133"/>
        <v>40.299999999999997</v>
      </c>
      <c r="BT113" s="150">
        <v>0</v>
      </c>
      <c r="BU113" s="150">
        <v>0</v>
      </c>
      <c r="BV113" s="149">
        <f t="shared" si="134"/>
        <v>0</v>
      </c>
      <c r="BW113" s="149">
        <f t="shared" si="135"/>
        <v>0</v>
      </c>
      <c r="BX113" s="151">
        <f t="shared" si="136"/>
        <v>2</v>
      </c>
      <c r="BY113" s="149">
        <f t="shared" si="137"/>
        <v>40.299999999999997</v>
      </c>
      <c r="BZ113" s="150">
        <v>0</v>
      </c>
      <c r="CA113" s="150">
        <v>0</v>
      </c>
      <c r="CB113" s="149">
        <f t="shared" si="138"/>
        <v>0</v>
      </c>
      <c r="CC113" s="149">
        <f t="shared" si="139"/>
        <v>0</v>
      </c>
      <c r="CD113" s="152">
        <f t="shared" si="140"/>
        <v>2</v>
      </c>
      <c r="CE113" s="153">
        <f t="shared" si="105"/>
        <v>40.299999999999997</v>
      </c>
    </row>
    <row r="114" spans="1:83" s="154" customFormat="1" x14ac:dyDescent="0.25">
      <c r="A114" s="145"/>
      <c r="B114" s="146"/>
      <c r="C114" s="173"/>
      <c r="D114" s="104" t="s">
        <v>407</v>
      </c>
      <c r="E114" s="155"/>
      <c r="F114" s="155"/>
      <c r="G114" s="155"/>
      <c r="H114" s="147"/>
      <c r="I114" s="148">
        <v>18</v>
      </c>
      <c r="J114" s="147"/>
      <c r="K114" s="149"/>
      <c r="L114" s="150"/>
      <c r="M114" s="150"/>
      <c r="N114" s="149"/>
      <c r="O114" s="149"/>
      <c r="P114" s="151"/>
      <c r="Q114" s="149"/>
      <c r="R114" s="150"/>
      <c r="S114" s="151"/>
      <c r="T114" s="149"/>
      <c r="U114" s="149"/>
      <c r="V114" s="151"/>
      <c r="W114" s="149"/>
      <c r="X114" s="150"/>
      <c r="Y114" s="150"/>
      <c r="Z114" s="149"/>
      <c r="AA114" s="149"/>
      <c r="AB114" s="151">
        <v>0</v>
      </c>
      <c r="AC114" s="149">
        <v>0</v>
      </c>
      <c r="AD114" s="150">
        <v>0</v>
      </c>
      <c r="AE114" s="150">
        <v>0</v>
      </c>
      <c r="AF114" s="149">
        <v>0</v>
      </c>
      <c r="AG114" s="149">
        <f t="shared" si="119"/>
        <v>0</v>
      </c>
      <c r="AH114" s="151">
        <f t="shared" si="92"/>
        <v>0</v>
      </c>
      <c r="AI114" s="149">
        <f t="shared" si="93"/>
        <v>0</v>
      </c>
      <c r="AJ114" s="150">
        <v>0</v>
      </c>
      <c r="AK114" s="150">
        <v>7</v>
      </c>
      <c r="AL114" s="149">
        <f t="shared" si="94"/>
        <v>126</v>
      </c>
      <c r="AM114" s="149">
        <f t="shared" si="95"/>
        <v>0</v>
      </c>
      <c r="AN114" s="151">
        <f t="shared" si="96"/>
        <v>7</v>
      </c>
      <c r="AO114" s="149">
        <f t="shared" si="97"/>
        <v>126</v>
      </c>
      <c r="AP114" s="150">
        <v>0</v>
      </c>
      <c r="AQ114" s="150">
        <v>0</v>
      </c>
      <c r="AR114" s="149">
        <f t="shared" si="98"/>
        <v>0</v>
      </c>
      <c r="AS114" s="149">
        <f t="shared" si="99"/>
        <v>0</v>
      </c>
      <c r="AT114" s="151">
        <f t="shared" si="100"/>
        <v>7</v>
      </c>
      <c r="AU114" s="149">
        <f t="shared" si="101"/>
        <v>126</v>
      </c>
      <c r="AV114" s="150">
        <v>0</v>
      </c>
      <c r="AW114" s="150">
        <v>0</v>
      </c>
      <c r="AX114" s="149">
        <f t="shared" si="102"/>
        <v>0</v>
      </c>
      <c r="AY114" s="149">
        <f t="shared" si="103"/>
        <v>0</v>
      </c>
      <c r="AZ114" s="151">
        <f t="shared" si="120"/>
        <v>7</v>
      </c>
      <c r="BA114" s="149">
        <f t="shared" si="121"/>
        <v>126</v>
      </c>
      <c r="BB114" s="19">
        <v>0</v>
      </c>
      <c r="BC114" s="150">
        <v>0</v>
      </c>
      <c r="BD114" s="149">
        <f t="shared" si="122"/>
        <v>0</v>
      </c>
      <c r="BE114" s="149">
        <v>0</v>
      </c>
      <c r="BF114" s="151">
        <v>0</v>
      </c>
      <c r="BG114" s="149">
        <v>0</v>
      </c>
      <c r="BH114" s="19">
        <v>0</v>
      </c>
      <c r="BI114" s="19">
        <v>0</v>
      </c>
      <c r="BJ114" s="149">
        <f t="shared" si="126"/>
        <v>0</v>
      </c>
      <c r="BK114" s="149">
        <f t="shared" si="127"/>
        <v>0</v>
      </c>
      <c r="BL114" s="151"/>
      <c r="BM114" s="149"/>
      <c r="BN114" s="150"/>
      <c r="BO114" s="150"/>
      <c r="BP114" s="149"/>
      <c r="BQ114" s="149"/>
      <c r="BR114" s="151"/>
      <c r="BS114" s="149"/>
      <c r="BT114" s="150"/>
      <c r="BU114" s="150"/>
      <c r="BV114" s="149"/>
      <c r="BW114" s="149"/>
      <c r="BX114" s="151"/>
      <c r="BY114" s="149"/>
      <c r="BZ114" s="150"/>
      <c r="CA114" s="150"/>
      <c r="CB114" s="149"/>
      <c r="CC114" s="149"/>
      <c r="CD114" s="152"/>
      <c r="CE114" s="153"/>
    </row>
    <row r="115" spans="1:83" s="154" customFormat="1" x14ac:dyDescent="0.25">
      <c r="A115" s="145">
        <v>69</v>
      </c>
      <c r="B115" s="146">
        <v>98</v>
      </c>
      <c r="C115" s="103" t="s">
        <v>174</v>
      </c>
      <c r="D115" s="104" t="s">
        <v>175</v>
      </c>
      <c r="E115" s="145">
        <v>5</v>
      </c>
      <c r="F115" s="145">
        <v>10</v>
      </c>
      <c r="G115" s="145">
        <v>15</v>
      </c>
      <c r="H115" s="147">
        <v>16</v>
      </c>
      <c r="I115" s="148">
        <v>13.8</v>
      </c>
      <c r="J115" s="147">
        <v>16</v>
      </c>
      <c r="K115" s="149">
        <f t="shared" si="104"/>
        <v>220.8</v>
      </c>
      <c r="L115" s="150">
        <v>0</v>
      </c>
      <c r="M115" s="150">
        <v>0</v>
      </c>
      <c r="N115" s="149">
        <f t="shared" si="106"/>
        <v>0</v>
      </c>
      <c r="O115" s="149">
        <f t="shared" si="107"/>
        <v>0</v>
      </c>
      <c r="P115" s="151">
        <f t="shared" si="108"/>
        <v>16</v>
      </c>
      <c r="Q115" s="149">
        <f t="shared" si="109"/>
        <v>220.8</v>
      </c>
      <c r="R115" s="150">
        <v>0</v>
      </c>
      <c r="S115" s="151">
        <v>0</v>
      </c>
      <c r="T115" s="149">
        <f t="shared" si="110"/>
        <v>0</v>
      </c>
      <c r="U115" s="149">
        <f t="shared" si="111"/>
        <v>0</v>
      </c>
      <c r="V115" s="151">
        <f t="shared" si="112"/>
        <v>16</v>
      </c>
      <c r="W115" s="149">
        <f t="shared" si="113"/>
        <v>220.8</v>
      </c>
      <c r="X115" s="150">
        <v>0</v>
      </c>
      <c r="Y115" s="150">
        <v>0</v>
      </c>
      <c r="Z115" s="149">
        <f t="shared" si="114"/>
        <v>0</v>
      </c>
      <c r="AA115" s="149">
        <f t="shared" si="115"/>
        <v>0</v>
      </c>
      <c r="AB115" s="151">
        <f t="shared" si="116"/>
        <v>16</v>
      </c>
      <c r="AC115" s="149">
        <f t="shared" si="117"/>
        <v>220.8</v>
      </c>
      <c r="AD115" s="150">
        <v>0</v>
      </c>
      <c r="AE115" s="150">
        <v>0</v>
      </c>
      <c r="AF115" s="149">
        <f t="shared" si="118"/>
        <v>0</v>
      </c>
      <c r="AG115" s="149">
        <f t="shared" si="119"/>
        <v>0</v>
      </c>
      <c r="AH115" s="151">
        <f t="shared" si="92"/>
        <v>16</v>
      </c>
      <c r="AI115" s="149">
        <f t="shared" si="93"/>
        <v>220.8</v>
      </c>
      <c r="AJ115" s="150">
        <v>0</v>
      </c>
      <c r="AK115" s="150">
        <v>0</v>
      </c>
      <c r="AL115" s="149">
        <f t="shared" si="94"/>
        <v>0</v>
      </c>
      <c r="AM115" s="149">
        <f t="shared" si="95"/>
        <v>0</v>
      </c>
      <c r="AN115" s="151">
        <f t="shared" si="96"/>
        <v>16</v>
      </c>
      <c r="AO115" s="149">
        <f t="shared" si="97"/>
        <v>220.8</v>
      </c>
      <c r="AP115" s="150">
        <v>1</v>
      </c>
      <c r="AQ115" s="150">
        <v>0</v>
      </c>
      <c r="AR115" s="149">
        <f t="shared" si="98"/>
        <v>0</v>
      </c>
      <c r="AS115" s="149">
        <f t="shared" si="99"/>
        <v>13.8</v>
      </c>
      <c r="AT115" s="151">
        <f t="shared" si="100"/>
        <v>15</v>
      </c>
      <c r="AU115" s="149">
        <f t="shared" si="101"/>
        <v>207</v>
      </c>
      <c r="AV115" s="150">
        <v>1</v>
      </c>
      <c r="AW115" s="150">
        <v>0</v>
      </c>
      <c r="AX115" s="149">
        <f t="shared" si="102"/>
        <v>0</v>
      </c>
      <c r="AY115" s="149">
        <f t="shared" si="103"/>
        <v>13.8</v>
      </c>
      <c r="AZ115" s="151">
        <f t="shared" si="120"/>
        <v>14</v>
      </c>
      <c r="BA115" s="149">
        <f t="shared" si="121"/>
        <v>193.20000000000002</v>
      </c>
      <c r="BB115" s="19">
        <v>0</v>
      </c>
      <c r="BC115" s="150">
        <v>0</v>
      </c>
      <c r="BD115" s="149">
        <f t="shared" si="122"/>
        <v>0</v>
      </c>
      <c r="BE115" s="149">
        <f t="shared" si="123"/>
        <v>0</v>
      </c>
      <c r="BF115" s="151">
        <f t="shared" si="124"/>
        <v>14</v>
      </c>
      <c r="BG115" s="149">
        <f t="shared" si="125"/>
        <v>193.20000000000002</v>
      </c>
      <c r="BH115" s="19">
        <v>0</v>
      </c>
      <c r="BI115" s="19">
        <v>0</v>
      </c>
      <c r="BJ115" s="149">
        <f t="shared" si="126"/>
        <v>0</v>
      </c>
      <c r="BK115" s="149">
        <f t="shared" si="127"/>
        <v>0</v>
      </c>
      <c r="BL115" s="151">
        <f t="shared" si="128"/>
        <v>14</v>
      </c>
      <c r="BM115" s="149">
        <f t="shared" si="129"/>
        <v>193.20000000000002</v>
      </c>
      <c r="BN115" s="150">
        <v>0</v>
      </c>
      <c r="BO115" s="150">
        <v>0</v>
      </c>
      <c r="BP115" s="149">
        <f t="shared" si="130"/>
        <v>0</v>
      </c>
      <c r="BQ115" s="149">
        <f t="shared" si="131"/>
        <v>0</v>
      </c>
      <c r="BR115" s="151">
        <f t="shared" si="132"/>
        <v>14</v>
      </c>
      <c r="BS115" s="149">
        <f t="shared" si="133"/>
        <v>193.20000000000002</v>
      </c>
      <c r="BT115" s="150">
        <v>0</v>
      </c>
      <c r="BU115" s="150">
        <v>0</v>
      </c>
      <c r="BV115" s="149">
        <f t="shared" si="134"/>
        <v>0</v>
      </c>
      <c r="BW115" s="149">
        <f t="shared" si="135"/>
        <v>0</v>
      </c>
      <c r="BX115" s="151">
        <f t="shared" si="136"/>
        <v>14</v>
      </c>
      <c r="BY115" s="149">
        <f t="shared" si="137"/>
        <v>193.20000000000002</v>
      </c>
      <c r="BZ115" s="150">
        <v>0</v>
      </c>
      <c r="CA115" s="150">
        <v>0</v>
      </c>
      <c r="CB115" s="149">
        <f t="shared" si="138"/>
        <v>0</v>
      </c>
      <c r="CC115" s="149">
        <f t="shared" si="139"/>
        <v>0</v>
      </c>
      <c r="CD115" s="152">
        <f t="shared" si="140"/>
        <v>14</v>
      </c>
      <c r="CE115" s="153">
        <f t="shared" ref="CE115:CE152" si="141">CD115*I115</f>
        <v>193.20000000000002</v>
      </c>
    </row>
    <row r="116" spans="1:83" s="154" customFormat="1" x14ac:dyDescent="0.25">
      <c r="A116" s="145">
        <v>70</v>
      </c>
      <c r="B116" s="146">
        <v>99</v>
      </c>
      <c r="C116" s="103" t="s">
        <v>176</v>
      </c>
      <c r="D116" s="104" t="s">
        <v>177</v>
      </c>
      <c r="E116" s="145">
        <v>3</v>
      </c>
      <c r="F116" s="145">
        <v>5</v>
      </c>
      <c r="G116" s="145">
        <v>10</v>
      </c>
      <c r="H116" s="147">
        <v>12</v>
      </c>
      <c r="I116" s="148">
        <v>16.8</v>
      </c>
      <c r="J116" s="147">
        <v>12</v>
      </c>
      <c r="K116" s="149">
        <f t="shared" si="104"/>
        <v>201.60000000000002</v>
      </c>
      <c r="L116" s="150">
        <v>0</v>
      </c>
      <c r="M116" s="150">
        <v>0</v>
      </c>
      <c r="N116" s="149">
        <f t="shared" si="106"/>
        <v>0</v>
      </c>
      <c r="O116" s="149">
        <f t="shared" si="107"/>
        <v>0</v>
      </c>
      <c r="P116" s="151">
        <f t="shared" si="108"/>
        <v>12</v>
      </c>
      <c r="Q116" s="149">
        <f t="shared" si="109"/>
        <v>201.60000000000002</v>
      </c>
      <c r="R116" s="150">
        <v>0</v>
      </c>
      <c r="S116" s="151">
        <v>0</v>
      </c>
      <c r="T116" s="149">
        <f t="shared" si="110"/>
        <v>0</v>
      </c>
      <c r="U116" s="149">
        <f t="shared" si="111"/>
        <v>0</v>
      </c>
      <c r="V116" s="151">
        <f t="shared" si="112"/>
        <v>12</v>
      </c>
      <c r="W116" s="149">
        <f t="shared" si="113"/>
        <v>201.60000000000002</v>
      </c>
      <c r="X116" s="150">
        <v>0</v>
      </c>
      <c r="Y116" s="150">
        <v>0</v>
      </c>
      <c r="Z116" s="149">
        <f t="shared" si="114"/>
        <v>0</v>
      </c>
      <c r="AA116" s="149">
        <f t="shared" si="115"/>
        <v>0</v>
      </c>
      <c r="AB116" s="151">
        <f t="shared" si="116"/>
        <v>12</v>
      </c>
      <c r="AC116" s="149">
        <f t="shared" si="117"/>
        <v>201.60000000000002</v>
      </c>
      <c r="AD116" s="150">
        <v>0</v>
      </c>
      <c r="AE116" s="150">
        <v>0</v>
      </c>
      <c r="AF116" s="149">
        <f t="shared" si="118"/>
        <v>0</v>
      </c>
      <c r="AG116" s="149">
        <f t="shared" si="119"/>
        <v>0</v>
      </c>
      <c r="AH116" s="151">
        <f t="shared" si="92"/>
        <v>12</v>
      </c>
      <c r="AI116" s="149">
        <f t="shared" si="93"/>
        <v>201.60000000000002</v>
      </c>
      <c r="AJ116" s="150">
        <v>0</v>
      </c>
      <c r="AK116" s="150">
        <v>0</v>
      </c>
      <c r="AL116" s="149">
        <f t="shared" si="94"/>
        <v>0</v>
      </c>
      <c r="AM116" s="149">
        <f t="shared" si="95"/>
        <v>0</v>
      </c>
      <c r="AN116" s="151">
        <f t="shared" si="96"/>
        <v>12</v>
      </c>
      <c r="AO116" s="149">
        <f t="shared" si="97"/>
        <v>201.60000000000002</v>
      </c>
      <c r="AP116" s="150">
        <v>1</v>
      </c>
      <c r="AQ116" s="150">
        <v>0</v>
      </c>
      <c r="AR116" s="149">
        <f t="shared" si="98"/>
        <v>0</v>
      </c>
      <c r="AS116" s="149">
        <f t="shared" si="99"/>
        <v>16.8</v>
      </c>
      <c r="AT116" s="151">
        <f t="shared" si="100"/>
        <v>11</v>
      </c>
      <c r="AU116" s="149">
        <f t="shared" si="101"/>
        <v>184.8</v>
      </c>
      <c r="AV116" s="150">
        <v>0</v>
      </c>
      <c r="AW116" s="150">
        <v>0</v>
      </c>
      <c r="AX116" s="149">
        <f t="shared" si="102"/>
        <v>0</v>
      </c>
      <c r="AY116" s="149">
        <f t="shared" si="103"/>
        <v>0</v>
      </c>
      <c r="AZ116" s="151">
        <f t="shared" si="120"/>
        <v>11</v>
      </c>
      <c r="BA116" s="149">
        <f t="shared" si="121"/>
        <v>184.8</v>
      </c>
      <c r="BB116" s="19">
        <v>0</v>
      </c>
      <c r="BC116" s="150">
        <v>0</v>
      </c>
      <c r="BD116" s="149">
        <f t="shared" si="122"/>
        <v>0</v>
      </c>
      <c r="BE116" s="149">
        <f t="shared" si="123"/>
        <v>0</v>
      </c>
      <c r="BF116" s="151">
        <f t="shared" si="124"/>
        <v>11</v>
      </c>
      <c r="BG116" s="149">
        <f t="shared" si="125"/>
        <v>184.8</v>
      </c>
      <c r="BH116" s="19">
        <v>0</v>
      </c>
      <c r="BI116" s="19">
        <v>0</v>
      </c>
      <c r="BJ116" s="149">
        <f t="shared" si="126"/>
        <v>0</v>
      </c>
      <c r="BK116" s="149">
        <f t="shared" si="127"/>
        <v>0</v>
      </c>
      <c r="BL116" s="151">
        <f t="shared" si="128"/>
        <v>11</v>
      </c>
      <c r="BM116" s="149">
        <f t="shared" si="129"/>
        <v>184.8</v>
      </c>
      <c r="BN116" s="150">
        <v>0</v>
      </c>
      <c r="BO116" s="150">
        <v>0</v>
      </c>
      <c r="BP116" s="149">
        <f t="shared" si="130"/>
        <v>0</v>
      </c>
      <c r="BQ116" s="149">
        <f t="shared" si="131"/>
        <v>0</v>
      </c>
      <c r="BR116" s="151">
        <f t="shared" si="132"/>
        <v>11</v>
      </c>
      <c r="BS116" s="149">
        <f t="shared" si="133"/>
        <v>184.8</v>
      </c>
      <c r="BT116" s="150">
        <v>0</v>
      </c>
      <c r="BU116" s="150">
        <v>0</v>
      </c>
      <c r="BV116" s="149">
        <f t="shared" si="134"/>
        <v>0</v>
      </c>
      <c r="BW116" s="149">
        <f t="shared" si="135"/>
        <v>0</v>
      </c>
      <c r="BX116" s="151">
        <f t="shared" si="136"/>
        <v>11</v>
      </c>
      <c r="BY116" s="149">
        <f t="shared" si="137"/>
        <v>184.8</v>
      </c>
      <c r="BZ116" s="150">
        <v>0</v>
      </c>
      <c r="CA116" s="150">
        <v>0</v>
      </c>
      <c r="CB116" s="149">
        <f t="shared" si="138"/>
        <v>0</v>
      </c>
      <c r="CC116" s="149">
        <f t="shared" si="139"/>
        <v>0</v>
      </c>
      <c r="CD116" s="152">
        <f t="shared" ref="CD116:CD153" si="142">BX116-BZ116+CA116</f>
        <v>11</v>
      </c>
      <c r="CE116" s="153">
        <f t="shared" si="141"/>
        <v>184.8</v>
      </c>
    </row>
    <row r="117" spans="1:83" ht="18" customHeight="1" x14ac:dyDescent="0.25">
      <c r="A117" s="23"/>
      <c r="B117" s="70">
        <v>100</v>
      </c>
      <c r="C117" s="174" t="s">
        <v>178</v>
      </c>
      <c r="D117" s="13" t="s">
        <v>179</v>
      </c>
      <c r="E117" s="12"/>
      <c r="F117" s="12"/>
      <c r="G117" s="12"/>
      <c r="H117" s="17">
        <v>10</v>
      </c>
      <c r="I117" s="165">
        <v>18</v>
      </c>
      <c r="J117" s="17">
        <v>10</v>
      </c>
      <c r="K117" s="166">
        <f t="shared" si="104"/>
        <v>180</v>
      </c>
      <c r="L117" s="19">
        <v>1</v>
      </c>
      <c r="M117" s="19">
        <v>0</v>
      </c>
      <c r="N117" s="166">
        <f t="shared" si="106"/>
        <v>0</v>
      </c>
      <c r="O117" s="166">
        <f t="shared" si="107"/>
        <v>18</v>
      </c>
      <c r="P117" s="18">
        <f t="shared" si="108"/>
        <v>9</v>
      </c>
      <c r="Q117" s="166">
        <f t="shared" si="109"/>
        <v>162</v>
      </c>
      <c r="R117" s="19">
        <v>0</v>
      </c>
      <c r="S117" s="18">
        <v>0</v>
      </c>
      <c r="T117" s="166">
        <f t="shared" si="110"/>
        <v>0</v>
      </c>
      <c r="U117" s="166">
        <f t="shared" si="111"/>
        <v>0</v>
      </c>
      <c r="V117" s="18">
        <f t="shared" si="112"/>
        <v>9</v>
      </c>
      <c r="W117" s="166">
        <f t="shared" si="113"/>
        <v>162</v>
      </c>
      <c r="X117" s="19">
        <v>2</v>
      </c>
      <c r="Y117" s="19">
        <v>0</v>
      </c>
      <c r="Z117" s="166">
        <f t="shared" si="114"/>
        <v>0</v>
      </c>
      <c r="AA117" s="166">
        <f t="shared" si="115"/>
        <v>36</v>
      </c>
      <c r="AB117" s="18">
        <f t="shared" si="116"/>
        <v>7</v>
      </c>
      <c r="AC117" s="166">
        <f t="shared" si="117"/>
        <v>126</v>
      </c>
      <c r="AD117" s="19">
        <v>1</v>
      </c>
      <c r="AE117" s="19">
        <v>0</v>
      </c>
      <c r="AF117" s="166">
        <f t="shared" si="118"/>
        <v>0</v>
      </c>
      <c r="AG117" s="166">
        <f t="shared" si="119"/>
        <v>18</v>
      </c>
      <c r="AH117" s="18">
        <f t="shared" si="92"/>
        <v>6</v>
      </c>
      <c r="AI117" s="166">
        <f t="shared" si="93"/>
        <v>108</v>
      </c>
      <c r="AJ117" s="19">
        <v>0</v>
      </c>
      <c r="AK117" s="19">
        <v>0</v>
      </c>
      <c r="AL117" s="166">
        <f t="shared" si="94"/>
        <v>0</v>
      </c>
      <c r="AM117" s="166">
        <f t="shared" si="95"/>
        <v>0</v>
      </c>
      <c r="AN117" s="18">
        <f t="shared" si="96"/>
        <v>6</v>
      </c>
      <c r="AO117" s="166">
        <f t="shared" si="97"/>
        <v>108</v>
      </c>
      <c r="AP117" s="19">
        <v>0</v>
      </c>
      <c r="AQ117" s="19">
        <v>0</v>
      </c>
      <c r="AR117" s="166">
        <f t="shared" si="98"/>
        <v>0</v>
      </c>
      <c r="AS117" s="166">
        <f t="shared" si="99"/>
        <v>0</v>
      </c>
      <c r="AT117" s="18">
        <f t="shared" si="100"/>
        <v>6</v>
      </c>
      <c r="AU117" s="166">
        <f t="shared" si="101"/>
        <v>108</v>
      </c>
      <c r="AV117" s="19">
        <v>1</v>
      </c>
      <c r="AW117" s="19">
        <v>0</v>
      </c>
      <c r="AX117" s="166">
        <f t="shared" si="102"/>
        <v>0</v>
      </c>
      <c r="AY117" s="166">
        <f t="shared" si="103"/>
        <v>18</v>
      </c>
      <c r="AZ117" s="18">
        <f t="shared" si="120"/>
        <v>5</v>
      </c>
      <c r="BA117" s="166">
        <f t="shared" si="121"/>
        <v>90</v>
      </c>
      <c r="BB117" s="19">
        <v>2</v>
      </c>
      <c r="BC117" s="19">
        <v>0</v>
      </c>
      <c r="BD117" s="166">
        <f t="shared" si="122"/>
        <v>0</v>
      </c>
      <c r="BE117" s="166">
        <f t="shared" si="123"/>
        <v>36</v>
      </c>
      <c r="BF117" s="18">
        <f t="shared" si="124"/>
        <v>3</v>
      </c>
      <c r="BG117" s="166">
        <f t="shared" si="125"/>
        <v>54</v>
      </c>
      <c r="BH117" s="19">
        <v>0</v>
      </c>
      <c r="BI117" s="19">
        <v>0</v>
      </c>
      <c r="BJ117" s="166">
        <f t="shared" si="126"/>
        <v>0</v>
      </c>
      <c r="BK117" s="166">
        <f t="shared" si="127"/>
        <v>0</v>
      </c>
      <c r="BL117" s="18">
        <f t="shared" si="128"/>
        <v>3</v>
      </c>
      <c r="BM117" s="166">
        <f t="shared" si="129"/>
        <v>54</v>
      </c>
      <c r="BN117" s="19">
        <v>0</v>
      </c>
      <c r="BO117" s="19">
        <v>0</v>
      </c>
      <c r="BP117" s="166">
        <f t="shared" si="130"/>
        <v>0</v>
      </c>
      <c r="BQ117" s="166">
        <f t="shared" si="131"/>
        <v>0</v>
      </c>
      <c r="BR117" s="18">
        <f t="shared" si="132"/>
        <v>3</v>
      </c>
      <c r="BS117" s="166">
        <f t="shared" si="133"/>
        <v>54</v>
      </c>
      <c r="BT117" s="19">
        <v>0</v>
      </c>
      <c r="BU117" s="19">
        <v>0</v>
      </c>
      <c r="BV117" s="166">
        <f t="shared" si="134"/>
        <v>0</v>
      </c>
      <c r="BW117" s="166">
        <f t="shared" si="135"/>
        <v>0</v>
      </c>
      <c r="BX117" s="18">
        <f t="shared" si="136"/>
        <v>3</v>
      </c>
      <c r="BY117" s="166">
        <f t="shared" si="137"/>
        <v>54</v>
      </c>
      <c r="BZ117" s="19">
        <v>0</v>
      </c>
      <c r="CA117" s="19">
        <v>0</v>
      </c>
      <c r="CB117" s="166">
        <f t="shared" si="138"/>
        <v>0</v>
      </c>
      <c r="CC117" s="166">
        <f t="shared" si="139"/>
        <v>0</v>
      </c>
      <c r="CD117" s="20">
        <f t="shared" si="142"/>
        <v>3</v>
      </c>
      <c r="CE117" s="167">
        <f t="shared" si="141"/>
        <v>54</v>
      </c>
    </row>
    <row r="118" spans="1:83" ht="18" customHeight="1" x14ac:dyDescent="0.25">
      <c r="A118" s="23"/>
      <c r="B118" s="70"/>
      <c r="C118" s="175"/>
      <c r="D118" s="13" t="s">
        <v>477</v>
      </c>
      <c r="E118" s="12"/>
      <c r="F118" s="12"/>
      <c r="G118" s="12"/>
      <c r="H118" s="17"/>
      <c r="I118" s="165">
        <v>17.7</v>
      </c>
      <c r="J118" s="17"/>
      <c r="K118" s="166"/>
      <c r="L118" s="19"/>
      <c r="M118" s="19"/>
      <c r="N118" s="166"/>
      <c r="O118" s="166"/>
      <c r="P118" s="18"/>
      <c r="Q118" s="166"/>
      <c r="R118" s="19"/>
      <c r="S118" s="18"/>
      <c r="T118" s="166"/>
      <c r="U118" s="166"/>
      <c r="V118" s="18"/>
      <c r="W118" s="166"/>
      <c r="X118" s="19"/>
      <c r="Y118" s="19"/>
      <c r="Z118" s="166"/>
      <c r="AA118" s="166"/>
      <c r="AB118" s="18"/>
      <c r="AC118" s="166"/>
      <c r="AD118" s="19"/>
      <c r="AE118" s="19"/>
      <c r="AF118" s="166"/>
      <c r="AG118" s="166"/>
      <c r="AH118" s="18"/>
      <c r="AI118" s="166"/>
      <c r="AJ118" s="19"/>
      <c r="AK118" s="19"/>
      <c r="AL118" s="166"/>
      <c r="AM118" s="166"/>
      <c r="AN118" s="18"/>
      <c r="AO118" s="166"/>
      <c r="AP118" s="19"/>
      <c r="AQ118" s="19"/>
      <c r="AR118" s="166"/>
      <c r="AS118" s="166"/>
      <c r="AT118" s="18"/>
      <c r="AU118" s="166"/>
      <c r="AV118" s="19">
        <v>0</v>
      </c>
      <c r="AW118" s="19">
        <v>0</v>
      </c>
      <c r="AX118" s="166">
        <f t="shared" si="102"/>
        <v>0</v>
      </c>
      <c r="AY118" s="166">
        <f t="shared" si="103"/>
        <v>0</v>
      </c>
      <c r="AZ118" s="18">
        <f t="shared" si="120"/>
        <v>0</v>
      </c>
      <c r="BA118" s="166">
        <v>0</v>
      </c>
      <c r="BB118" s="19">
        <v>0</v>
      </c>
      <c r="BC118" s="19">
        <v>5</v>
      </c>
      <c r="BD118" s="166">
        <f t="shared" si="122"/>
        <v>88.5</v>
      </c>
      <c r="BE118" s="166">
        <v>0</v>
      </c>
      <c r="BF118" s="18">
        <f t="shared" si="124"/>
        <v>5</v>
      </c>
      <c r="BG118" s="166">
        <v>0</v>
      </c>
      <c r="BH118" s="19">
        <v>0</v>
      </c>
      <c r="BI118" s="19">
        <v>0</v>
      </c>
      <c r="BJ118" s="166"/>
      <c r="BK118" s="166"/>
      <c r="BL118" s="18"/>
      <c r="BM118" s="166"/>
      <c r="BN118" s="19"/>
      <c r="BO118" s="19"/>
      <c r="BP118" s="166"/>
      <c r="BQ118" s="166"/>
      <c r="BR118" s="18"/>
      <c r="BS118" s="166"/>
      <c r="BT118" s="19"/>
      <c r="BU118" s="19"/>
      <c r="BV118" s="166"/>
      <c r="BW118" s="166"/>
      <c r="BX118" s="18"/>
      <c r="BY118" s="166"/>
      <c r="BZ118" s="19"/>
      <c r="CA118" s="19"/>
      <c r="CB118" s="166"/>
      <c r="CC118" s="166"/>
      <c r="CD118" s="20"/>
      <c r="CE118" s="167"/>
    </row>
    <row r="119" spans="1:83" s="154" customFormat="1" x14ac:dyDescent="0.25">
      <c r="A119" s="145"/>
      <c r="B119" s="146">
        <v>101</v>
      </c>
      <c r="C119" s="172" t="s">
        <v>180</v>
      </c>
      <c r="D119" s="104" t="s">
        <v>181</v>
      </c>
      <c r="E119" s="191">
        <v>5</v>
      </c>
      <c r="F119" s="191">
        <v>10</v>
      </c>
      <c r="G119" s="191">
        <v>15</v>
      </c>
      <c r="H119" s="147">
        <v>9</v>
      </c>
      <c r="I119" s="148">
        <v>16.7</v>
      </c>
      <c r="J119" s="147">
        <v>9</v>
      </c>
      <c r="K119" s="149">
        <f t="shared" si="104"/>
        <v>150.29999999999998</v>
      </c>
      <c r="L119" s="150">
        <v>0</v>
      </c>
      <c r="M119" s="150">
        <v>0</v>
      </c>
      <c r="N119" s="149">
        <f t="shared" si="106"/>
        <v>0</v>
      </c>
      <c r="O119" s="149">
        <f t="shared" si="107"/>
        <v>0</v>
      </c>
      <c r="P119" s="151">
        <f t="shared" si="108"/>
        <v>9</v>
      </c>
      <c r="Q119" s="149">
        <f t="shared" si="109"/>
        <v>150.29999999999998</v>
      </c>
      <c r="R119" s="150">
        <v>0</v>
      </c>
      <c r="S119" s="151">
        <v>0</v>
      </c>
      <c r="T119" s="149">
        <f t="shared" si="110"/>
        <v>0</v>
      </c>
      <c r="U119" s="149">
        <f t="shared" si="111"/>
        <v>0</v>
      </c>
      <c r="V119" s="151">
        <f t="shared" si="112"/>
        <v>9</v>
      </c>
      <c r="W119" s="149">
        <f t="shared" si="113"/>
        <v>150.29999999999998</v>
      </c>
      <c r="X119" s="150">
        <v>0</v>
      </c>
      <c r="Y119" s="150">
        <v>0</v>
      </c>
      <c r="Z119" s="149">
        <f t="shared" si="114"/>
        <v>0</v>
      </c>
      <c r="AA119" s="149">
        <f t="shared" si="115"/>
        <v>0</v>
      </c>
      <c r="AB119" s="151">
        <f t="shared" si="116"/>
        <v>9</v>
      </c>
      <c r="AC119" s="149">
        <f t="shared" si="117"/>
        <v>150.29999999999998</v>
      </c>
      <c r="AD119" s="150">
        <v>0</v>
      </c>
      <c r="AE119" s="150">
        <v>0</v>
      </c>
      <c r="AF119" s="149">
        <f t="shared" si="118"/>
        <v>0</v>
      </c>
      <c r="AG119" s="149">
        <f t="shared" si="119"/>
        <v>0</v>
      </c>
      <c r="AH119" s="151">
        <f t="shared" si="92"/>
        <v>9</v>
      </c>
      <c r="AI119" s="149">
        <f t="shared" si="93"/>
        <v>150.29999999999998</v>
      </c>
      <c r="AJ119" s="150">
        <v>0</v>
      </c>
      <c r="AK119" s="150">
        <v>0</v>
      </c>
      <c r="AL119" s="149">
        <f t="shared" si="94"/>
        <v>0</v>
      </c>
      <c r="AM119" s="149">
        <f t="shared" si="95"/>
        <v>0</v>
      </c>
      <c r="AN119" s="151">
        <f t="shared" si="96"/>
        <v>9</v>
      </c>
      <c r="AO119" s="149">
        <f t="shared" si="97"/>
        <v>150.29999999999998</v>
      </c>
      <c r="AP119" s="150">
        <v>0</v>
      </c>
      <c r="AQ119" s="150">
        <v>0</v>
      </c>
      <c r="AR119" s="149">
        <f t="shared" si="98"/>
        <v>0</v>
      </c>
      <c r="AS119" s="149">
        <f t="shared" si="99"/>
        <v>0</v>
      </c>
      <c r="AT119" s="151">
        <f t="shared" si="100"/>
        <v>9</v>
      </c>
      <c r="AU119" s="149">
        <f t="shared" si="101"/>
        <v>150.29999999999998</v>
      </c>
      <c r="AV119" s="150">
        <v>0</v>
      </c>
      <c r="AW119" s="150">
        <v>0</v>
      </c>
      <c r="AX119" s="149">
        <f t="shared" si="102"/>
        <v>0</v>
      </c>
      <c r="AY119" s="149">
        <f t="shared" si="103"/>
        <v>0</v>
      </c>
      <c r="AZ119" s="151">
        <f t="shared" si="120"/>
        <v>9</v>
      </c>
      <c r="BA119" s="149">
        <f t="shared" si="121"/>
        <v>150.29999999999998</v>
      </c>
      <c r="BB119" s="19">
        <v>0</v>
      </c>
      <c r="BC119" s="150">
        <v>0</v>
      </c>
      <c r="BD119" s="149">
        <f t="shared" si="122"/>
        <v>0</v>
      </c>
      <c r="BE119" s="149">
        <f t="shared" si="123"/>
        <v>0</v>
      </c>
      <c r="BF119" s="151">
        <f t="shared" si="124"/>
        <v>9</v>
      </c>
      <c r="BG119" s="149">
        <f t="shared" si="125"/>
        <v>150.29999999999998</v>
      </c>
      <c r="BH119" s="19">
        <v>0</v>
      </c>
      <c r="BI119" s="19">
        <v>0</v>
      </c>
      <c r="BJ119" s="149">
        <f t="shared" si="126"/>
        <v>0</v>
      </c>
      <c r="BK119" s="149">
        <f t="shared" si="127"/>
        <v>0</v>
      </c>
      <c r="BL119" s="151">
        <f t="shared" si="128"/>
        <v>9</v>
      </c>
      <c r="BM119" s="149">
        <f t="shared" si="129"/>
        <v>150.29999999999998</v>
      </c>
      <c r="BN119" s="150">
        <v>0</v>
      </c>
      <c r="BO119" s="150">
        <v>0</v>
      </c>
      <c r="BP119" s="149">
        <f t="shared" si="130"/>
        <v>0</v>
      </c>
      <c r="BQ119" s="149">
        <f t="shared" si="131"/>
        <v>0</v>
      </c>
      <c r="BR119" s="151">
        <f t="shared" si="132"/>
        <v>9</v>
      </c>
      <c r="BS119" s="149">
        <f t="shared" si="133"/>
        <v>150.29999999999998</v>
      </c>
      <c r="BT119" s="150">
        <v>0</v>
      </c>
      <c r="BU119" s="150">
        <v>0</v>
      </c>
      <c r="BV119" s="149">
        <f t="shared" si="134"/>
        <v>0</v>
      </c>
      <c r="BW119" s="149">
        <f t="shared" si="135"/>
        <v>0</v>
      </c>
      <c r="BX119" s="151">
        <f t="shared" si="136"/>
        <v>9</v>
      </c>
      <c r="BY119" s="149">
        <f t="shared" si="137"/>
        <v>150.29999999999998</v>
      </c>
      <c r="BZ119" s="150">
        <v>0</v>
      </c>
      <c r="CA119" s="150">
        <v>0</v>
      </c>
      <c r="CB119" s="149">
        <f t="shared" si="138"/>
        <v>0</v>
      </c>
      <c r="CC119" s="149">
        <f t="shared" si="139"/>
        <v>0</v>
      </c>
      <c r="CD119" s="152">
        <f t="shared" si="142"/>
        <v>9</v>
      </c>
      <c r="CE119" s="153">
        <f t="shared" si="141"/>
        <v>150.29999999999998</v>
      </c>
    </row>
    <row r="120" spans="1:83" s="154" customFormat="1" x14ac:dyDescent="0.25">
      <c r="A120" s="145"/>
      <c r="B120" s="146">
        <v>102</v>
      </c>
      <c r="C120" s="173"/>
      <c r="D120" s="104" t="s">
        <v>182</v>
      </c>
      <c r="E120" s="192"/>
      <c r="F120" s="192"/>
      <c r="G120" s="192"/>
      <c r="H120" s="147">
        <v>5</v>
      </c>
      <c r="I120" s="148">
        <v>20.149999999999999</v>
      </c>
      <c r="J120" s="147">
        <v>5</v>
      </c>
      <c r="K120" s="149">
        <f t="shared" si="104"/>
        <v>100.75</v>
      </c>
      <c r="L120" s="150">
        <v>0</v>
      </c>
      <c r="M120" s="150">
        <v>0</v>
      </c>
      <c r="N120" s="149">
        <f t="shared" si="106"/>
        <v>0</v>
      </c>
      <c r="O120" s="149">
        <f t="shared" si="107"/>
        <v>0</v>
      </c>
      <c r="P120" s="151">
        <f t="shared" si="108"/>
        <v>5</v>
      </c>
      <c r="Q120" s="149">
        <f t="shared" si="109"/>
        <v>100.75</v>
      </c>
      <c r="R120" s="150">
        <v>0</v>
      </c>
      <c r="S120" s="151">
        <v>0</v>
      </c>
      <c r="T120" s="149">
        <f t="shared" si="110"/>
        <v>0</v>
      </c>
      <c r="U120" s="149">
        <f t="shared" si="111"/>
        <v>0</v>
      </c>
      <c r="V120" s="151">
        <f t="shared" si="112"/>
        <v>5</v>
      </c>
      <c r="W120" s="149">
        <f t="shared" si="113"/>
        <v>100.75</v>
      </c>
      <c r="X120" s="150">
        <v>0</v>
      </c>
      <c r="Y120" s="150">
        <v>0</v>
      </c>
      <c r="Z120" s="149">
        <f t="shared" si="114"/>
        <v>0</v>
      </c>
      <c r="AA120" s="149">
        <f t="shared" si="115"/>
        <v>0</v>
      </c>
      <c r="AB120" s="151">
        <f t="shared" si="116"/>
        <v>5</v>
      </c>
      <c r="AC120" s="149">
        <f t="shared" si="117"/>
        <v>100.75</v>
      </c>
      <c r="AD120" s="150">
        <v>0</v>
      </c>
      <c r="AE120" s="150">
        <v>0</v>
      </c>
      <c r="AF120" s="149">
        <f t="shared" si="118"/>
        <v>0</v>
      </c>
      <c r="AG120" s="149">
        <f t="shared" si="119"/>
        <v>0</v>
      </c>
      <c r="AH120" s="151">
        <f t="shared" si="92"/>
        <v>5</v>
      </c>
      <c r="AI120" s="149">
        <f t="shared" si="93"/>
        <v>100.75</v>
      </c>
      <c r="AJ120" s="150">
        <v>0</v>
      </c>
      <c r="AK120" s="150">
        <v>0</v>
      </c>
      <c r="AL120" s="149">
        <f t="shared" si="94"/>
        <v>0</v>
      </c>
      <c r="AM120" s="149">
        <f t="shared" si="95"/>
        <v>0</v>
      </c>
      <c r="AN120" s="151">
        <f t="shared" si="96"/>
        <v>5</v>
      </c>
      <c r="AO120" s="149">
        <f t="shared" si="97"/>
        <v>100.75</v>
      </c>
      <c r="AP120" s="150">
        <v>0</v>
      </c>
      <c r="AQ120" s="150">
        <v>0</v>
      </c>
      <c r="AR120" s="149">
        <f t="shared" si="98"/>
        <v>0</v>
      </c>
      <c r="AS120" s="149">
        <f t="shared" si="99"/>
        <v>0</v>
      </c>
      <c r="AT120" s="151">
        <f t="shared" si="100"/>
        <v>5</v>
      </c>
      <c r="AU120" s="149">
        <f t="shared" si="101"/>
        <v>100.75</v>
      </c>
      <c r="AV120" s="150">
        <v>0</v>
      </c>
      <c r="AW120" s="150">
        <v>0</v>
      </c>
      <c r="AX120" s="149">
        <f t="shared" si="102"/>
        <v>0</v>
      </c>
      <c r="AY120" s="149">
        <f t="shared" si="103"/>
        <v>0</v>
      </c>
      <c r="AZ120" s="151">
        <f t="shared" si="120"/>
        <v>5</v>
      </c>
      <c r="BA120" s="149">
        <f t="shared" si="121"/>
        <v>100.75</v>
      </c>
      <c r="BB120" s="19">
        <v>0</v>
      </c>
      <c r="BC120" s="150">
        <v>0</v>
      </c>
      <c r="BD120" s="149">
        <f t="shared" si="122"/>
        <v>0</v>
      </c>
      <c r="BE120" s="149">
        <f t="shared" si="123"/>
        <v>0</v>
      </c>
      <c r="BF120" s="151">
        <f t="shared" si="124"/>
        <v>5</v>
      </c>
      <c r="BG120" s="149">
        <f t="shared" si="125"/>
        <v>100.75</v>
      </c>
      <c r="BH120" s="19">
        <v>0</v>
      </c>
      <c r="BI120" s="19">
        <v>0</v>
      </c>
      <c r="BJ120" s="149">
        <f t="shared" si="126"/>
        <v>0</v>
      </c>
      <c r="BK120" s="149">
        <f t="shared" si="127"/>
        <v>0</v>
      </c>
      <c r="BL120" s="151">
        <f t="shared" si="128"/>
        <v>5</v>
      </c>
      <c r="BM120" s="149">
        <f t="shared" si="129"/>
        <v>100.75</v>
      </c>
      <c r="BN120" s="150">
        <v>0</v>
      </c>
      <c r="BO120" s="150">
        <v>0</v>
      </c>
      <c r="BP120" s="149">
        <f t="shared" si="130"/>
        <v>0</v>
      </c>
      <c r="BQ120" s="149">
        <f t="shared" si="131"/>
        <v>0</v>
      </c>
      <c r="BR120" s="151">
        <f t="shared" si="132"/>
        <v>5</v>
      </c>
      <c r="BS120" s="149">
        <f t="shared" si="133"/>
        <v>100.75</v>
      </c>
      <c r="BT120" s="150">
        <v>0</v>
      </c>
      <c r="BU120" s="150">
        <v>0</v>
      </c>
      <c r="BV120" s="149">
        <f t="shared" si="134"/>
        <v>0</v>
      </c>
      <c r="BW120" s="149">
        <f t="shared" si="135"/>
        <v>0</v>
      </c>
      <c r="BX120" s="151">
        <f t="shared" si="136"/>
        <v>5</v>
      </c>
      <c r="BY120" s="149">
        <f t="shared" si="137"/>
        <v>100.75</v>
      </c>
      <c r="BZ120" s="150">
        <v>0</v>
      </c>
      <c r="CA120" s="150">
        <v>0</v>
      </c>
      <c r="CB120" s="149">
        <f t="shared" si="138"/>
        <v>0</v>
      </c>
      <c r="CC120" s="149">
        <f t="shared" si="139"/>
        <v>0</v>
      </c>
      <c r="CD120" s="152">
        <f t="shared" si="142"/>
        <v>5</v>
      </c>
      <c r="CE120" s="153">
        <f t="shared" si="141"/>
        <v>100.75</v>
      </c>
    </row>
    <row r="121" spans="1:83" s="154" customFormat="1" x14ac:dyDescent="0.25">
      <c r="A121" s="145"/>
      <c r="B121" s="146">
        <v>103</v>
      </c>
      <c r="C121" s="144" t="s">
        <v>183</v>
      </c>
      <c r="D121" s="104" t="s">
        <v>185</v>
      </c>
      <c r="E121" s="155"/>
      <c r="F121" s="155"/>
      <c r="G121" s="155"/>
      <c r="H121" s="147">
        <v>12</v>
      </c>
      <c r="I121" s="148">
        <v>16.8</v>
      </c>
      <c r="J121" s="147">
        <v>12</v>
      </c>
      <c r="K121" s="149">
        <f t="shared" si="104"/>
        <v>201.60000000000002</v>
      </c>
      <c r="L121" s="150">
        <v>0</v>
      </c>
      <c r="M121" s="150">
        <v>0</v>
      </c>
      <c r="N121" s="149">
        <f t="shared" si="106"/>
        <v>0</v>
      </c>
      <c r="O121" s="149">
        <f t="shared" si="107"/>
        <v>0</v>
      </c>
      <c r="P121" s="151">
        <f t="shared" si="108"/>
        <v>12</v>
      </c>
      <c r="Q121" s="149">
        <f t="shared" si="109"/>
        <v>201.60000000000002</v>
      </c>
      <c r="R121" s="150">
        <v>0</v>
      </c>
      <c r="S121" s="151">
        <v>0</v>
      </c>
      <c r="T121" s="149">
        <f t="shared" si="110"/>
        <v>0</v>
      </c>
      <c r="U121" s="149">
        <f t="shared" si="111"/>
        <v>0</v>
      </c>
      <c r="V121" s="151">
        <f t="shared" si="112"/>
        <v>12</v>
      </c>
      <c r="W121" s="149">
        <f t="shared" si="113"/>
        <v>201.60000000000002</v>
      </c>
      <c r="X121" s="150">
        <v>0</v>
      </c>
      <c r="Y121" s="150">
        <v>0</v>
      </c>
      <c r="Z121" s="149">
        <f t="shared" si="114"/>
        <v>0</v>
      </c>
      <c r="AA121" s="149">
        <f t="shared" si="115"/>
        <v>0</v>
      </c>
      <c r="AB121" s="151">
        <f t="shared" si="116"/>
        <v>12</v>
      </c>
      <c r="AC121" s="149">
        <f t="shared" si="117"/>
        <v>201.60000000000002</v>
      </c>
      <c r="AD121" s="150">
        <v>0</v>
      </c>
      <c r="AE121" s="150">
        <v>0</v>
      </c>
      <c r="AF121" s="149">
        <f t="shared" si="118"/>
        <v>0</v>
      </c>
      <c r="AG121" s="149">
        <f t="shared" si="119"/>
        <v>0</v>
      </c>
      <c r="AH121" s="151">
        <f t="shared" si="92"/>
        <v>12</v>
      </c>
      <c r="AI121" s="149">
        <f t="shared" si="93"/>
        <v>201.60000000000002</v>
      </c>
      <c r="AJ121" s="150">
        <v>0</v>
      </c>
      <c r="AK121" s="150">
        <v>0</v>
      </c>
      <c r="AL121" s="149">
        <f t="shared" si="94"/>
        <v>0</v>
      </c>
      <c r="AM121" s="149">
        <f t="shared" si="95"/>
        <v>0</v>
      </c>
      <c r="AN121" s="151">
        <f t="shared" si="96"/>
        <v>12</v>
      </c>
      <c r="AO121" s="149">
        <f t="shared" si="97"/>
        <v>201.60000000000002</v>
      </c>
      <c r="AP121" s="150">
        <v>0</v>
      </c>
      <c r="AQ121" s="150">
        <v>0</v>
      </c>
      <c r="AR121" s="149">
        <f t="shared" si="98"/>
        <v>0</v>
      </c>
      <c r="AS121" s="149">
        <f t="shared" si="99"/>
        <v>0</v>
      </c>
      <c r="AT121" s="151">
        <f t="shared" si="100"/>
        <v>12</v>
      </c>
      <c r="AU121" s="149">
        <f t="shared" si="101"/>
        <v>201.60000000000002</v>
      </c>
      <c r="AV121" s="150">
        <v>0</v>
      </c>
      <c r="AW121" s="150">
        <v>0</v>
      </c>
      <c r="AX121" s="149">
        <f t="shared" si="102"/>
        <v>0</v>
      </c>
      <c r="AY121" s="149">
        <f t="shared" si="103"/>
        <v>0</v>
      </c>
      <c r="AZ121" s="151">
        <f t="shared" si="120"/>
        <v>12</v>
      </c>
      <c r="BA121" s="149">
        <f t="shared" si="121"/>
        <v>201.60000000000002</v>
      </c>
      <c r="BB121" s="19">
        <v>0</v>
      </c>
      <c r="BC121" s="150">
        <v>0</v>
      </c>
      <c r="BD121" s="149">
        <f t="shared" si="122"/>
        <v>0</v>
      </c>
      <c r="BE121" s="149">
        <f t="shared" si="123"/>
        <v>0</v>
      </c>
      <c r="BF121" s="151">
        <f t="shared" si="124"/>
        <v>12</v>
      </c>
      <c r="BG121" s="149">
        <f t="shared" si="125"/>
        <v>201.60000000000002</v>
      </c>
      <c r="BH121" s="19">
        <v>0</v>
      </c>
      <c r="BI121" s="19">
        <v>0</v>
      </c>
      <c r="BJ121" s="149">
        <f t="shared" si="126"/>
        <v>0</v>
      </c>
      <c r="BK121" s="149">
        <f t="shared" si="127"/>
        <v>0</v>
      </c>
      <c r="BL121" s="151">
        <f t="shared" si="128"/>
        <v>12</v>
      </c>
      <c r="BM121" s="149">
        <f t="shared" si="129"/>
        <v>201.60000000000002</v>
      </c>
      <c r="BN121" s="150">
        <v>0</v>
      </c>
      <c r="BO121" s="150">
        <v>0</v>
      </c>
      <c r="BP121" s="149">
        <f t="shared" si="130"/>
        <v>0</v>
      </c>
      <c r="BQ121" s="149">
        <f t="shared" si="131"/>
        <v>0</v>
      </c>
      <c r="BR121" s="151">
        <f t="shared" si="132"/>
        <v>12</v>
      </c>
      <c r="BS121" s="149">
        <f t="shared" si="133"/>
        <v>201.60000000000002</v>
      </c>
      <c r="BT121" s="150">
        <v>0</v>
      </c>
      <c r="BU121" s="150">
        <v>0</v>
      </c>
      <c r="BV121" s="149">
        <f t="shared" si="134"/>
        <v>0</v>
      </c>
      <c r="BW121" s="149">
        <f t="shared" si="135"/>
        <v>0</v>
      </c>
      <c r="BX121" s="151">
        <f t="shared" si="136"/>
        <v>12</v>
      </c>
      <c r="BY121" s="149">
        <f t="shared" si="137"/>
        <v>201.60000000000002</v>
      </c>
      <c r="BZ121" s="150">
        <v>0</v>
      </c>
      <c r="CA121" s="150">
        <v>0</v>
      </c>
      <c r="CB121" s="149">
        <f t="shared" si="138"/>
        <v>0</v>
      </c>
      <c r="CC121" s="149">
        <f t="shared" si="139"/>
        <v>0</v>
      </c>
      <c r="CD121" s="152">
        <f t="shared" si="142"/>
        <v>12</v>
      </c>
      <c r="CE121" s="153">
        <f t="shared" si="141"/>
        <v>201.60000000000002</v>
      </c>
    </row>
    <row r="122" spans="1:83" s="154" customFormat="1" x14ac:dyDescent="0.25">
      <c r="A122" s="145">
        <v>74</v>
      </c>
      <c r="B122" s="146">
        <v>104</v>
      </c>
      <c r="C122" s="103" t="s">
        <v>186</v>
      </c>
      <c r="D122" s="104" t="s">
        <v>187</v>
      </c>
      <c r="E122" s="145">
        <v>3</v>
      </c>
      <c r="F122" s="145">
        <v>5</v>
      </c>
      <c r="G122" s="145">
        <v>10</v>
      </c>
      <c r="H122" s="147">
        <v>5</v>
      </c>
      <c r="I122" s="148">
        <v>18.5</v>
      </c>
      <c r="J122" s="147">
        <v>5</v>
      </c>
      <c r="K122" s="149">
        <f t="shared" si="104"/>
        <v>92.5</v>
      </c>
      <c r="L122" s="150">
        <v>0</v>
      </c>
      <c r="M122" s="150">
        <v>0</v>
      </c>
      <c r="N122" s="149">
        <f t="shared" si="106"/>
        <v>0</v>
      </c>
      <c r="O122" s="149">
        <f t="shared" si="107"/>
        <v>0</v>
      </c>
      <c r="P122" s="151">
        <f t="shared" si="108"/>
        <v>5</v>
      </c>
      <c r="Q122" s="149">
        <f t="shared" si="109"/>
        <v>92.5</v>
      </c>
      <c r="R122" s="150">
        <v>1</v>
      </c>
      <c r="S122" s="151">
        <v>0</v>
      </c>
      <c r="T122" s="149">
        <f t="shared" si="110"/>
        <v>0</v>
      </c>
      <c r="U122" s="149">
        <f t="shared" si="111"/>
        <v>18.5</v>
      </c>
      <c r="V122" s="151">
        <f t="shared" si="112"/>
        <v>4</v>
      </c>
      <c r="W122" s="149">
        <f t="shared" si="113"/>
        <v>74</v>
      </c>
      <c r="X122" s="150">
        <v>0</v>
      </c>
      <c r="Y122" s="150">
        <v>0</v>
      </c>
      <c r="Z122" s="149">
        <f t="shared" si="114"/>
        <v>0</v>
      </c>
      <c r="AA122" s="149">
        <f t="shared" si="115"/>
        <v>0</v>
      </c>
      <c r="AB122" s="151">
        <f t="shared" si="116"/>
        <v>4</v>
      </c>
      <c r="AC122" s="149">
        <f t="shared" si="117"/>
        <v>74</v>
      </c>
      <c r="AD122" s="150">
        <v>0</v>
      </c>
      <c r="AE122" s="150">
        <v>0</v>
      </c>
      <c r="AF122" s="149">
        <f t="shared" si="118"/>
        <v>0</v>
      </c>
      <c r="AG122" s="149">
        <f t="shared" si="119"/>
        <v>0</v>
      </c>
      <c r="AH122" s="151">
        <f t="shared" si="92"/>
        <v>4</v>
      </c>
      <c r="AI122" s="149">
        <f t="shared" si="93"/>
        <v>74</v>
      </c>
      <c r="AJ122" s="150">
        <v>0</v>
      </c>
      <c r="AK122" s="150">
        <v>0</v>
      </c>
      <c r="AL122" s="149">
        <f t="shared" si="94"/>
        <v>0</v>
      </c>
      <c r="AM122" s="149">
        <f t="shared" si="95"/>
        <v>0</v>
      </c>
      <c r="AN122" s="151">
        <f t="shared" si="96"/>
        <v>4</v>
      </c>
      <c r="AO122" s="149">
        <f t="shared" si="97"/>
        <v>74</v>
      </c>
      <c r="AP122" s="150">
        <v>1</v>
      </c>
      <c r="AQ122" s="150">
        <v>0</v>
      </c>
      <c r="AR122" s="149">
        <f t="shared" si="98"/>
        <v>0</v>
      </c>
      <c r="AS122" s="149">
        <f t="shared" si="99"/>
        <v>18.5</v>
      </c>
      <c r="AT122" s="151">
        <f t="shared" si="100"/>
        <v>3</v>
      </c>
      <c r="AU122" s="149">
        <f t="shared" si="101"/>
        <v>55.5</v>
      </c>
      <c r="AV122" s="150">
        <v>0</v>
      </c>
      <c r="AW122" s="150">
        <v>0</v>
      </c>
      <c r="AX122" s="149">
        <f t="shared" si="102"/>
        <v>0</v>
      </c>
      <c r="AY122" s="149">
        <f t="shared" si="103"/>
        <v>0</v>
      </c>
      <c r="AZ122" s="151">
        <f t="shared" si="120"/>
        <v>3</v>
      </c>
      <c r="BA122" s="149">
        <f t="shared" si="121"/>
        <v>55.5</v>
      </c>
      <c r="BB122" s="19">
        <v>0</v>
      </c>
      <c r="BC122" s="150">
        <v>0</v>
      </c>
      <c r="BD122" s="149">
        <f t="shared" si="122"/>
        <v>0</v>
      </c>
      <c r="BE122" s="149">
        <f t="shared" si="123"/>
        <v>0</v>
      </c>
      <c r="BF122" s="151">
        <f t="shared" si="124"/>
        <v>3</v>
      </c>
      <c r="BG122" s="149">
        <f t="shared" si="125"/>
        <v>55.5</v>
      </c>
      <c r="BH122" s="19">
        <v>0</v>
      </c>
      <c r="BI122" s="19">
        <v>0</v>
      </c>
      <c r="BJ122" s="149">
        <f t="shared" si="126"/>
        <v>0</v>
      </c>
      <c r="BK122" s="149">
        <f t="shared" si="127"/>
        <v>0</v>
      </c>
      <c r="BL122" s="151">
        <f t="shared" si="128"/>
        <v>3</v>
      </c>
      <c r="BM122" s="149">
        <f t="shared" si="129"/>
        <v>55.5</v>
      </c>
      <c r="BN122" s="150">
        <v>0</v>
      </c>
      <c r="BO122" s="150">
        <v>0</v>
      </c>
      <c r="BP122" s="149">
        <f t="shared" si="130"/>
        <v>0</v>
      </c>
      <c r="BQ122" s="149">
        <f t="shared" si="131"/>
        <v>0</v>
      </c>
      <c r="BR122" s="151">
        <f t="shared" si="132"/>
        <v>3</v>
      </c>
      <c r="BS122" s="149">
        <f t="shared" si="133"/>
        <v>55.5</v>
      </c>
      <c r="BT122" s="150">
        <v>0</v>
      </c>
      <c r="BU122" s="150">
        <v>0</v>
      </c>
      <c r="BV122" s="149">
        <f t="shared" si="134"/>
        <v>0</v>
      </c>
      <c r="BW122" s="149">
        <f t="shared" si="135"/>
        <v>0</v>
      </c>
      <c r="BX122" s="151">
        <f t="shared" si="136"/>
        <v>3</v>
      </c>
      <c r="BY122" s="149">
        <f t="shared" si="137"/>
        <v>55.5</v>
      </c>
      <c r="BZ122" s="150">
        <v>0</v>
      </c>
      <c r="CA122" s="150">
        <v>0</v>
      </c>
      <c r="CB122" s="149">
        <f t="shared" si="138"/>
        <v>0</v>
      </c>
      <c r="CC122" s="149">
        <f t="shared" si="139"/>
        <v>0</v>
      </c>
      <c r="CD122" s="152">
        <f t="shared" si="142"/>
        <v>3</v>
      </c>
      <c r="CE122" s="153">
        <f t="shared" si="141"/>
        <v>55.5</v>
      </c>
    </row>
    <row r="123" spans="1:83" s="154" customFormat="1" x14ac:dyDescent="0.3">
      <c r="A123" s="145"/>
      <c r="B123" s="146">
        <v>105</v>
      </c>
      <c r="C123" s="103" t="s">
        <v>188</v>
      </c>
      <c r="D123" s="104" t="s">
        <v>189</v>
      </c>
      <c r="E123" s="104"/>
      <c r="F123" s="104"/>
      <c r="G123" s="104"/>
      <c r="H123" s="147">
        <v>6</v>
      </c>
      <c r="I123" s="153">
        <v>18.5</v>
      </c>
      <c r="J123" s="147">
        <v>6</v>
      </c>
      <c r="K123" s="149">
        <f t="shared" si="104"/>
        <v>111</v>
      </c>
      <c r="L123" s="150">
        <v>0</v>
      </c>
      <c r="M123" s="150">
        <v>0</v>
      </c>
      <c r="N123" s="149">
        <f t="shared" si="106"/>
        <v>0</v>
      </c>
      <c r="O123" s="149">
        <f t="shared" si="107"/>
        <v>0</v>
      </c>
      <c r="P123" s="151">
        <f t="shared" si="108"/>
        <v>6</v>
      </c>
      <c r="Q123" s="149">
        <f t="shared" si="109"/>
        <v>111</v>
      </c>
      <c r="R123" s="150">
        <v>0</v>
      </c>
      <c r="S123" s="151">
        <v>0</v>
      </c>
      <c r="T123" s="149">
        <f t="shared" si="110"/>
        <v>0</v>
      </c>
      <c r="U123" s="149">
        <f t="shared" si="111"/>
        <v>0</v>
      </c>
      <c r="V123" s="151">
        <f t="shared" si="112"/>
        <v>6</v>
      </c>
      <c r="W123" s="149">
        <f t="shared" si="113"/>
        <v>111</v>
      </c>
      <c r="X123" s="150">
        <v>0</v>
      </c>
      <c r="Y123" s="150">
        <v>0</v>
      </c>
      <c r="Z123" s="149">
        <f t="shared" si="114"/>
        <v>0</v>
      </c>
      <c r="AA123" s="149">
        <f t="shared" si="115"/>
        <v>0</v>
      </c>
      <c r="AB123" s="151">
        <f t="shared" si="116"/>
        <v>6</v>
      </c>
      <c r="AC123" s="149">
        <f t="shared" si="117"/>
        <v>111</v>
      </c>
      <c r="AD123" s="150">
        <v>0</v>
      </c>
      <c r="AE123" s="150">
        <v>0</v>
      </c>
      <c r="AF123" s="149">
        <f t="shared" si="118"/>
        <v>0</v>
      </c>
      <c r="AG123" s="149">
        <f t="shared" si="119"/>
        <v>0</v>
      </c>
      <c r="AH123" s="151">
        <f t="shared" si="92"/>
        <v>6</v>
      </c>
      <c r="AI123" s="149">
        <f t="shared" si="93"/>
        <v>111</v>
      </c>
      <c r="AJ123" s="150">
        <v>0</v>
      </c>
      <c r="AK123" s="150">
        <v>0</v>
      </c>
      <c r="AL123" s="149">
        <f t="shared" si="94"/>
        <v>0</v>
      </c>
      <c r="AM123" s="149">
        <f t="shared" si="95"/>
        <v>0</v>
      </c>
      <c r="AN123" s="151">
        <f t="shared" si="96"/>
        <v>6</v>
      </c>
      <c r="AO123" s="149">
        <f t="shared" si="97"/>
        <v>111</v>
      </c>
      <c r="AP123" s="150">
        <v>0</v>
      </c>
      <c r="AQ123" s="150">
        <v>0</v>
      </c>
      <c r="AR123" s="149">
        <f t="shared" si="98"/>
        <v>0</v>
      </c>
      <c r="AS123" s="149">
        <f t="shared" si="99"/>
        <v>0</v>
      </c>
      <c r="AT123" s="151">
        <f t="shared" si="100"/>
        <v>6</v>
      </c>
      <c r="AU123" s="149">
        <f t="shared" si="101"/>
        <v>111</v>
      </c>
      <c r="AV123" s="150">
        <v>0</v>
      </c>
      <c r="AW123" s="150">
        <v>0</v>
      </c>
      <c r="AX123" s="149">
        <f t="shared" si="102"/>
        <v>0</v>
      </c>
      <c r="AY123" s="149">
        <f t="shared" si="103"/>
        <v>0</v>
      </c>
      <c r="AZ123" s="151">
        <f t="shared" si="120"/>
        <v>6</v>
      </c>
      <c r="BA123" s="149">
        <f t="shared" si="121"/>
        <v>111</v>
      </c>
      <c r="BB123" s="19">
        <v>0</v>
      </c>
      <c r="BC123" s="150">
        <v>0</v>
      </c>
      <c r="BD123" s="149">
        <f t="shared" si="122"/>
        <v>0</v>
      </c>
      <c r="BE123" s="149">
        <f t="shared" si="123"/>
        <v>0</v>
      </c>
      <c r="BF123" s="151">
        <f t="shared" si="124"/>
        <v>6</v>
      </c>
      <c r="BG123" s="149">
        <f t="shared" si="125"/>
        <v>111</v>
      </c>
      <c r="BH123" s="19">
        <v>0</v>
      </c>
      <c r="BI123" s="19">
        <v>0</v>
      </c>
      <c r="BJ123" s="149">
        <f t="shared" si="126"/>
        <v>0</v>
      </c>
      <c r="BK123" s="149">
        <f t="shared" si="127"/>
        <v>0</v>
      </c>
      <c r="BL123" s="151">
        <f t="shared" si="128"/>
        <v>6</v>
      </c>
      <c r="BM123" s="149">
        <f t="shared" si="129"/>
        <v>111</v>
      </c>
      <c r="BN123" s="150">
        <v>0</v>
      </c>
      <c r="BO123" s="150">
        <v>0</v>
      </c>
      <c r="BP123" s="149">
        <f t="shared" si="130"/>
        <v>0</v>
      </c>
      <c r="BQ123" s="149">
        <f t="shared" si="131"/>
        <v>0</v>
      </c>
      <c r="BR123" s="151">
        <f t="shared" si="132"/>
        <v>6</v>
      </c>
      <c r="BS123" s="149">
        <f t="shared" si="133"/>
        <v>111</v>
      </c>
      <c r="BT123" s="150">
        <v>0</v>
      </c>
      <c r="BU123" s="150">
        <v>0</v>
      </c>
      <c r="BV123" s="149">
        <f t="shared" si="134"/>
        <v>0</v>
      </c>
      <c r="BW123" s="149">
        <f t="shared" si="135"/>
        <v>0</v>
      </c>
      <c r="BX123" s="151">
        <f t="shared" si="136"/>
        <v>6</v>
      </c>
      <c r="BY123" s="149">
        <f t="shared" si="137"/>
        <v>111</v>
      </c>
      <c r="BZ123" s="150">
        <v>0</v>
      </c>
      <c r="CA123" s="150">
        <v>0</v>
      </c>
      <c r="CB123" s="149">
        <f t="shared" si="138"/>
        <v>0</v>
      </c>
      <c r="CC123" s="149">
        <f t="shared" si="139"/>
        <v>0</v>
      </c>
      <c r="CD123" s="152">
        <f t="shared" si="142"/>
        <v>6</v>
      </c>
      <c r="CE123" s="153">
        <f t="shared" si="141"/>
        <v>111</v>
      </c>
    </row>
    <row r="124" spans="1:83" x14ac:dyDescent="0.25">
      <c r="A124" s="23">
        <v>75</v>
      </c>
      <c r="B124" s="70">
        <v>106</v>
      </c>
      <c r="C124" s="79" t="s">
        <v>190</v>
      </c>
      <c r="D124" s="13" t="s">
        <v>191</v>
      </c>
      <c r="E124" s="23">
        <v>50</v>
      </c>
      <c r="F124" s="23">
        <v>100</v>
      </c>
      <c r="G124" s="23">
        <v>200</v>
      </c>
      <c r="H124" s="34">
        <v>300</v>
      </c>
      <c r="I124" s="30">
        <v>2.2000000000000002</v>
      </c>
      <c r="J124" s="34">
        <v>300</v>
      </c>
      <c r="K124" s="16">
        <f t="shared" si="104"/>
        <v>660</v>
      </c>
      <c r="L124" s="19">
        <v>30</v>
      </c>
      <c r="M124" s="19">
        <v>0</v>
      </c>
      <c r="N124" s="16">
        <f t="shared" si="106"/>
        <v>0</v>
      </c>
      <c r="O124" s="16">
        <f t="shared" si="107"/>
        <v>66</v>
      </c>
      <c r="P124" s="18">
        <f t="shared" si="108"/>
        <v>270</v>
      </c>
      <c r="Q124" s="16">
        <f t="shared" si="109"/>
        <v>594</v>
      </c>
      <c r="R124" s="19">
        <v>0</v>
      </c>
      <c r="S124" s="18">
        <v>0</v>
      </c>
      <c r="T124" s="16">
        <f t="shared" si="110"/>
        <v>0</v>
      </c>
      <c r="U124" s="16">
        <f t="shared" si="111"/>
        <v>0</v>
      </c>
      <c r="V124" s="18">
        <f t="shared" si="112"/>
        <v>270</v>
      </c>
      <c r="W124" s="16">
        <f t="shared" si="113"/>
        <v>594</v>
      </c>
      <c r="X124" s="19">
        <v>0</v>
      </c>
      <c r="Y124" s="19">
        <v>0</v>
      </c>
      <c r="Z124" s="16">
        <f t="shared" si="114"/>
        <v>0</v>
      </c>
      <c r="AA124" s="16">
        <f t="shared" si="115"/>
        <v>0</v>
      </c>
      <c r="AB124" s="18">
        <f t="shared" si="116"/>
        <v>270</v>
      </c>
      <c r="AC124" s="16">
        <f t="shared" si="117"/>
        <v>594</v>
      </c>
      <c r="AD124" s="19">
        <v>0</v>
      </c>
      <c r="AE124" s="19">
        <v>0</v>
      </c>
      <c r="AF124" s="16">
        <f t="shared" si="118"/>
        <v>0</v>
      </c>
      <c r="AG124" s="16">
        <f t="shared" si="119"/>
        <v>0</v>
      </c>
      <c r="AH124" s="18">
        <f t="shared" si="92"/>
        <v>270</v>
      </c>
      <c r="AI124" s="16">
        <f t="shared" si="93"/>
        <v>594</v>
      </c>
      <c r="AJ124" s="19">
        <v>20</v>
      </c>
      <c r="AK124" s="19">
        <v>0</v>
      </c>
      <c r="AL124" s="16">
        <f t="shared" si="94"/>
        <v>0</v>
      </c>
      <c r="AM124" s="16">
        <f t="shared" si="95"/>
        <v>44</v>
      </c>
      <c r="AN124" s="18">
        <f t="shared" si="96"/>
        <v>250</v>
      </c>
      <c r="AO124" s="16">
        <f t="shared" si="97"/>
        <v>550</v>
      </c>
      <c r="AP124" s="19">
        <v>0</v>
      </c>
      <c r="AQ124" s="19">
        <v>0</v>
      </c>
      <c r="AR124" s="16">
        <f t="shared" si="98"/>
        <v>0</v>
      </c>
      <c r="AS124" s="16">
        <f t="shared" si="99"/>
        <v>0</v>
      </c>
      <c r="AT124" s="18">
        <f t="shared" si="100"/>
        <v>250</v>
      </c>
      <c r="AU124" s="16">
        <f t="shared" si="101"/>
        <v>550</v>
      </c>
      <c r="AV124" s="19">
        <v>0</v>
      </c>
      <c r="AW124" s="19">
        <v>0</v>
      </c>
      <c r="AX124" s="16">
        <f t="shared" si="102"/>
        <v>0</v>
      </c>
      <c r="AY124" s="16">
        <f t="shared" si="103"/>
        <v>0</v>
      </c>
      <c r="AZ124" s="18">
        <f t="shared" si="120"/>
        <v>250</v>
      </c>
      <c r="BA124" s="16">
        <f t="shared" si="121"/>
        <v>550</v>
      </c>
      <c r="BB124" s="19">
        <v>0</v>
      </c>
      <c r="BC124" s="19">
        <v>0</v>
      </c>
      <c r="BD124" s="16">
        <f t="shared" si="122"/>
        <v>0</v>
      </c>
      <c r="BE124" s="16">
        <f t="shared" si="123"/>
        <v>0</v>
      </c>
      <c r="BF124" s="18">
        <f t="shared" si="124"/>
        <v>250</v>
      </c>
      <c r="BG124" s="16">
        <f t="shared" si="125"/>
        <v>550</v>
      </c>
      <c r="BH124" s="19">
        <v>0</v>
      </c>
      <c r="BI124" s="19">
        <v>0</v>
      </c>
      <c r="BJ124" s="16">
        <f t="shared" si="126"/>
        <v>0</v>
      </c>
      <c r="BK124" s="16">
        <f t="shared" si="127"/>
        <v>0</v>
      </c>
      <c r="BL124" s="18">
        <f t="shared" si="128"/>
        <v>250</v>
      </c>
      <c r="BM124" s="16">
        <f t="shared" si="129"/>
        <v>550</v>
      </c>
      <c r="BN124" s="19">
        <v>0</v>
      </c>
      <c r="BO124" s="19">
        <v>0</v>
      </c>
      <c r="BP124" s="16">
        <f t="shared" si="130"/>
        <v>0</v>
      </c>
      <c r="BQ124" s="16">
        <f t="shared" si="131"/>
        <v>0</v>
      </c>
      <c r="BR124" s="18">
        <f t="shared" si="132"/>
        <v>250</v>
      </c>
      <c r="BS124" s="16">
        <f t="shared" si="133"/>
        <v>550</v>
      </c>
      <c r="BT124" s="19">
        <v>0</v>
      </c>
      <c r="BU124" s="19">
        <v>0</v>
      </c>
      <c r="BV124" s="16">
        <f t="shared" si="134"/>
        <v>0</v>
      </c>
      <c r="BW124" s="16">
        <f t="shared" si="135"/>
        <v>0</v>
      </c>
      <c r="BX124" s="18">
        <f t="shared" si="136"/>
        <v>250</v>
      </c>
      <c r="BY124" s="16">
        <f t="shared" si="137"/>
        <v>550</v>
      </c>
      <c r="BZ124" s="19">
        <v>0</v>
      </c>
      <c r="CA124" s="19">
        <v>0</v>
      </c>
      <c r="CB124" s="16">
        <f t="shared" si="138"/>
        <v>0</v>
      </c>
      <c r="CC124" s="16">
        <f t="shared" si="139"/>
        <v>0</v>
      </c>
      <c r="CD124" s="20">
        <f t="shared" si="142"/>
        <v>250</v>
      </c>
      <c r="CE124" s="21">
        <f t="shared" si="141"/>
        <v>550</v>
      </c>
    </row>
    <row r="125" spans="1:83" x14ac:dyDescent="0.25">
      <c r="A125" s="23"/>
      <c r="B125" s="70">
        <v>107</v>
      </c>
      <c r="C125" s="79" t="s">
        <v>192</v>
      </c>
      <c r="D125" s="13" t="s">
        <v>193</v>
      </c>
      <c r="E125" s="75"/>
      <c r="F125" s="75"/>
      <c r="G125" s="75"/>
      <c r="H125" s="17">
        <v>1</v>
      </c>
      <c r="I125" s="30">
        <v>24</v>
      </c>
      <c r="J125" s="17">
        <v>1</v>
      </c>
      <c r="K125" s="16">
        <f t="shared" si="104"/>
        <v>24</v>
      </c>
      <c r="L125" s="19">
        <v>0</v>
      </c>
      <c r="M125" s="19">
        <v>0</v>
      </c>
      <c r="N125" s="16">
        <f t="shared" si="106"/>
        <v>0</v>
      </c>
      <c r="O125" s="16">
        <f t="shared" si="107"/>
        <v>0</v>
      </c>
      <c r="P125" s="18">
        <f t="shared" si="108"/>
        <v>1</v>
      </c>
      <c r="Q125" s="16">
        <f t="shared" si="109"/>
        <v>24</v>
      </c>
      <c r="R125" s="19">
        <v>0</v>
      </c>
      <c r="S125" s="18">
        <v>0</v>
      </c>
      <c r="T125" s="16">
        <f t="shared" si="110"/>
        <v>0</v>
      </c>
      <c r="U125" s="16">
        <f t="shared" si="111"/>
        <v>0</v>
      </c>
      <c r="V125" s="18">
        <f t="shared" si="112"/>
        <v>1</v>
      </c>
      <c r="W125" s="16">
        <f t="shared" si="113"/>
        <v>24</v>
      </c>
      <c r="X125" s="19">
        <v>0</v>
      </c>
      <c r="Y125" s="19">
        <v>0</v>
      </c>
      <c r="Z125" s="16">
        <f t="shared" si="114"/>
        <v>0</v>
      </c>
      <c r="AA125" s="16">
        <f t="shared" si="115"/>
        <v>0</v>
      </c>
      <c r="AB125" s="18">
        <f t="shared" si="116"/>
        <v>1</v>
      </c>
      <c r="AC125" s="16">
        <f t="shared" si="117"/>
        <v>24</v>
      </c>
      <c r="AD125" s="19">
        <v>0</v>
      </c>
      <c r="AE125" s="19">
        <v>0</v>
      </c>
      <c r="AF125" s="16">
        <f t="shared" si="118"/>
        <v>0</v>
      </c>
      <c r="AG125" s="16">
        <f t="shared" si="119"/>
        <v>0</v>
      </c>
      <c r="AH125" s="18">
        <f t="shared" si="92"/>
        <v>1</v>
      </c>
      <c r="AI125" s="16">
        <f t="shared" si="93"/>
        <v>24</v>
      </c>
      <c r="AJ125" s="19">
        <v>0</v>
      </c>
      <c r="AK125" s="19">
        <v>0</v>
      </c>
      <c r="AL125" s="16">
        <f t="shared" si="94"/>
        <v>0</v>
      </c>
      <c r="AM125" s="16">
        <f t="shared" si="95"/>
        <v>0</v>
      </c>
      <c r="AN125" s="18">
        <f t="shared" si="96"/>
        <v>1</v>
      </c>
      <c r="AO125" s="16">
        <f t="shared" si="97"/>
        <v>24</v>
      </c>
      <c r="AP125" s="19">
        <v>0</v>
      </c>
      <c r="AQ125" s="19">
        <v>0</v>
      </c>
      <c r="AR125" s="16">
        <f t="shared" si="98"/>
        <v>0</v>
      </c>
      <c r="AS125" s="16">
        <f t="shared" si="99"/>
        <v>0</v>
      </c>
      <c r="AT125" s="18">
        <f t="shared" si="100"/>
        <v>1</v>
      </c>
      <c r="AU125" s="16">
        <f t="shared" si="101"/>
        <v>24</v>
      </c>
      <c r="AV125" s="19">
        <v>0</v>
      </c>
      <c r="AW125" s="19">
        <v>0</v>
      </c>
      <c r="AX125" s="16">
        <f t="shared" si="102"/>
        <v>0</v>
      </c>
      <c r="AY125" s="16">
        <f t="shared" si="103"/>
        <v>0</v>
      </c>
      <c r="AZ125" s="18">
        <f t="shared" si="120"/>
        <v>1</v>
      </c>
      <c r="BA125" s="16">
        <f t="shared" si="121"/>
        <v>24</v>
      </c>
      <c r="BB125" s="19">
        <v>0</v>
      </c>
      <c r="BC125" s="19">
        <v>0</v>
      </c>
      <c r="BD125" s="16">
        <f t="shared" si="122"/>
        <v>0</v>
      </c>
      <c r="BE125" s="16">
        <f t="shared" si="123"/>
        <v>0</v>
      </c>
      <c r="BF125" s="18">
        <f t="shared" si="124"/>
        <v>1</v>
      </c>
      <c r="BG125" s="16">
        <f t="shared" si="125"/>
        <v>24</v>
      </c>
      <c r="BH125" s="19">
        <v>0</v>
      </c>
      <c r="BI125" s="19">
        <v>0</v>
      </c>
      <c r="BJ125" s="16">
        <f t="shared" si="126"/>
        <v>0</v>
      </c>
      <c r="BK125" s="16">
        <f t="shared" si="127"/>
        <v>0</v>
      </c>
      <c r="BL125" s="18">
        <f t="shared" si="128"/>
        <v>1</v>
      </c>
      <c r="BM125" s="16">
        <f t="shared" si="129"/>
        <v>24</v>
      </c>
      <c r="BN125" s="19">
        <v>0</v>
      </c>
      <c r="BO125" s="19">
        <v>0</v>
      </c>
      <c r="BP125" s="16">
        <f t="shared" si="130"/>
        <v>0</v>
      </c>
      <c r="BQ125" s="16">
        <f t="shared" si="131"/>
        <v>0</v>
      </c>
      <c r="BR125" s="18">
        <f t="shared" si="132"/>
        <v>1</v>
      </c>
      <c r="BS125" s="16">
        <f t="shared" si="133"/>
        <v>24</v>
      </c>
      <c r="BT125" s="19">
        <v>0</v>
      </c>
      <c r="BU125" s="19">
        <v>0</v>
      </c>
      <c r="BV125" s="16">
        <f t="shared" si="134"/>
        <v>0</v>
      </c>
      <c r="BW125" s="16">
        <f t="shared" si="135"/>
        <v>0</v>
      </c>
      <c r="BX125" s="18">
        <f t="shared" si="136"/>
        <v>1</v>
      </c>
      <c r="BY125" s="16">
        <f t="shared" si="137"/>
        <v>24</v>
      </c>
      <c r="BZ125" s="19">
        <v>0</v>
      </c>
      <c r="CA125" s="19">
        <v>0</v>
      </c>
      <c r="CB125" s="16">
        <f t="shared" si="138"/>
        <v>0</v>
      </c>
      <c r="CC125" s="16">
        <f t="shared" si="139"/>
        <v>0</v>
      </c>
      <c r="CD125" s="20">
        <f t="shared" si="142"/>
        <v>1</v>
      </c>
      <c r="CE125" s="21">
        <f t="shared" si="141"/>
        <v>24</v>
      </c>
    </row>
    <row r="126" spans="1:83" ht="18" customHeight="1" x14ac:dyDescent="0.25">
      <c r="A126" s="23">
        <v>77</v>
      </c>
      <c r="B126" s="70">
        <v>108</v>
      </c>
      <c r="C126" s="79" t="s">
        <v>194</v>
      </c>
      <c r="D126" s="13" t="s">
        <v>195</v>
      </c>
      <c r="E126" s="23">
        <v>1</v>
      </c>
      <c r="F126" s="23">
        <v>2</v>
      </c>
      <c r="G126" s="23">
        <v>3</v>
      </c>
      <c r="H126" s="17">
        <v>4</v>
      </c>
      <c r="I126" s="30">
        <v>5.2</v>
      </c>
      <c r="J126" s="17">
        <v>4</v>
      </c>
      <c r="K126" s="16">
        <f t="shared" si="104"/>
        <v>20.8</v>
      </c>
      <c r="L126" s="19">
        <v>0</v>
      </c>
      <c r="M126" s="19">
        <v>0</v>
      </c>
      <c r="N126" s="16">
        <f t="shared" si="106"/>
        <v>0</v>
      </c>
      <c r="O126" s="16">
        <f t="shared" si="107"/>
        <v>0</v>
      </c>
      <c r="P126" s="18">
        <f t="shared" si="108"/>
        <v>4</v>
      </c>
      <c r="Q126" s="16">
        <f t="shared" si="109"/>
        <v>20.8</v>
      </c>
      <c r="R126" s="19">
        <v>0</v>
      </c>
      <c r="S126" s="18">
        <v>0</v>
      </c>
      <c r="T126" s="16">
        <f t="shared" si="110"/>
        <v>0</v>
      </c>
      <c r="U126" s="16">
        <f t="shared" si="111"/>
        <v>0</v>
      </c>
      <c r="V126" s="18">
        <f t="shared" si="112"/>
        <v>4</v>
      </c>
      <c r="W126" s="16">
        <f t="shared" si="113"/>
        <v>20.8</v>
      </c>
      <c r="X126" s="19">
        <v>1</v>
      </c>
      <c r="Y126" s="19">
        <v>0</v>
      </c>
      <c r="Z126" s="16">
        <f t="shared" si="114"/>
        <v>0</v>
      </c>
      <c r="AA126" s="16">
        <f t="shared" si="115"/>
        <v>5.2</v>
      </c>
      <c r="AB126" s="18">
        <f t="shared" si="116"/>
        <v>3</v>
      </c>
      <c r="AC126" s="16">
        <f t="shared" si="117"/>
        <v>15.600000000000001</v>
      </c>
      <c r="AD126" s="19">
        <v>0</v>
      </c>
      <c r="AE126" s="19">
        <v>0</v>
      </c>
      <c r="AF126" s="16">
        <f t="shared" si="118"/>
        <v>0</v>
      </c>
      <c r="AG126" s="16">
        <f t="shared" si="119"/>
        <v>0</v>
      </c>
      <c r="AH126" s="18">
        <f t="shared" si="92"/>
        <v>3</v>
      </c>
      <c r="AI126" s="16">
        <f t="shared" si="93"/>
        <v>15.600000000000001</v>
      </c>
      <c r="AJ126" s="19">
        <v>0</v>
      </c>
      <c r="AK126" s="19">
        <v>0</v>
      </c>
      <c r="AL126" s="16">
        <f t="shared" si="94"/>
        <v>0</v>
      </c>
      <c r="AM126" s="16">
        <f t="shared" si="95"/>
        <v>0</v>
      </c>
      <c r="AN126" s="18">
        <f t="shared" si="96"/>
        <v>3</v>
      </c>
      <c r="AO126" s="16">
        <f t="shared" si="97"/>
        <v>15.600000000000001</v>
      </c>
      <c r="AP126" s="19">
        <v>0</v>
      </c>
      <c r="AQ126" s="19">
        <v>0</v>
      </c>
      <c r="AR126" s="16">
        <f t="shared" si="98"/>
        <v>0</v>
      </c>
      <c r="AS126" s="16">
        <f t="shared" si="99"/>
        <v>0</v>
      </c>
      <c r="AT126" s="18">
        <f t="shared" si="100"/>
        <v>3</v>
      </c>
      <c r="AU126" s="16">
        <f t="shared" si="101"/>
        <v>15.600000000000001</v>
      </c>
      <c r="AV126" s="19">
        <v>0</v>
      </c>
      <c r="AW126" s="19">
        <v>0</v>
      </c>
      <c r="AX126" s="16">
        <f t="shared" si="102"/>
        <v>0</v>
      </c>
      <c r="AY126" s="16">
        <f t="shared" si="103"/>
        <v>0</v>
      </c>
      <c r="AZ126" s="18">
        <f t="shared" si="120"/>
        <v>3</v>
      </c>
      <c r="BA126" s="16">
        <f t="shared" si="121"/>
        <v>15.600000000000001</v>
      </c>
      <c r="BB126" s="19">
        <v>0</v>
      </c>
      <c r="BC126" s="19">
        <v>0</v>
      </c>
      <c r="BD126" s="16">
        <f t="shared" si="122"/>
        <v>0</v>
      </c>
      <c r="BE126" s="16">
        <f t="shared" si="123"/>
        <v>0</v>
      </c>
      <c r="BF126" s="18">
        <f t="shared" si="124"/>
        <v>3</v>
      </c>
      <c r="BG126" s="16">
        <f t="shared" si="125"/>
        <v>15.600000000000001</v>
      </c>
      <c r="BH126" s="19">
        <v>0</v>
      </c>
      <c r="BI126" s="19">
        <v>0</v>
      </c>
      <c r="BJ126" s="16">
        <f t="shared" si="126"/>
        <v>0</v>
      </c>
      <c r="BK126" s="16">
        <f t="shared" si="127"/>
        <v>0</v>
      </c>
      <c r="BL126" s="18">
        <f t="shared" si="128"/>
        <v>3</v>
      </c>
      <c r="BM126" s="16">
        <f t="shared" si="129"/>
        <v>15.600000000000001</v>
      </c>
      <c r="BN126" s="19">
        <v>0</v>
      </c>
      <c r="BO126" s="19">
        <v>0</v>
      </c>
      <c r="BP126" s="16">
        <f t="shared" si="130"/>
        <v>0</v>
      </c>
      <c r="BQ126" s="16">
        <f t="shared" si="131"/>
        <v>0</v>
      </c>
      <c r="BR126" s="18">
        <f t="shared" si="132"/>
        <v>3</v>
      </c>
      <c r="BS126" s="16">
        <f t="shared" si="133"/>
        <v>15.600000000000001</v>
      </c>
      <c r="BT126" s="19">
        <v>0</v>
      </c>
      <c r="BU126" s="19">
        <v>0</v>
      </c>
      <c r="BV126" s="16">
        <f t="shared" si="134"/>
        <v>0</v>
      </c>
      <c r="BW126" s="16">
        <f t="shared" si="135"/>
        <v>0</v>
      </c>
      <c r="BX126" s="18">
        <f t="shared" si="136"/>
        <v>3</v>
      </c>
      <c r="BY126" s="16">
        <f t="shared" si="137"/>
        <v>15.600000000000001</v>
      </c>
      <c r="BZ126" s="19">
        <v>0</v>
      </c>
      <c r="CA126" s="19">
        <v>0</v>
      </c>
      <c r="CB126" s="16">
        <f t="shared" si="138"/>
        <v>0</v>
      </c>
      <c r="CC126" s="16">
        <f t="shared" si="139"/>
        <v>0</v>
      </c>
      <c r="CD126" s="20">
        <f t="shared" si="142"/>
        <v>3</v>
      </c>
      <c r="CE126" s="21">
        <f t="shared" si="141"/>
        <v>15.600000000000001</v>
      </c>
    </row>
    <row r="127" spans="1:83" x14ac:dyDescent="0.25">
      <c r="A127" s="23"/>
      <c r="B127" s="70">
        <v>109</v>
      </c>
      <c r="C127" s="79" t="s">
        <v>196</v>
      </c>
      <c r="D127" s="13" t="s">
        <v>197</v>
      </c>
      <c r="E127" s="22">
        <v>20</v>
      </c>
      <c r="F127" s="22">
        <v>30</v>
      </c>
      <c r="G127" s="22">
        <v>40</v>
      </c>
      <c r="H127" s="17">
        <v>28</v>
      </c>
      <c r="I127" s="30">
        <v>3.9</v>
      </c>
      <c r="J127" s="17">
        <v>28</v>
      </c>
      <c r="K127" s="16">
        <f t="shared" si="104"/>
        <v>109.2</v>
      </c>
      <c r="L127" s="19">
        <v>5</v>
      </c>
      <c r="M127" s="19">
        <v>0</v>
      </c>
      <c r="N127" s="16">
        <f t="shared" si="106"/>
        <v>0</v>
      </c>
      <c r="O127" s="16">
        <f t="shared" si="107"/>
        <v>19.5</v>
      </c>
      <c r="P127" s="18">
        <f t="shared" si="108"/>
        <v>23</v>
      </c>
      <c r="Q127" s="16">
        <f t="shared" si="109"/>
        <v>89.7</v>
      </c>
      <c r="R127" s="19">
        <v>2</v>
      </c>
      <c r="S127" s="18">
        <v>0</v>
      </c>
      <c r="T127" s="16">
        <f t="shared" si="110"/>
        <v>0</v>
      </c>
      <c r="U127" s="16">
        <f t="shared" si="111"/>
        <v>7.8</v>
      </c>
      <c r="V127" s="18">
        <f t="shared" si="112"/>
        <v>21</v>
      </c>
      <c r="W127" s="16">
        <f t="shared" si="113"/>
        <v>81.899999999999991</v>
      </c>
      <c r="X127" s="19">
        <v>0</v>
      </c>
      <c r="Y127" s="19">
        <v>0</v>
      </c>
      <c r="Z127" s="16">
        <f t="shared" si="114"/>
        <v>0</v>
      </c>
      <c r="AA127" s="16">
        <f t="shared" si="115"/>
        <v>0</v>
      </c>
      <c r="AB127" s="18">
        <f t="shared" si="116"/>
        <v>21</v>
      </c>
      <c r="AC127" s="16">
        <f t="shared" si="117"/>
        <v>81.899999999999991</v>
      </c>
      <c r="AD127" s="19">
        <v>4</v>
      </c>
      <c r="AE127" s="19">
        <v>0</v>
      </c>
      <c r="AF127" s="16">
        <f t="shared" si="118"/>
        <v>0</v>
      </c>
      <c r="AG127" s="16">
        <f t="shared" si="119"/>
        <v>15.6</v>
      </c>
      <c r="AH127" s="18">
        <f t="shared" si="92"/>
        <v>17</v>
      </c>
      <c r="AI127" s="16">
        <f t="shared" si="93"/>
        <v>66.3</v>
      </c>
      <c r="AJ127" s="19">
        <v>0</v>
      </c>
      <c r="AK127" s="19">
        <v>0</v>
      </c>
      <c r="AL127" s="16">
        <f t="shared" si="94"/>
        <v>0</v>
      </c>
      <c r="AM127" s="16">
        <f t="shared" si="95"/>
        <v>0</v>
      </c>
      <c r="AN127" s="18">
        <f t="shared" si="96"/>
        <v>17</v>
      </c>
      <c r="AO127" s="16">
        <f t="shared" si="97"/>
        <v>66.3</v>
      </c>
      <c r="AP127" s="19">
        <v>1</v>
      </c>
      <c r="AQ127" s="19">
        <v>0</v>
      </c>
      <c r="AR127" s="16">
        <f t="shared" si="98"/>
        <v>0</v>
      </c>
      <c r="AS127" s="16">
        <f t="shared" si="99"/>
        <v>3.9</v>
      </c>
      <c r="AT127" s="18">
        <f t="shared" si="100"/>
        <v>16</v>
      </c>
      <c r="AU127" s="16">
        <f t="shared" si="101"/>
        <v>62.4</v>
      </c>
      <c r="AV127" s="19">
        <v>0</v>
      </c>
      <c r="AW127" s="19">
        <v>0</v>
      </c>
      <c r="AX127" s="16">
        <f t="shared" si="102"/>
        <v>0</v>
      </c>
      <c r="AY127" s="16">
        <f t="shared" si="103"/>
        <v>0</v>
      </c>
      <c r="AZ127" s="18">
        <f t="shared" si="120"/>
        <v>16</v>
      </c>
      <c r="BA127" s="16">
        <f t="shared" si="121"/>
        <v>62.4</v>
      </c>
      <c r="BB127" s="19">
        <v>1</v>
      </c>
      <c r="BC127" s="19">
        <v>0</v>
      </c>
      <c r="BD127" s="16">
        <f t="shared" si="122"/>
        <v>0</v>
      </c>
      <c r="BE127" s="16">
        <f t="shared" si="123"/>
        <v>3.9</v>
      </c>
      <c r="BF127" s="18">
        <f t="shared" si="124"/>
        <v>15</v>
      </c>
      <c r="BG127" s="16">
        <f t="shared" si="125"/>
        <v>58.5</v>
      </c>
      <c r="BH127" s="19">
        <v>0</v>
      </c>
      <c r="BI127" s="19">
        <v>0</v>
      </c>
      <c r="BJ127" s="16">
        <f t="shared" si="126"/>
        <v>0</v>
      </c>
      <c r="BK127" s="16">
        <f t="shared" si="127"/>
        <v>0</v>
      </c>
      <c r="BL127" s="18">
        <f t="shared" si="128"/>
        <v>15</v>
      </c>
      <c r="BM127" s="16">
        <f t="shared" si="129"/>
        <v>58.5</v>
      </c>
      <c r="BN127" s="19">
        <v>0</v>
      </c>
      <c r="BO127" s="19">
        <v>0</v>
      </c>
      <c r="BP127" s="16">
        <f t="shared" si="130"/>
        <v>0</v>
      </c>
      <c r="BQ127" s="16">
        <f t="shared" si="131"/>
        <v>0</v>
      </c>
      <c r="BR127" s="18">
        <f t="shared" si="132"/>
        <v>15</v>
      </c>
      <c r="BS127" s="16">
        <f t="shared" si="133"/>
        <v>58.5</v>
      </c>
      <c r="BT127" s="19">
        <v>0</v>
      </c>
      <c r="BU127" s="19">
        <v>0</v>
      </c>
      <c r="BV127" s="16">
        <f t="shared" si="134"/>
        <v>0</v>
      </c>
      <c r="BW127" s="16">
        <f t="shared" si="135"/>
        <v>0</v>
      </c>
      <c r="BX127" s="18">
        <f t="shared" si="136"/>
        <v>15</v>
      </c>
      <c r="BY127" s="16">
        <f t="shared" si="137"/>
        <v>58.5</v>
      </c>
      <c r="BZ127" s="19">
        <v>0</v>
      </c>
      <c r="CA127" s="19">
        <v>0</v>
      </c>
      <c r="CB127" s="16">
        <f t="shared" si="138"/>
        <v>0</v>
      </c>
      <c r="CC127" s="16">
        <f t="shared" si="139"/>
        <v>0</v>
      </c>
      <c r="CD127" s="20">
        <f t="shared" si="142"/>
        <v>15</v>
      </c>
      <c r="CE127" s="21">
        <f t="shared" si="141"/>
        <v>58.5</v>
      </c>
    </row>
    <row r="128" spans="1:83" x14ac:dyDescent="0.25">
      <c r="A128" s="23"/>
      <c r="B128" s="70">
        <v>110</v>
      </c>
      <c r="C128" s="174" t="s">
        <v>198</v>
      </c>
      <c r="D128" s="13" t="s">
        <v>199</v>
      </c>
      <c r="E128" s="22">
        <v>10</v>
      </c>
      <c r="F128" s="22">
        <v>20</v>
      </c>
      <c r="G128" s="22">
        <v>30</v>
      </c>
      <c r="H128" s="17">
        <v>10</v>
      </c>
      <c r="I128" s="30">
        <v>1.2</v>
      </c>
      <c r="J128" s="17">
        <v>10</v>
      </c>
      <c r="K128" s="16">
        <f t="shared" si="104"/>
        <v>12</v>
      </c>
      <c r="L128" s="19">
        <v>2</v>
      </c>
      <c r="M128" s="19">
        <v>0</v>
      </c>
      <c r="N128" s="16">
        <f t="shared" si="106"/>
        <v>0</v>
      </c>
      <c r="O128" s="16">
        <f t="shared" si="107"/>
        <v>2.4</v>
      </c>
      <c r="P128" s="18">
        <f t="shared" si="108"/>
        <v>8</v>
      </c>
      <c r="Q128" s="16">
        <f t="shared" si="109"/>
        <v>9.6</v>
      </c>
      <c r="R128" s="19">
        <v>0</v>
      </c>
      <c r="S128" s="18">
        <v>0</v>
      </c>
      <c r="T128" s="16">
        <f t="shared" si="110"/>
        <v>0</v>
      </c>
      <c r="U128" s="16">
        <f t="shared" si="111"/>
        <v>0</v>
      </c>
      <c r="V128" s="18">
        <f t="shared" si="112"/>
        <v>8</v>
      </c>
      <c r="W128" s="16">
        <f t="shared" si="113"/>
        <v>9.6</v>
      </c>
      <c r="X128" s="19">
        <v>0</v>
      </c>
      <c r="Y128" s="19">
        <v>0</v>
      </c>
      <c r="Z128" s="16">
        <f t="shared" si="114"/>
        <v>0</v>
      </c>
      <c r="AA128" s="16">
        <f t="shared" si="115"/>
        <v>0</v>
      </c>
      <c r="AB128" s="18">
        <f t="shared" si="116"/>
        <v>8</v>
      </c>
      <c r="AC128" s="16">
        <f t="shared" si="117"/>
        <v>9.6</v>
      </c>
      <c r="AD128" s="19">
        <v>0</v>
      </c>
      <c r="AE128" s="19">
        <v>0</v>
      </c>
      <c r="AF128" s="16">
        <f t="shared" si="118"/>
        <v>0</v>
      </c>
      <c r="AG128" s="16">
        <f t="shared" si="119"/>
        <v>0</v>
      </c>
      <c r="AH128" s="18">
        <f t="shared" si="92"/>
        <v>8</v>
      </c>
      <c r="AI128" s="16">
        <f t="shared" si="93"/>
        <v>9.6</v>
      </c>
      <c r="AJ128" s="19">
        <v>0</v>
      </c>
      <c r="AK128" s="19">
        <v>0</v>
      </c>
      <c r="AL128" s="16">
        <f t="shared" si="94"/>
        <v>0</v>
      </c>
      <c r="AM128" s="16">
        <f t="shared" si="95"/>
        <v>0</v>
      </c>
      <c r="AN128" s="18">
        <f t="shared" si="96"/>
        <v>8</v>
      </c>
      <c r="AO128" s="16">
        <f t="shared" si="97"/>
        <v>9.6</v>
      </c>
      <c r="AP128" s="19">
        <v>0</v>
      </c>
      <c r="AQ128" s="19">
        <v>0</v>
      </c>
      <c r="AR128" s="16">
        <f t="shared" si="98"/>
        <v>0</v>
      </c>
      <c r="AS128" s="16">
        <f t="shared" si="99"/>
        <v>0</v>
      </c>
      <c r="AT128" s="18">
        <f t="shared" si="100"/>
        <v>8</v>
      </c>
      <c r="AU128" s="16">
        <f t="shared" si="101"/>
        <v>9.6</v>
      </c>
      <c r="AV128" s="19">
        <v>0</v>
      </c>
      <c r="AW128" s="19">
        <v>0</v>
      </c>
      <c r="AX128" s="16">
        <f t="shared" si="102"/>
        <v>0</v>
      </c>
      <c r="AY128" s="16">
        <f t="shared" si="103"/>
        <v>0</v>
      </c>
      <c r="AZ128" s="18">
        <f t="shared" si="120"/>
        <v>8</v>
      </c>
      <c r="BA128" s="16">
        <f t="shared" si="121"/>
        <v>9.6</v>
      </c>
      <c r="BB128" s="19">
        <v>0</v>
      </c>
      <c r="BC128" s="19">
        <v>0</v>
      </c>
      <c r="BD128" s="16">
        <f t="shared" si="122"/>
        <v>0</v>
      </c>
      <c r="BE128" s="16">
        <f t="shared" si="123"/>
        <v>0</v>
      </c>
      <c r="BF128" s="18">
        <f t="shared" si="124"/>
        <v>8</v>
      </c>
      <c r="BG128" s="16">
        <f t="shared" si="125"/>
        <v>9.6</v>
      </c>
      <c r="BH128" s="19">
        <v>0</v>
      </c>
      <c r="BI128" s="19">
        <v>0</v>
      </c>
      <c r="BJ128" s="16">
        <f t="shared" si="126"/>
        <v>0</v>
      </c>
      <c r="BK128" s="16">
        <f t="shared" si="127"/>
        <v>0</v>
      </c>
      <c r="BL128" s="18">
        <f t="shared" si="128"/>
        <v>8</v>
      </c>
      <c r="BM128" s="16">
        <f t="shared" si="129"/>
        <v>9.6</v>
      </c>
      <c r="BN128" s="19">
        <v>0</v>
      </c>
      <c r="BO128" s="19">
        <v>0</v>
      </c>
      <c r="BP128" s="16">
        <f t="shared" si="130"/>
        <v>0</v>
      </c>
      <c r="BQ128" s="16">
        <f t="shared" si="131"/>
        <v>0</v>
      </c>
      <c r="BR128" s="18">
        <f t="shared" si="132"/>
        <v>8</v>
      </c>
      <c r="BS128" s="16">
        <f t="shared" si="133"/>
        <v>9.6</v>
      </c>
      <c r="BT128" s="19">
        <v>0</v>
      </c>
      <c r="BU128" s="19">
        <v>0</v>
      </c>
      <c r="BV128" s="16">
        <f t="shared" si="134"/>
        <v>0</v>
      </c>
      <c r="BW128" s="16">
        <f t="shared" si="135"/>
        <v>0</v>
      </c>
      <c r="BX128" s="18">
        <f t="shared" si="136"/>
        <v>8</v>
      </c>
      <c r="BY128" s="16">
        <f t="shared" si="137"/>
        <v>9.6</v>
      </c>
      <c r="BZ128" s="19">
        <v>0</v>
      </c>
      <c r="CA128" s="19">
        <v>0</v>
      </c>
      <c r="CB128" s="16">
        <f t="shared" si="138"/>
        <v>0</v>
      </c>
      <c r="CC128" s="16">
        <f t="shared" si="139"/>
        <v>0</v>
      </c>
      <c r="CD128" s="20">
        <f t="shared" si="142"/>
        <v>8</v>
      </c>
      <c r="CE128" s="21">
        <f t="shared" si="141"/>
        <v>9.6</v>
      </c>
    </row>
    <row r="129" spans="1:83" x14ac:dyDescent="0.25">
      <c r="A129" s="23"/>
      <c r="B129" s="70">
        <v>111</v>
      </c>
      <c r="C129" s="175"/>
      <c r="D129" s="13" t="s">
        <v>353</v>
      </c>
      <c r="E129" s="22"/>
      <c r="F129" s="22"/>
      <c r="G129" s="22"/>
      <c r="H129" s="17">
        <v>21</v>
      </c>
      <c r="I129" s="30">
        <v>0.85</v>
      </c>
      <c r="J129" s="17">
        <v>21</v>
      </c>
      <c r="K129" s="16">
        <f t="shared" si="104"/>
        <v>17.849999999999998</v>
      </c>
      <c r="L129" s="19">
        <v>0</v>
      </c>
      <c r="M129" s="19">
        <v>0</v>
      </c>
      <c r="N129" s="16">
        <f t="shared" si="106"/>
        <v>0</v>
      </c>
      <c r="O129" s="16">
        <f t="shared" si="107"/>
        <v>0</v>
      </c>
      <c r="P129" s="18">
        <f t="shared" si="108"/>
        <v>21</v>
      </c>
      <c r="Q129" s="16">
        <f t="shared" si="109"/>
        <v>17.849999999999998</v>
      </c>
      <c r="R129" s="19">
        <v>0</v>
      </c>
      <c r="S129" s="18">
        <v>0</v>
      </c>
      <c r="T129" s="16">
        <f t="shared" si="110"/>
        <v>0</v>
      </c>
      <c r="U129" s="16">
        <f t="shared" si="111"/>
        <v>0</v>
      </c>
      <c r="V129" s="18">
        <f t="shared" si="112"/>
        <v>21</v>
      </c>
      <c r="W129" s="16">
        <f t="shared" si="113"/>
        <v>17.849999999999998</v>
      </c>
      <c r="X129" s="19">
        <v>0</v>
      </c>
      <c r="Y129" s="19">
        <v>0</v>
      </c>
      <c r="Z129" s="16">
        <f t="shared" si="114"/>
        <v>0</v>
      </c>
      <c r="AA129" s="16">
        <f t="shared" si="115"/>
        <v>0</v>
      </c>
      <c r="AB129" s="18">
        <f t="shared" si="116"/>
        <v>21</v>
      </c>
      <c r="AC129" s="16">
        <f t="shared" si="117"/>
        <v>17.849999999999998</v>
      </c>
      <c r="AD129" s="19">
        <v>0</v>
      </c>
      <c r="AE129" s="19">
        <v>0</v>
      </c>
      <c r="AF129" s="16">
        <f t="shared" si="118"/>
        <v>0</v>
      </c>
      <c r="AG129" s="16">
        <f t="shared" si="119"/>
        <v>0</v>
      </c>
      <c r="AH129" s="18">
        <f t="shared" si="92"/>
        <v>21</v>
      </c>
      <c r="AI129" s="16">
        <f t="shared" si="93"/>
        <v>17.849999999999998</v>
      </c>
      <c r="AJ129" s="19">
        <v>0</v>
      </c>
      <c r="AK129" s="19">
        <v>0</v>
      </c>
      <c r="AL129" s="16">
        <f t="shared" si="94"/>
        <v>0</v>
      </c>
      <c r="AM129" s="16">
        <f t="shared" si="95"/>
        <v>0</v>
      </c>
      <c r="AN129" s="18">
        <f t="shared" si="96"/>
        <v>21</v>
      </c>
      <c r="AO129" s="16">
        <f t="shared" si="97"/>
        <v>17.849999999999998</v>
      </c>
      <c r="AP129" s="19">
        <v>0</v>
      </c>
      <c r="AQ129" s="19">
        <v>0</v>
      </c>
      <c r="AR129" s="16">
        <f t="shared" si="98"/>
        <v>0</v>
      </c>
      <c r="AS129" s="16">
        <f t="shared" si="99"/>
        <v>0</v>
      </c>
      <c r="AT129" s="18">
        <f t="shared" si="100"/>
        <v>21</v>
      </c>
      <c r="AU129" s="16">
        <f t="shared" si="101"/>
        <v>17.849999999999998</v>
      </c>
      <c r="AV129" s="19">
        <v>0</v>
      </c>
      <c r="AW129" s="19">
        <v>0</v>
      </c>
      <c r="AX129" s="16">
        <f t="shared" si="102"/>
        <v>0</v>
      </c>
      <c r="AY129" s="16">
        <f t="shared" si="103"/>
        <v>0</v>
      </c>
      <c r="AZ129" s="18">
        <f t="shared" si="120"/>
        <v>21</v>
      </c>
      <c r="BA129" s="16">
        <f t="shared" si="121"/>
        <v>17.849999999999998</v>
      </c>
      <c r="BB129" s="19">
        <v>0</v>
      </c>
      <c r="BC129" s="19">
        <v>0</v>
      </c>
      <c r="BD129" s="16">
        <f t="shared" si="122"/>
        <v>0</v>
      </c>
      <c r="BE129" s="16">
        <f t="shared" si="123"/>
        <v>0</v>
      </c>
      <c r="BF129" s="18">
        <f t="shared" si="124"/>
        <v>21</v>
      </c>
      <c r="BG129" s="16">
        <f t="shared" si="125"/>
        <v>17.849999999999998</v>
      </c>
      <c r="BH129" s="19">
        <v>0</v>
      </c>
      <c r="BI129" s="19">
        <v>0</v>
      </c>
      <c r="BJ129" s="16">
        <f t="shared" si="126"/>
        <v>0</v>
      </c>
      <c r="BK129" s="16">
        <f t="shared" si="127"/>
        <v>0</v>
      </c>
      <c r="BL129" s="18">
        <f t="shared" si="128"/>
        <v>21</v>
      </c>
      <c r="BM129" s="16">
        <f t="shared" si="129"/>
        <v>17.849999999999998</v>
      </c>
      <c r="BN129" s="19">
        <v>0</v>
      </c>
      <c r="BO129" s="19">
        <v>0</v>
      </c>
      <c r="BP129" s="16">
        <f t="shared" si="130"/>
        <v>0</v>
      </c>
      <c r="BQ129" s="16">
        <f t="shared" si="131"/>
        <v>0</v>
      </c>
      <c r="BR129" s="18">
        <f t="shared" si="132"/>
        <v>21</v>
      </c>
      <c r="BS129" s="16">
        <f t="shared" si="133"/>
        <v>17.849999999999998</v>
      </c>
      <c r="BT129" s="19">
        <v>0</v>
      </c>
      <c r="BU129" s="19">
        <v>0</v>
      </c>
      <c r="BV129" s="16">
        <f t="shared" si="134"/>
        <v>0</v>
      </c>
      <c r="BW129" s="16">
        <f t="shared" si="135"/>
        <v>0</v>
      </c>
      <c r="BX129" s="18">
        <f t="shared" si="136"/>
        <v>21</v>
      </c>
      <c r="BY129" s="16">
        <f t="shared" si="137"/>
        <v>17.849999999999998</v>
      </c>
      <c r="BZ129" s="19">
        <v>0</v>
      </c>
      <c r="CA129" s="19">
        <v>0</v>
      </c>
      <c r="CB129" s="16">
        <f t="shared" si="138"/>
        <v>0</v>
      </c>
      <c r="CC129" s="16">
        <f t="shared" si="139"/>
        <v>0</v>
      </c>
      <c r="CD129" s="20">
        <f t="shared" si="142"/>
        <v>21</v>
      </c>
      <c r="CE129" s="21">
        <f t="shared" si="141"/>
        <v>17.849999999999998</v>
      </c>
    </row>
    <row r="130" spans="1:83" x14ac:dyDescent="0.25">
      <c r="A130" s="23"/>
      <c r="B130" s="70">
        <v>112</v>
      </c>
      <c r="C130" s="79" t="s">
        <v>200</v>
      </c>
      <c r="D130" s="13" t="s">
        <v>201</v>
      </c>
      <c r="E130" s="22">
        <v>10</v>
      </c>
      <c r="F130" s="22">
        <v>20</v>
      </c>
      <c r="G130" s="22">
        <v>30</v>
      </c>
      <c r="H130" s="17">
        <v>23</v>
      </c>
      <c r="I130" s="30">
        <v>1.85</v>
      </c>
      <c r="J130" s="17">
        <v>23</v>
      </c>
      <c r="K130" s="16">
        <f t="shared" si="104"/>
        <v>42.550000000000004</v>
      </c>
      <c r="L130" s="19">
        <v>8</v>
      </c>
      <c r="M130" s="19">
        <v>0</v>
      </c>
      <c r="N130" s="16">
        <f t="shared" si="106"/>
        <v>0</v>
      </c>
      <c r="O130" s="16">
        <f t="shared" si="107"/>
        <v>14.8</v>
      </c>
      <c r="P130" s="18">
        <f t="shared" si="108"/>
        <v>15</v>
      </c>
      <c r="Q130" s="16">
        <f t="shared" si="109"/>
        <v>27.75</v>
      </c>
      <c r="R130" s="19">
        <v>2</v>
      </c>
      <c r="S130" s="18">
        <v>0</v>
      </c>
      <c r="T130" s="16">
        <f t="shared" si="110"/>
        <v>0</v>
      </c>
      <c r="U130" s="16">
        <f t="shared" si="111"/>
        <v>3.7</v>
      </c>
      <c r="V130" s="18">
        <f t="shared" si="112"/>
        <v>13</v>
      </c>
      <c r="W130" s="16">
        <f t="shared" si="113"/>
        <v>24.05</v>
      </c>
      <c r="X130" s="19">
        <v>0</v>
      </c>
      <c r="Y130" s="19">
        <v>0</v>
      </c>
      <c r="Z130" s="16">
        <f t="shared" si="114"/>
        <v>0</v>
      </c>
      <c r="AA130" s="16">
        <f t="shared" si="115"/>
        <v>0</v>
      </c>
      <c r="AB130" s="18">
        <f t="shared" si="116"/>
        <v>13</v>
      </c>
      <c r="AC130" s="16">
        <f t="shared" si="117"/>
        <v>24.05</v>
      </c>
      <c r="AD130" s="19">
        <v>1</v>
      </c>
      <c r="AE130" s="19">
        <v>0</v>
      </c>
      <c r="AF130" s="16">
        <f t="shared" si="118"/>
        <v>0</v>
      </c>
      <c r="AG130" s="16">
        <f t="shared" si="119"/>
        <v>1.85</v>
      </c>
      <c r="AH130" s="18">
        <f t="shared" si="92"/>
        <v>12</v>
      </c>
      <c r="AI130" s="16">
        <f t="shared" si="93"/>
        <v>22.200000000000003</v>
      </c>
      <c r="AJ130" s="19">
        <v>0</v>
      </c>
      <c r="AK130" s="19">
        <v>0</v>
      </c>
      <c r="AL130" s="16">
        <f t="shared" si="94"/>
        <v>0</v>
      </c>
      <c r="AM130" s="16">
        <f t="shared" si="95"/>
        <v>0</v>
      </c>
      <c r="AN130" s="18">
        <f t="shared" si="96"/>
        <v>12</v>
      </c>
      <c r="AO130" s="16">
        <f t="shared" si="97"/>
        <v>22.200000000000003</v>
      </c>
      <c r="AP130" s="19">
        <v>1</v>
      </c>
      <c r="AQ130" s="19">
        <v>0</v>
      </c>
      <c r="AR130" s="16">
        <f t="shared" si="98"/>
        <v>0</v>
      </c>
      <c r="AS130" s="16">
        <f t="shared" si="99"/>
        <v>1.85</v>
      </c>
      <c r="AT130" s="18">
        <f t="shared" si="100"/>
        <v>11</v>
      </c>
      <c r="AU130" s="16">
        <f t="shared" si="101"/>
        <v>20.350000000000001</v>
      </c>
      <c r="AV130" s="19">
        <v>3</v>
      </c>
      <c r="AW130" s="19">
        <v>0</v>
      </c>
      <c r="AX130" s="16">
        <f t="shared" si="102"/>
        <v>0</v>
      </c>
      <c r="AY130" s="16">
        <f t="shared" si="103"/>
        <v>5.5500000000000007</v>
      </c>
      <c r="AZ130" s="18">
        <f t="shared" si="120"/>
        <v>8</v>
      </c>
      <c r="BA130" s="16">
        <f t="shared" si="121"/>
        <v>14.8</v>
      </c>
      <c r="BB130" s="19">
        <v>1</v>
      </c>
      <c r="BC130" s="19">
        <v>0</v>
      </c>
      <c r="BD130" s="16">
        <f t="shared" si="122"/>
        <v>0</v>
      </c>
      <c r="BE130" s="16">
        <f t="shared" si="123"/>
        <v>1.85</v>
      </c>
      <c r="BF130" s="18">
        <f t="shared" si="124"/>
        <v>7</v>
      </c>
      <c r="BG130" s="16">
        <f t="shared" si="125"/>
        <v>12.950000000000001</v>
      </c>
      <c r="BH130" s="19">
        <v>0</v>
      </c>
      <c r="BI130" s="19">
        <v>0</v>
      </c>
      <c r="BJ130" s="16">
        <f t="shared" si="126"/>
        <v>0</v>
      </c>
      <c r="BK130" s="16">
        <f t="shared" si="127"/>
        <v>0</v>
      </c>
      <c r="BL130" s="18">
        <f t="shared" si="128"/>
        <v>7</v>
      </c>
      <c r="BM130" s="16">
        <f t="shared" si="129"/>
        <v>12.950000000000001</v>
      </c>
      <c r="BN130" s="19">
        <v>0</v>
      </c>
      <c r="BO130" s="19">
        <v>0</v>
      </c>
      <c r="BP130" s="16">
        <f t="shared" si="130"/>
        <v>0</v>
      </c>
      <c r="BQ130" s="16">
        <f t="shared" si="131"/>
        <v>0</v>
      </c>
      <c r="BR130" s="18">
        <f t="shared" si="132"/>
        <v>7</v>
      </c>
      <c r="BS130" s="16">
        <f t="shared" si="133"/>
        <v>12.950000000000001</v>
      </c>
      <c r="BT130" s="19">
        <v>0</v>
      </c>
      <c r="BU130" s="19">
        <v>0</v>
      </c>
      <c r="BV130" s="16">
        <f t="shared" si="134"/>
        <v>0</v>
      </c>
      <c r="BW130" s="16">
        <f t="shared" si="135"/>
        <v>0</v>
      </c>
      <c r="BX130" s="18">
        <f t="shared" si="136"/>
        <v>7</v>
      </c>
      <c r="BY130" s="16">
        <f t="shared" si="137"/>
        <v>12.950000000000001</v>
      </c>
      <c r="BZ130" s="19">
        <v>0</v>
      </c>
      <c r="CA130" s="19">
        <v>0</v>
      </c>
      <c r="CB130" s="16">
        <f t="shared" si="138"/>
        <v>0</v>
      </c>
      <c r="CC130" s="16">
        <f t="shared" si="139"/>
        <v>0</v>
      </c>
      <c r="CD130" s="20">
        <f t="shared" si="142"/>
        <v>7</v>
      </c>
      <c r="CE130" s="21">
        <f t="shared" si="141"/>
        <v>12.950000000000001</v>
      </c>
    </row>
    <row r="131" spans="1:83" ht="21" customHeight="1" x14ac:dyDescent="0.25">
      <c r="A131" s="23"/>
      <c r="B131" s="70">
        <v>113</v>
      </c>
      <c r="C131" s="174" t="s">
        <v>202</v>
      </c>
      <c r="D131" s="13" t="s">
        <v>203</v>
      </c>
      <c r="E131" s="22">
        <v>10</v>
      </c>
      <c r="F131" s="22">
        <v>20</v>
      </c>
      <c r="G131" s="22">
        <v>30</v>
      </c>
      <c r="H131" s="17">
        <v>0</v>
      </c>
      <c r="I131" s="30">
        <v>15</v>
      </c>
      <c r="J131" s="17">
        <v>0</v>
      </c>
      <c r="K131" s="16">
        <f t="shared" si="104"/>
        <v>0</v>
      </c>
      <c r="L131" s="19">
        <v>0</v>
      </c>
      <c r="M131" s="19">
        <v>0</v>
      </c>
      <c r="N131" s="16">
        <f t="shared" si="106"/>
        <v>0</v>
      </c>
      <c r="O131" s="16">
        <f t="shared" si="107"/>
        <v>0</v>
      </c>
      <c r="P131" s="18">
        <f t="shared" si="108"/>
        <v>0</v>
      </c>
      <c r="Q131" s="16">
        <f t="shared" si="109"/>
        <v>0</v>
      </c>
      <c r="R131" s="19">
        <v>0</v>
      </c>
      <c r="S131" s="18">
        <v>0</v>
      </c>
      <c r="T131" s="16">
        <f t="shared" si="110"/>
        <v>0</v>
      </c>
      <c r="U131" s="16">
        <f t="shared" si="111"/>
        <v>0</v>
      </c>
      <c r="V131" s="18">
        <f t="shared" si="112"/>
        <v>0</v>
      </c>
      <c r="W131" s="16">
        <f t="shared" si="113"/>
        <v>0</v>
      </c>
      <c r="X131" s="19">
        <v>0</v>
      </c>
      <c r="Y131" s="19">
        <v>0</v>
      </c>
      <c r="Z131" s="16">
        <f t="shared" si="114"/>
        <v>0</v>
      </c>
      <c r="AA131" s="16">
        <f t="shared" si="115"/>
        <v>0</v>
      </c>
      <c r="AB131" s="18">
        <f t="shared" si="116"/>
        <v>0</v>
      </c>
      <c r="AC131" s="16">
        <f t="shared" si="117"/>
        <v>0</v>
      </c>
      <c r="AD131" s="19">
        <v>0</v>
      </c>
      <c r="AE131" s="19">
        <v>0</v>
      </c>
      <c r="AF131" s="16">
        <f t="shared" si="118"/>
        <v>0</v>
      </c>
      <c r="AG131" s="16">
        <f t="shared" si="119"/>
        <v>0</v>
      </c>
      <c r="AH131" s="18">
        <f t="shared" si="92"/>
        <v>0</v>
      </c>
      <c r="AI131" s="16">
        <f t="shared" si="93"/>
        <v>0</v>
      </c>
      <c r="AJ131" s="19">
        <v>0</v>
      </c>
      <c r="AK131" s="19">
        <v>0</v>
      </c>
      <c r="AL131" s="16">
        <f t="shared" si="94"/>
        <v>0</v>
      </c>
      <c r="AM131" s="16">
        <f t="shared" si="95"/>
        <v>0</v>
      </c>
      <c r="AN131" s="18">
        <f t="shared" si="96"/>
        <v>0</v>
      </c>
      <c r="AO131" s="16">
        <f t="shared" si="97"/>
        <v>0</v>
      </c>
      <c r="AP131" s="19">
        <v>0</v>
      </c>
      <c r="AQ131" s="19">
        <v>0</v>
      </c>
      <c r="AR131" s="16">
        <f t="shared" si="98"/>
        <v>0</v>
      </c>
      <c r="AS131" s="16">
        <f t="shared" si="99"/>
        <v>0</v>
      </c>
      <c r="AT131" s="18">
        <f t="shared" si="100"/>
        <v>0</v>
      </c>
      <c r="AU131" s="16">
        <f t="shared" si="101"/>
        <v>0</v>
      </c>
      <c r="AV131" s="19">
        <v>0</v>
      </c>
      <c r="AW131" s="19">
        <v>0</v>
      </c>
      <c r="AX131" s="16">
        <f t="shared" si="102"/>
        <v>0</v>
      </c>
      <c r="AY131" s="16">
        <f t="shared" si="103"/>
        <v>0</v>
      </c>
      <c r="AZ131" s="18">
        <f t="shared" si="120"/>
        <v>0</v>
      </c>
      <c r="BA131" s="16">
        <f t="shared" si="121"/>
        <v>0</v>
      </c>
      <c r="BB131" s="19">
        <v>0</v>
      </c>
      <c r="BC131" s="19">
        <v>0</v>
      </c>
      <c r="BD131" s="16">
        <f t="shared" si="122"/>
        <v>0</v>
      </c>
      <c r="BE131" s="16">
        <f t="shared" si="123"/>
        <v>0</v>
      </c>
      <c r="BF131" s="18">
        <f t="shared" si="124"/>
        <v>0</v>
      </c>
      <c r="BG131" s="16">
        <f t="shared" si="125"/>
        <v>0</v>
      </c>
      <c r="BH131" s="19">
        <v>0</v>
      </c>
      <c r="BI131" s="19">
        <v>0</v>
      </c>
      <c r="BJ131" s="16">
        <f t="shared" si="126"/>
        <v>0</v>
      </c>
      <c r="BK131" s="16">
        <f t="shared" si="127"/>
        <v>0</v>
      </c>
      <c r="BL131" s="18">
        <f t="shared" si="128"/>
        <v>0</v>
      </c>
      <c r="BM131" s="16">
        <f t="shared" si="129"/>
        <v>0</v>
      </c>
      <c r="BN131" s="19">
        <v>0</v>
      </c>
      <c r="BO131" s="19">
        <v>0</v>
      </c>
      <c r="BP131" s="16">
        <f t="shared" si="130"/>
        <v>0</v>
      </c>
      <c r="BQ131" s="16">
        <f t="shared" si="131"/>
        <v>0</v>
      </c>
      <c r="BR131" s="18">
        <f t="shared" si="132"/>
        <v>0</v>
      </c>
      <c r="BS131" s="16">
        <f t="shared" si="133"/>
        <v>0</v>
      </c>
      <c r="BT131" s="19">
        <v>0</v>
      </c>
      <c r="BU131" s="19">
        <v>0</v>
      </c>
      <c r="BV131" s="16">
        <f t="shared" si="134"/>
        <v>0</v>
      </c>
      <c r="BW131" s="16">
        <f t="shared" si="135"/>
        <v>0</v>
      </c>
      <c r="BX131" s="18">
        <f t="shared" si="136"/>
        <v>0</v>
      </c>
      <c r="BY131" s="16">
        <f t="shared" si="137"/>
        <v>0</v>
      </c>
      <c r="BZ131" s="19">
        <v>0</v>
      </c>
      <c r="CA131" s="19">
        <v>0</v>
      </c>
      <c r="CB131" s="16">
        <f t="shared" si="138"/>
        <v>0</v>
      </c>
      <c r="CC131" s="16">
        <f t="shared" si="139"/>
        <v>0</v>
      </c>
      <c r="CD131" s="20">
        <f t="shared" si="142"/>
        <v>0</v>
      </c>
      <c r="CE131" s="21">
        <f t="shared" si="141"/>
        <v>0</v>
      </c>
    </row>
    <row r="132" spans="1:83" ht="21" customHeight="1" x14ac:dyDescent="0.25">
      <c r="A132" s="23"/>
      <c r="B132" s="70"/>
      <c r="C132" s="175"/>
      <c r="D132" s="13" t="s">
        <v>405</v>
      </c>
      <c r="E132" s="22"/>
      <c r="F132" s="22"/>
      <c r="G132" s="22"/>
      <c r="H132" s="17"/>
      <c r="I132" s="30">
        <v>15</v>
      </c>
      <c r="J132" s="17"/>
      <c r="K132" s="16"/>
      <c r="L132" s="19"/>
      <c r="M132" s="19"/>
      <c r="N132" s="16"/>
      <c r="O132" s="16"/>
      <c r="P132" s="18"/>
      <c r="Q132" s="16"/>
      <c r="R132" s="19"/>
      <c r="S132" s="18"/>
      <c r="T132" s="16"/>
      <c r="U132" s="16"/>
      <c r="V132" s="18"/>
      <c r="W132" s="16"/>
      <c r="X132" s="19"/>
      <c r="Y132" s="19"/>
      <c r="Z132" s="16"/>
      <c r="AA132" s="16"/>
      <c r="AB132" s="18">
        <v>0</v>
      </c>
      <c r="AC132" s="16">
        <f t="shared" si="117"/>
        <v>0</v>
      </c>
      <c r="AD132" s="19">
        <v>0</v>
      </c>
      <c r="AE132" s="19">
        <v>0</v>
      </c>
      <c r="AF132" s="16">
        <f t="shared" si="118"/>
        <v>0</v>
      </c>
      <c r="AG132" s="16">
        <f t="shared" si="119"/>
        <v>0</v>
      </c>
      <c r="AH132" s="18">
        <f t="shared" si="92"/>
        <v>0</v>
      </c>
      <c r="AI132" s="16">
        <f t="shared" si="93"/>
        <v>0</v>
      </c>
      <c r="AJ132" s="19">
        <v>0</v>
      </c>
      <c r="AK132" s="19">
        <v>20</v>
      </c>
      <c r="AL132" s="16">
        <f t="shared" si="94"/>
        <v>300</v>
      </c>
      <c r="AM132" s="16">
        <f t="shared" si="95"/>
        <v>0</v>
      </c>
      <c r="AN132" s="18">
        <f t="shared" si="96"/>
        <v>20</v>
      </c>
      <c r="AO132" s="16">
        <f t="shared" si="97"/>
        <v>300</v>
      </c>
      <c r="AP132" s="19">
        <v>0</v>
      </c>
      <c r="AQ132" s="19">
        <v>0</v>
      </c>
      <c r="AR132" s="16">
        <f t="shared" si="98"/>
        <v>0</v>
      </c>
      <c r="AS132" s="16">
        <f t="shared" si="99"/>
        <v>0</v>
      </c>
      <c r="AT132" s="18">
        <f t="shared" si="100"/>
        <v>20</v>
      </c>
      <c r="AU132" s="16">
        <f t="shared" si="101"/>
        <v>300</v>
      </c>
      <c r="AV132" s="19">
        <v>0</v>
      </c>
      <c r="AW132" s="19">
        <v>0</v>
      </c>
      <c r="AX132" s="16">
        <f t="shared" si="102"/>
        <v>0</v>
      </c>
      <c r="AY132" s="16">
        <f t="shared" si="103"/>
        <v>0</v>
      </c>
      <c r="AZ132" s="18">
        <f t="shared" si="120"/>
        <v>20</v>
      </c>
      <c r="BA132" s="16">
        <f t="shared" si="121"/>
        <v>300</v>
      </c>
      <c r="BB132" s="19">
        <v>1</v>
      </c>
      <c r="BC132" s="19">
        <v>0</v>
      </c>
      <c r="BD132" s="16">
        <f t="shared" si="122"/>
        <v>0</v>
      </c>
      <c r="BE132" s="16">
        <f t="shared" si="123"/>
        <v>15</v>
      </c>
      <c r="BF132" s="18">
        <f t="shared" si="124"/>
        <v>19</v>
      </c>
      <c r="BG132" s="16">
        <f t="shared" si="125"/>
        <v>285</v>
      </c>
      <c r="BH132" s="19">
        <v>0</v>
      </c>
      <c r="BI132" s="19">
        <v>0</v>
      </c>
      <c r="BJ132" s="16">
        <f t="shared" si="126"/>
        <v>0</v>
      </c>
      <c r="BK132" s="16">
        <f t="shared" si="127"/>
        <v>0</v>
      </c>
      <c r="BL132" s="18">
        <f t="shared" si="128"/>
        <v>19</v>
      </c>
      <c r="BM132" s="16">
        <f t="shared" si="129"/>
        <v>285</v>
      </c>
      <c r="BN132" s="19">
        <v>0</v>
      </c>
      <c r="BO132" s="19">
        <v>0</v>
      </c>
      <c r="BP132" s="16">
        <v>0</v>
      </c>
      <c r="BQ132" s="16">
        <f t="shared" si="131"/>
        <v>0</v>
      </c>
      <c r="BR132" s="18">
        <f t="shared" si="132"/>
        <v>19</v>
      </c>
      <c r="BS132" s="16">
        <f t="shared" si="133"/>
        <v>285</v>
      </c>
      <c r="BT132" s="19">
        <v>0</v>
      </c>
      <c r="BU132" s="19">
        <v>0</v>
      </c>
      <c r="BV132" s="16">
        <f t="shared" si="134"/>
        <v>0</v>
      </c>
      <c r="BW132" s="16">
        <f t="shared" si="135"/>
        <v>0</v>
      </c>
      <c r="BX132" s="18">
        <f t="shared" si="136"/>
        <v>19</v>
      </c>
      <c r="BY132" s="16">
        <f t="shared" si="137"/>
        <v>285</v>
      </c>
      <c r="BZ132" s="19">
        <v>0</v>
      </c>
      <c r="CA132" s="19">
        <v>0</v>
      </c>
      <c r="CB132" s="16">
        <f t="shared" si="138"/>
        <v>0</v>
      </c>
      <c r="CC132" s="16">
        <f t="shared" si="139"/>
        <v>0</v>
      </c>
      <c r="CD132" s="20">
        <f t="shared" si="142"/>
        <v>19</v>
      </c>
      <c r="CE132" s="21">
        <f t="shared" si="141"/>
        <v>285</v>
      </c>
    </row>
    <row r="133" spans="1:83" ht="21" customHeight="1" x14ac:dyDescent="0.25">
      <c r="A133" s="23"/>
      <c r="B133" s="70">
        <v>114</v>
      </c>
      <c r="C133" s="79" t="s">
        <v>204</v>
      </c>
      <c r="D133" s="13" t="s">
        <v>205</v>
      </c>
      <c r="E133" s="22">
        <v>10</v>
      </c>
      <c r="F133" s="22">
        <v>20</v>
      </c>
      <c r="G133" s="22">
        <v>30</v>
      </c>
      <c r="H133" s="17">
        <v>9</v>
      </c>
      <c r="I133" s="30">
        <v>2.95</v>
      </c>
      <c r="J133" s="17">
        <v>9</v>
      </c>
      <c r="K133" s="16">
        <f t="shared" si="104"/>
        <v>26.55</v>
      </c>
      <c r="L133" s="19">
        <v>4</v>
      </c>
      <c r="M133" s="19">
        <v>0</v>
      </c>
      <c r="N133" s="16">
        <f t="shared" si="106"/>
        <v>0</v>
      </c>
      <c r="O133" s="16">
        <f t="shared" si="107"/>
        <v>11.8</v>
      </c>
      <c r="P133" s="18">
        <f t="shared" si="108"/>
        <v>5</v>
      </c>
      <c r="Q133" s="16">
        <f t="shared" si="109"/>
        <v>14.75</v>
      </c>
      <c r="R133" s="19">
        <v>1</v>
      </c>
      <c r="S133" s="18">
        <v>0</v>
      </c>
      <c r="T133" s="16">
        <f t="shared" si="110"/>
        <v>0</v>
      </c>
      <c r="U133" s="16">
        <f t="shared" si="111"/>
        <v>2.95</v>
      </c>
      <c r="V133" s="18">
        <f t="shared" si="112"/>
        <v>4</v>
      </c>
      <c r="W133" s="16">
        <f t="shared" si="113"/>
        <v>11.8</v>
      </c>
      <c r="X133" s="19">
        <v>0</v>
      </c>
      <c r="Y133" s="19">
        <v>0</v>
      </c>
      <c r="Z133" s="16">
        <f t="shared" si="114"/>
        <v>0</v>
      </c>
      <c r="AA133" s="16">
        <f t="shared" si="115"/>
        <v>0</v>
      </c>
      <c r="AB133" s="18">
        <f t="shared" si="116"/>
        <v>4</v>
      </c>
      <c r="AC133" s="16">
        <f t="shared" si="117"/>
        <v>11.8</v>
      </c>
      <c r="AD133" s="19">
        <v>0</v>
      </c>
      <c r="AE133" s="19">
        <v>0</v>
      </c>
      <c r="AF133" s="16">
        <f t="shared" si="118"/>
        <v>0</v>
      </c>
      <c r="AG133" s="16">
        <f t="shared" si="119"/>
        <v>0</v>
      </c>
      <c r="AH133" s="18">
        <f t="shared" si="92"/>
        <v>4</v>
      </c>
      <c r="AI133" s="16">
        <f t="shared" si="93"/>
        <v>11.8</v>
      </c>
      <c r="AJ133" s="19">
        <v>0</v>
      </c>
      <c r="AK133" s="19">
        <v>0</v>
      </c>
      <c r="AL133" s="16">
        <f t="shared" si="94"/>
        <v>0</v>
      </c>
      <c r="AM133" s="16">
        <f t="shared" si="95"/>
        <v>0</v>
      </c>
      <c r="AN133" s="18">
        <f t="shared" si="96"/>
        <v>4</v>
      </c>
      <c r="AO133" s="16">
        <f t="shared" si="97"/>
        <v>11.8</v>
      </c>
      <c r="AP133" s="19">
        <v>0</v>
      </c>
      <c r="AQ133" s="19">
        <v>0</v>
      </c>
      <c r="AR133" s="16">
        <f t="shared" si="98"/>
        <v>0</v>
      </c>
      <c r="AS133" s="16">
        <f t="shared" si="99"/>
        <v>0</v>
      </c>
      <c r="AT133" s="18">
        <f t="shared" si="100"/>
        <v>4</v>
      </c>
      <c r="AU133" s="16">
        <f t="shared" si="101"/>
        <v>11.8</v>
      </c>
      <c r="AV133" s="19">
        <v>0</v>
      </c>
      <c r="AW133" s="19">
        <v>0</v>
      </c>
      <c r="AX133" s="16">
        <f t="shared" si="102"/>
        <v>0</v>
      </c>
      <c r="AY133" s="16">
        <f t="shared" si="103"/>
        <v>0</v>
      </c>
      <c r="AZ133" s="18">
        <f t="shared" si="120"/>
        <v>4</v>
      </c>
      <c r="BA133" s="16">
        <f t="shared" si="121"/>
        <v>11.8</v>
      </c>
      <c r="BB133" s="19">
        <v>2</v>
      </c>
      <c r="BC133" s="19">
        <v>0</v>
      </c>
      <c r="BD133" s="16">
        <f t="shared" si="122"/>
        <v>0</v>
      </c>
      <c r="BE133" s="16">
        <f t="shared" si="123"/>
        <v>5.9</v>
      </c>
      <c r="BF133" s="18">
        <f t="shared" si="124"/>
        <v>2</v>
      </c>
      <c r="BG133" s="16">
        <f t="shared" si="125"/>
        <v>5.9</v>
      </c>
      <c r="BH133" s="19">
        <v>0</v>
      </c>
      <c r="BI133" s="19">
        <v>0</v>
      </c>
      <c r="BJ133" s="16">
        <f t="shared" si="126"/>
        <v>0</v>
      </c>
      <c r="BK133" s="16">
        <f t="shared" si="127"/>
        <v>0</v>
      </c>
      <c r="BL133" s="18">
        <f t="shared" si="128"/>
        <v>2</v>
      </c>
      <c r="BM133" s="16">
        <f t="shared" si="129"/>
        <v>5.9</v>
      </c>
      <c r="BN133" s="19">
        <v>0</v>
      </c>
      <c r="BO133" s="19">
        <v>0</v>
      </c>
      <c r="BP133" s="16">
        <f t="shared" si="130"/>
        <v>0</v>
      </c>
      <c r="BQ133" s="16">
        <f t="shared" si="131"/>
        <v>0</v>
      </c>
      <c r="BR133" s="18">
        <f t="shared" si="132"/>
        <v>2</v>
      </c>
      <c r="BS133" s="16">
        <f t="shared" si="133"/>
        <v>5.9</v>
      </c>
      <c r="BT133" s="19">
        <v>0</v>
      </c>
      <c r="BU133" s="19">
        <v>0</v>
      </c>
      <c r="BV133" s="16">
        <f t="shared" si="134"/>
        <v>0</v>
      </c>
      <c r="BW133" s="16">
        <f t="shared" si="135"/>
        <v>0</v>
      </c>
      <c r="BX133" s="18">
        <f t="shared" si="136"/>
        <v>2</v>
      </c>
      <c r="BY133" s="16">
        <f t="shared" si="137"/>
        <v>5.9</v>
      </c>
      <c r="BZ133" s="19">
        <v>0</v>
      </c>
      <c r="CA133" s="19">
        <v>0</v>
      </c>
      <c r="CB133" s="16">
        <f t="shared" si="138"/>
        <v>0</v>
      </c>
      <c r="CC133" s="16">
        <f t="shared" si="139"/>
        <v>0</v>
      </c>
      <c r="CD133" s="20">
        <f t="shared" si="142"/>
        <v>2</v>
      </c>
      <c r="CE133" s="21">
        <f t="shared" si="141"/>
        <v>5.9</v>
      </c>
    </row>
    <row r="134" spans="1:83" x14ac:dyDescent="0.25">
      <c r="A134" s="23"/>
      <c r="B134" s="70">
        <v>115</v>
      </c>
      <c r="C134" s="86" t="s">
        <v>206</v>
      </c>
      <c r="D134" s="13" t="s">
        <v>208</v>
      </c>
      <c r="E134" s="22"/>
      <c r="F134" s="22"/>
      <c r="G134" s="22"/>
      <c r="H134" s="17">
        <v>9</v>
      </c>
      <c r="I134" s="30">
        <v>5.75</v>
      </c>
      <c r="J134" s="17">
        <v>9</v>
      </c>
      <c r="K134" s="16">
        <f t="shared" si="104"/>
        <v>51.75</v>
      </c>
      <c r="L134" s="19">
        <v>0</v>
      </c>
      <c r="M134" s="19">
        <v>0</v>
      </c>
      <c r="N134" s="16">
        <f t="shared" si="106"/>
        <v>0</v>
      </c>
      <c r="O134" s="16">
        <f t="shared" si="107"/>
        <v>0</v>
      </c>
      <c r="P134" s="18">
        <f t="shared" si="108"/>
        <v>9</v>
      </c>
      <c r="Q134" s="16">
        <f t="shared" si="109"/>
        <v>51.75</v>
      </c>
      <c r="R134" s="19">
        <v>1</v>
      </c>
      <c r="S134" s="18">
        <v>0</v>
      </c>
      <c r="T134" s="16">
        <f t="shared" si="110"/>
        <v>0</v>
      </c>
      <c r="U134" s="16">
        <f t="shared" si="111"/>
        <v>5.75</v>
      </c>
      <c r="V134" s="18">
        <f t="shared" si="112"/>
        <v>8</v>
      </c>
      <c r="W134" s="16">
        <f t="shared" si="113"/>
        <v>46</v>
      </c>
      <c r="X134" s="19">
        <v>0</v>
      </c>
      <c r="Y134" s="19">
        <v>0</v>
      </c>
      <c r="Z134" s="16">
        <f t="shared" si="114"/>
        <v>0</v>
      </c>
      <c r="AA134" s="16">
        <f t="shared" si="115"/>
        <v>0</v>
      </c>
      <c r="AB134" s="18">
        <f t="shared" si="116"/>
        <v>8</v>
      </c>
      <c r="AC134" s="16">
        <f t="shared" si="117"/>
        <v>46</v>
      </c>
      <c r="AD134" s="19">
        <v>0</v>
      </c>
      <c r="AE134" s="19">
        <v>0</v>
      </c>
      <c r="AF134" s="16">
        <f t="shared" si="118"/>
        <v>0</v>
      </c>
      <c r="AG134" s="16">
        <f t="shared" si="119"/>
        <v>0</v>
      </c>
      <c r="AH134" s="18">
        <f t="shared" si="92"/>
        <v>8</v>
      </c>
      <c r="AI134" s="16">
        <f t="shared" si="93"/>
        <v>46</v>
      </c>
      <c r="AJ134" s="19">
        <v>1</v>
      </c>
      <c r="AK134" s="19">
        <v>0</v>
      </c>
      <c r="AL134" s="16">
        <f t="shared" si="94"/>
        <v>0</v>
      </c>
      <c r="AM134" s="16">
        <f t="shared" si="95"/>
        <v>5.75</v>
      </c>
      <c r="AN134" s="18">
        <f t="shared" si="96"/>
        <v>7</v>
      </c>
      <c r="AO134" s="16">
        <f t="shared" si="97"/>
        <v>40.25</v>
      </c>
      <c r="AP134" s="19">
        <v>2</v>
      </c>
      <c r="AQ134" s="19">
        <v>0</v>
      </c>
      <c r="AR134" s="16">
        <f t="shared" si="98"/>
        <v>0</v>
      </c>
      <c r="AS134" s="16">
        <f t="shared" si="99"/>
        <v>11.5</v>
      </c>
      <c r="AT134" s="18">
        <f t="shared" si="100"/>
        <v>5</v>
      </c>
      <c r="AU134" s="16">
        <f t="shared" si="101"/>
        <v>28.75</v>
      </c>
      <c r="AV134" s="19">
        <v>0</v>
      </c>
      <c r="AW134" s="19">
        <v>0</v>
      </c>
      <c r="AX134" s="16">
        <f t="shared" si="102"/>
        <v>0</v>
      </c>
      <c r="AY134" s="16">
        <f t="shared" si="103"/>
        <v>0</v>
      </c>
      <c r="AZ134" s="18">
        <f t="shared" si="120"/>
        <v>5</v>
      </c>
      <c r="BA134" s="16">
        <f t="shared" si="121"/>
        <v>28.75</v>
      </c>
      <c r="BB134" s="19">
        <v>0</v>
      </c>
      <c r="BC134" s="19">
        <v>0</v>
      </c>
      <c r="BD134" s="16">
        <f t="shared" si="122"/>
        <v>0</v>
      </c>
      <c r="BE134" s="16">
        <f t="shared" si="123"/>
        <v>0</v>
      </c>
      <c r="BF134" s="18">
        <f t="shared" si="124"/>
        <v>5</v>
      </c>
      <c r="BG134" s="16">
        <f t="shared" si="125"/>
        <v>28.75</v>
      </c>
      <c r="BH134" s="19">
        <v>0</v>
      </c>
      <c r="BI134" s="19">
        <v>0</v>
      </c>
      <c r="BJ134" s="16">
        <f t="shared" si="126"/>
        <v>0</v>
      </c>
      <c r="BK134" s="16">
        <f t="shared" si="127"/>
        <v>0</v>
      </c>
      <c r="BL134" s="18">
        <f t="shared" si="128"/>
        <v>5</v>
      </c>
      <c r="BM134" s="16">
        <f t="shared" si="129"/>
        <v>28.75</v>
      </c>
      <c r="BN134" s="19">
        <v>0</v>
      </c>
      <c r="BO134" s="19">
        <v>0</v>
      </c>
      <c r="BP134" s="16">
        <f t="shared" si="130"/>
        <v>0</v>
      </c>
      <c r="BQ134" s="16">
        <f t="shared" si="131"/>
        <v>0</v>
      </c>
      <c r="BR134" s="18">
        <f t="shared" si="132"/>
        <v>5</v>
      </c>
      <c r="BS134" s="16">
        <f t="shared" si="133"/>
        <v>28.75</v>
      </c>
      <c r="BT134" s="19">
        <v>0</v>
      </c>
      <c r="BU134" s="19">
        <v>0</v>
      </c>
      <c r="BV134" s="16">
        <f t="shared" si="134"/>
        <v>0</v>
      </c>
      <c r="BW134" s="16">
        <f t="shared" si="135"/>
        <v>0</v>
      </c>
      <c r="BX134" s="18">
        <f t="shared" si="136"/>
        <v>5</v>
      </c>
      <c r="BY134" s="16">
        <f t="shared" si="137"/>
        <v>28.75</v>
      </c>
      <c r="BZ134" s="19">
        <v>0</v>
      </c>
      <c r="CA134" s="19">
        <v>0</v>
      </c>
      <c r="CB134" s="16">
        <f t="shared" si="138"/>
        <v>0</v>
      </c>
      <c r="CC134" s="16">
        <f t="shared" si="139"/>
        <v>0</v>
      </c>
      <c r="CD134" s="20">
        <f t="shared" si="142"/>
        <v>5</v>
      </c>
      <c r="CE134" s="21">
        <f t="shared" si="141"/>
        <v>28.75</v>
      </c>
    </row>
    <row r="135" spans="1:83" ht="18" customHeight="1" x14ac:dyDescent="0.25">
      <c r="A135" s="23">
        <v>84</v>
      </c>
      <c r="B135" s="70">
        <v>116</v>
      </c>
      <c r="C135" s="174" t="s">
        <v>209</v>
      </c>
      <c r="D135" s="13" t="s">
        <v>210</v>
      </c>
      <c r="E135" s="168">
        <v>5</v>
      </c>
      <c r="F135" s="168">
        <v>10</v>
      </c>
      <c r="G135" s="168">
        <v>15</v>
      </c>
      <c r="H135" s="17">
        <v>4</v>
      </c>
      <c r="I135" s="30">
        <v>40</v>
      </c>
      <c r="J135" s="17">
        <v>4</v>
      </c>
      <c r="K135" s="16">
        <f t="shared" si="104"/>
        <v>160</v>
      </c>
      <c r="L135" s="19">
        <v>0</v>
      </c>
      <c r="M135" s="19">
        <v>0</v>
      </c>
      <c r="N135" s="16">
        <f t="shared" si="106"/>
        <v>0</v>
      </c>
      <c r="O135" s="16">
        <f t="shared" si="107"/>
        <v>0</v>
      </c>
      <c r="P135" s="18">
        <f t="shared" si="108"/>
        <v>4</v>
      </c>
      <c r="Q135" s="16">
        <f t="shared" si="109"/>
        <v>160</v>
      </c>
      <c r="R135" s="19">
        <v>0</v>
      </c>
      <c r="S135" s="18">
        <v>0</v>
      </c>
      <c r="T135" s="16">
        <f t="shared" si="110"/>
        <v>0</v>
      </c>
      <c r="U135" s="16">
        <f t="shared" si="111"/>
        <v>0</v>
      </c>
      <c r="V135" s="18">
        <f t="shared" si="112"/>
        <v>4</v>
      </c>
      <c r="W135" s="16">
        <f t="shared" si="113"/>
        <v>160</v>
      </c>
      <c r="X135" s="19">
        <v>0</v>
      </c>
      <c r="Y135" s="19">
        <v>0</v>
      </c>
      <c r="Z135" s="16">
        <f t="shared" si="114"/>
        <v>0</v>
      </c>
      <c r="AA135" s="16">
        <f t="shared" si="115"/>
        <v>0</v>
      </c>
      <c r="AB135" s="18">
        <f t="shared" si="116"/>
        <v>4</v>
      </c>
      <c r="AC135" s="16">
        <f t="shared" si="117"/>
        <v>160</v>
      </c>
      <c r="AD135" s="19">
        <v>0</v>
      </c>
      <c r="AE135" s="19">
        <v>0</v>
      </c>
      <c r="AF135" s="16">
        <f t="shared" si="118"/>
        <v>0</v>
      </c>
      <c r="AG135" s="16">
        <f t="shared" si="119"/>
        <v>0</v>
      </c>
      <c r="AH135" s="18">
        <f t="shared" ref="AH135:AH202" si="143">AB135-AD135+AE135</f>
        <v>4</v>
      </c>
      <c r="AI135" s="16">
        <f t="shared" ref="AI135:AI202" si="144">AH135*I135</f>
        <v>160</v>
      </c>
      <c r="AJ135" s="19">
        <v>0</v>
      </c>
      <c r="AK135" s="19">
        <v>0</v>
      </c>
      <c r="AL135" s="16">
        <f t="shared" si="94"/>
        <v>0</v>
      </c>
      <c r="AM135" s="16">
        <f t="shared" si="95"/>
        <v>0</v>
      </c>
      <c r="AN135" s="18">
        <f t="shared" si="96"/>
        <v>4</v>
      </c>
      <c r="AO135" s="16">
        <f t="shared" si="97"/>
        <v>160</v>
      </c>
      <c r="AP135" s="19">
        <v>0</v>
      </c>
      <c r="AQ135" s="19">
        <v>0</v>
      </c>
      <c r="AR135" s="16">
        <f t="shared" si="98"/>
        <v>0</v>
      </c>
      <c r="AS135" s="16">
        <f t="shared" si="99"/>
        <v>0</v>
      </c>
      <c r="AT135" s="18">
        <f t="shared" si="100"/>
        <v>4</v>
      </c>
      <c r="AU135" s="16">
        <f t="shared" si="101"/>
        <v>160</v>
      </c>
      <c r="AV135" s="19">
        <v>0</v>
      </c>
      <c r="AW135" s="19">
        <v>0</v>
      </c>
      <c r="AX135" s="16">
        <f t="shared" si="102"/>
        <v>0</v>
      </c>
      <c r="AY135" s="16">
        <f t="shared" si="103"/>
        <v>0</v>
      </c>
      <c r="AZ135" s="18">
        <f t="shared" si="120"/>
        <v>4</v>
      </c>
      <c r="BA135" s="16">
        <f t="shared" si="121"/>
        <v>160</v>
      </c>
      <c r="BB135" s="19">
        <v>0</v>
      </c>
      <c r="BC135" s="19">
        <v>0</v>
      </c>
      <c r="BD135" s="16">
        <f t="shared" si="122"/>
        <v>0</v>
      </c>
      <c r="BE135" s="16">
        <f t="shared" si="123"/>
        <v>0</v>
      </c>
      <c r="BF135" s="18">
        <f t="shared" si="124"/>
        <v>4</v>
      </c>
      <c r="BG135" s="16">
        <f t="shared" si="125"/>
        <v>160</v>
      </c>
      <c r="BH135" s="19">
        <v>0</v>
      </c>
      <c r="BI135" s="19">
        <v>0</v>
      </c>
      <c r="BJ135" s="16">
        <f t="shared" si="126"/>
        <v>0</v>
      </c>
      <c r="BK135" s="16">
        <f t="shared" si="127"/>
        <v>0</v>
      </c>
      <c r="BL135" s="18">
        <f t="shared" si="128"/>
        <v>4</v>
      </c>
      <c r="BM135" s="16">
        <f t="shared" si="129"/>
        <v>160</v>
      </c>
      <c r="BN135" s="19">
        <v>0</v>
      </c>
      <c r="BO135" s="19">
        <v>0</v>
      </c>
      <c r="BP135" s="16">
        <f t="shared" si="130"/>
        <v>0</v>
      </c>
      <c r="BQ135" s="16">
        <f t="shared" si="131"/>
        <v>0</v>
      </c>
      <c r="BR135" s="18">
        <f t="shared" si="132"/>
        <v>4</v>
      </c>
      <c r="BS135" s="16">
        <f t="shared" si="133"/>
        <v>160</v>
      </c>
      <c r="BT135" s="19">
        <v>0</v>
      </c>
      <c r="BU135" s="19">
        <v>0</v>
      </c>
      <c r="BV135" s="16">
        <f t="shared" si="134"/>
        <v>0</v>
      </c>
      <c r="BW135" s="16">
        <f t="shared" si="135"/>
        <v>0</v>
      </c>
      <c r="BX135" s="18">
        <f t="shared" si="136"/>
        <v>4</v>
      </c>
      <c r="BY135" s="16">
        <f t="shared" si="137"/>
        <v>160</v>
      </c>
      <c r="BZ135" s="19">
        <v>0</v>
      </c>
      <c r="CA135" s="19">
        <v>0</v>
      </c>
      <c r="CB135" s="16">
        <f t="shared" si="138"/>
        <v>0</v>
      </c>
      <c r="CC135" s="16">
        <f t="shared" si="139"/>
        <v>0</v>
      </c>
      <c r="CD135" s="20">
        <f t="shared" si="142"/>
        <v>4</v>
      </c>
      <c r="CE135" s="21">
        <f t="shared" si="141"/>
        <v>160</v>
      </c>
    </row>
    <row r="136" spans="1:83" ht="18" customHeight="1" x14ac:dyDescent="0.25">
      <c r="A136" s="23"/>
      <c r="B136" s="70">
        <v>117</v>
      </c>
      <c r="C136" s="175"/>
      <c r="D136" s="13" t="s">
        <v>211</v>
      </c>
      <c r="E136" s="169"/>
      <c r="F136" s="169"/>
      <c r="G136" s="169"/>
      <c r="H136" s="17">
        <v>10</v>
      </c>
      <c r="I136" s="30">
        <v>64</v>
      </c>
      <c r="J136" s="17">
        <v>10</v>
      </c>
      <c r="K136" s="16">
        <f t="shared" si="104"/>
        <v>640</v>
      </c>
      <c r="L136" s="19">
        <v>0</v>
      </c>
      <c r="M136" s="19">
        <v>0</v>
      </c>
      <c r="N136" s="16">
        <f t="shared" si="106"/>
        <v>0</v>
      </c>
      <c r="O136" s="16">
        <f t="shared" si="107"/>
        <v>0</v>
      </c>
      <c r="P136" s="18">
        <f t="shared" si="108"/>
        <v>10</v>
      </c>
      <c r="Q136" s="16">
        <f t="shared" si="109"/>
        <v>640</v>
      </c>
      <c r="R136" s="19">
        <v>0</v>
      </c>
      <c r="S136" s="18">
        <v>0</v>
      </c>
      <c r="T136" s="16">
        <f t="shared" si="110"/>
        <v>0</v>
      </c>
      <c r="U136" s="16">
        <f t="shared" si="111"/>
        <v>0</v>
      </c>
      <c r="V136" s="18">
        <f t="shared" si="112"/>
        <v>10</v>
      </c>
      <c r="W136" s="16">
        <f t="shared" si="113"/>
        <v>640</v>
      </c>
      <c r="X136" s="19">
        <v>0</v>
      </c>
      <c r="Y136" s="19">
        <v>0</v>
      </c>
      <c r="Z136" s="16">
        <f t="shared" si="114"/>
        <v>0</v>
      </c>
      <c r="AA136" s="16">
        <f t="shared" si="115"/>
        <v>0</v>
      </c>
      <c r="AB136" s="18">
        <f t="shared" si="116"/>
        <v>10</v>
      </c>
      <c r="AC136" s="16">
        <f t="shared" si="117"/>
        <v>640</v>
      </c>
      <c r="AD136" s="19">
        <v>0</v>
      </c>
      <c r="AE136" s="19">
        <v>0</v>
      </c>
      <c r="AF136" s="16">
        <f t="shared" si="118"/>
        <v>0</v>
      </c>
      <c r="AG136" s="16">
        <f t="shared" si="119"/>
        <v>0</v>
      </c>
      <c r="AH136" s="18">
        <f t="shared" si="143"/>
        <v>10</v>
      </c>
      <c r="AI136" s="16">
        <f t="shared" si="144"/>
        <v>640</v>
      </c>
      <c r="AJ136" s="19">
        <v>0</v>
      </c>
      <c r="AK136" s="19">
        <v>0</v>
      </c>
      <c r="AL136" s="16">
        <f t="shared" ref="AL136:AL203" si="145">AK136*I136</f>
        <v>0</v>
      </c>
      <c r="AM136" s="16">
        <f t="shared" ref="AM136:AM203" si="146">AJ136*I136</f>
        <v>0</v>
      </c>
      <c r="AN136" s="18">
        <f t="shared" ref="AN136:AN203" si="147">AH136-AJ136+AK136</f>
        <v>10</v>
      </c>
      <c r="AO136" s="16">
        <f t="shared" ref="AO136:AO203" si="148">AN136*I136</f>
        <v>640</v>
      </c>
      <c r="AP136" s="19">
        <v>0</v>
      </c>
      <c r="AQ136" s="19">
        <v>0</v>
      </c>
      <c r="AR136" s="16">
        <f t="shared" ref="AR136:AR203" si="149">AQ136*I136</f>
        <v>0</v>
      </c>
      <c r="AS136" s="16">
        <f t="shared" ref="AS136:AS203" si="150">AP136*I136</f>
        <v>0</v>
      </c>
      <c r="AT136" s="18">
        <f t="shared" ref="AT136:AT203" si="151">AN136-AP136+AQ136</f>
        <v>10</v>
      </c>
      <c r="AU136" s="16">
        <f t="shared" ref="AU136:AU203" si="152">AT136*I136</f>
        <v>640</v>
      </c>
      <c r="AV136" s="19">
        <v>0</v>
      </c>
      <c r="AW136" s="19">
        <v>0</v>
      </c>
      <c r="AX136" s="16">
        <f t="shared" ref="AX136:AX203" si="153">AW136*I136</f>
        <v>0</v>
      </c>
      <c r="AY136" s="16">
        <f t="shared" ref="AY136:AY203" si="154">AV136*I136</f>
        <v>0</v>
      </c>
      <c r="AZ136" s="18">
        <f t="shared" si="120"/>
        <v>10</v>
      </c>
      <c r="BA136" s="16">
        <f t="shared" si="121"/>
        <v>640</v>
      </c>
      <c r="BB136" s="19">
        <v>0</v>
      </c>
      <c r="BC136" s="19">
        <v>0</v>
      </c>
      <c r="BD136" s="16">
        <f t="shared" si="122"/>
        <v>0</v>
      </c>
      <c r="BE136" s="16">
        <f t="shared" si="123"/>
        <v>0</v>
      </c>
      <c r="BF136" s="18">
        <f t="shared" si="124"/>
        <v>10</v>
      </c>
      <c r="BG136" s="16">
        <f t="shared" si="125"/>
        <v>640</v>
      </c>
      <c r="BH136" s="19">
        <v>0</v>
      </c>
      <c r="BI136" s="19">
        <v>0</v>
      </c>
      <c r="BJ136" s="16">
        <f t="shared" si="126"/>
        <v>0</v>
      </c>
      <c r="BK136" s="16">
        <f t="shared" si="127"/>
        <v>0</v>
      </c>
      <c r="BL136" s="18">
        <f t="shared" si="128"/>
        <v>10</v>
      </c>
      <c r="BM136" s="16">
        <f t="shared" si="129"/>
        <v>640</v>
      </c>
      <c r="BN136" s="19">
        <v>0</v>
      </c>
      <c r="BO136" s="19">
        <v>0</v>
      </c>
      <c r="BP136" s="16">
        <f t="shared" si="130"/>
        <v>0</v>
      </c>
      <c r="BQ136" s="16">
        <f t="shared" si="131"/>
        <v>0</v>
      </c>
      <c r="BR136" s="18">
        <f t="shared" si="132"/>
        <v>10</v>
      </c>
      <c r="BS136" s="16">
        <f t="shared" si="133"/>
        <v>640</v>
      </c>
      <c r="BT136" s="19">
        <v>0</v>
      </c>
      <c r="BU136" s="19">
        <v>0</v>
      </c>
      <c r="BV136" s="16">
        <f t="shared" si="134"/>
        <v>0</v>
      </c>
      <c r="BW136" s="16">
        <f t="shared" si="135"/>
        <v>0</v>
      </c>
      <c r="BX136" s="18">
        <f t="shared" si="136"/>
        <v>10</v>
      </c>
      <c r="BY136" s="16">
        <f t="shared" si="137"/>
        <v>640</v>
      </c>
      <c r="BZ136" s="19">
        <v>0</v>
      </c>
      <c r="CA136" s="19">
        <v>0</v>
      </c>
      <c r="CB136" s="16">
        <f t="shared" si="138"/>
        <v>0</v>
      </c>
      <c r="CC136" s="16">
        <f t="shared" si="139"/>
        <v>0</v>
      </c>
      <c r="CD136" s="20">
        <f t="shared" si="142"/>
        <v>10</v>
      </c>
      <c r="CE136" s="21">
        <f t="shared" si="141"/>
        <v>640</v>
      </c>
    </row>
    <row r="137" spans="1:83" x14ac:dyDescent="0.25">
      <c r="A137" s="23">
        <v>85</v>
      </c>
      <c r="B137" s="70">
        <v>118</v>
      </c>
      <c r="C137" s="103" t="s">
        <v>212</v>
      </c>
      <c r="D137" s="104" t="s">
        <v>213</v>
      </c>
      <c r="E137" s="23">
        <v>5</v>
      </c>
      <c r="F137" s="23">
        <v>10</v>
      </c>
      <c r="G137" s="23">
        <v>15</v>
      </c>
      <c r="H137" s="17">
        <v>27</v>
      </c>
      <c r="I137" s="30">
        <v>41</v>
      </c>
      <c r="J137" s="17">
        <v>27</v>
      </c>
      <c r="K137" s="16">
        <f t="shared" si="104"/>
        <v>1107</v>
      </c>
      <c r="L137" s="19">
        <v>0</v>
      </c>
      <c r="M137" s="19">
        <v>0</v>
      </c>
      <c r="N137" s="16">
        <f t="shared" si="106"/>
        <v>0</v>
      </c>
      <c r="O137" s="16">
        <f t="shared" si="107"/>
        <v>0</v>
      </c>
      <c r="P137" s="18">
        <f t="shared" si="108"/>
        <v>27</v>
      </c>
      <c r="Q137" s="16">
        <f t="shared" si="109"/>
        <v>1107</v>
      </c>
      <c r="R137" s="19">
        <v>0</v>
      </c>
      <c r="S137" s="18">
        <v>0</v>
      </c>
      <c r="T137" s="16">
        <f t="shared" si="110"/>
        <v>0</v>
      </c>
      <c r="U137" s="16">
        <f t="shared" si="111"/>
        <v>0</v>
      </c>
      <c r="V137" s="18">
        <f t="shared" si="112"/>
        <v>27</v>
      </c>
      <c r="W137" s="16">
        <f t="shared" si="113"/>
        <v>1107</v>
      </c>
      <c r="X137" s="19">
        <v>0</v>
      </c>
      <c r="Y137" s="19">
        <v>0</v>
      </c>
      <c r="Z137" s="16">
        <f t="shared" si="114"/>
        <v>0</v>
      </c>
      <c r="AA137" s="16">
        <f t="shared" si="115"/>
        <v>0</v>
      </c>
      <c r="AB137" s="18">
        <f t="shared" si="116"/>
        <v>27</v>
      </c>
      <c r="AC137" s="16">
        <f t="shared" si="117"/>
        <v>1107</v>
      </c>
      <c r="AD137" s="19">
        <v>0</v>
      </c>
      <c r="AE137" s="19">
        <v>0</v>
      </c>
      <c r="AF137" s="16">
        <f t="shared" si="118"/>
        <v>0</v>
      </c>
      <c r="AG137" s="16">
        <f t="shared" si="119"/>
        <v>0</v>
      </c>
      <c r="AH137" s="18">
        <f t="shared" si="143"/>
        <v>27</v>
      </c>
      <c r="AI137" s="16">
        <f t="shared" si="144"/>
        <v>1107</v>
      </c>
      <c r="AJ137" s="19">
        <v>0</v>
      </c>
      <c r="AK137" s="19">
        <v>0</v>
      </c>
      <c r="AL137" s="16">
        <f t="shared" si="145"/>
        <v>0</v>
      </c>
      <c r="AM137" s="16">
        <f t="shared" si="146"/>
        <v>0</v>
      </c>
      <c r="AN137" s="18">
        <f t="shared" si="147"/>
        <v>27</v>
      </c>
      <c r="AO137" s="16">
        <f t="shared" si="148"/>
        <v>1107</v>
      </c>
      <c r="AP137" s="19">
        <v>0</v>
      </c>
      <c r="AQ137" s="19">
        <v>0</v>
      </c>
      <c r="AR137" s="16">
        <f t="shared" si="149"/>
        <v>0</v>
      </c>
      <c r="AS137" s="16">
        <f t="shared" si="150"/>
        <v>0</v>
      </c>
      <c r="AT137" s="18">
        <f t="shared" si="151"/>
        <v>27</v>
      </c>
      <c r="AU137" s="16">
        <f t="shared" si="152"/>
        <v>1107</v>
      </c>
      <c r="AV137" s="19">
        <v>0</v>
      </c>
      <c r="AW137" s="19">
        <v>0</v>
      </c>
      <c r="AX137" s="16">
        <f t="shared" si="153"/>
        <v>0</v>
      </c>
      <c r="AY137" s="16">
        <f t="shared" si="154"/>
        <v>0</v>
      </c>
      <c r="AZ137" s="18">
        <f t="shared" si="120"/>
        <v>27</v>
      </c>
      <c r="BA137" s="16">
        <f t="shared" si="121"/>
        <v>1107</v>
      </c>
      <c r="BB137" s="19">
        <v>0</v>
      </c>
      <c r="BC137" s="19">
        <v>0</v>
      </c>
      <c r="BD137" s="16">
        <f t="shared" si="122"/>
        <v>0</v>
      </c>
      <c r="BE137" s="16">
        <f t="shared" si="123"/>
        <v>0</v>
      </c>
      <c r="BF137" s="18">
        <f t="shared" si="124"/>
        <v>27</v>
      </c>
      <c r="BG137" s="16">
        <f t="shared" si="125"/>
        <v>1107</v>
      </c>
      <c r="BH137" s="19">
        <v>0</v>
      </c>
      <c r="BI137" s="19">
        <v>0</v>
      </c>
      <c r="BJ137" s="16">
        <f t="shared" si="126"/>
        <v>0</v>
      </c>
      <c r="BK137" s="16">
        <f t="shared" si="127"/>
        <v>0</v>
      </c>
      <c r="BL137" s="18">
        <f t="shared" si="128"/>
        <v>27</v>
      </c>
      <c r="BM137" s="16">
        <f t="shared" si="129"/>
        <v>1107</v>
      </c>
      <c r="BN137" s="19">
        <v>0</v>
      </c>
      <c r="BO137" s="19">
        <v>0</v>
      </c>
      <c r="BP137" s="16">
        <f t="shared" si="130"/>
        <v>0</v>
      </c>
      <c r="BQ137" s="16">
        <f t="shared" si="131"/>
        <v>0</v>
      </c>
      <c r="BR137" s="18">
        <f t="shared" si="132"/>
        <v>27</v>
      </c>
      <c r="BS137" s="16">
        <f t="shared" si="133"/>
        <v>1107</v>
      </c>
      <c r="BT137" s="19">
        <v>0</v>
      </c>
      <c r="BU137" s="19">
        <v>0</v>
      </c>
      <c r="BV137" s="16">
        <f t="shared" si="134"/>
        <v>0</v>
      </c>
      <c r="BW137" s="16">
        <f t="shared" si="135"/>
        <v>0</v>
      </c>
      <c r="BX137" s="18">
        <f t="shared" si="136"/>
        <v>27</v>
      </c>
      <c r="BY137" s="16">
        <f t="shared" si="137"/>
        <v>1107</v>
      </c>
      <c r="BZ137" s="19">
        <v>0</v>
      </c>
      <c r="CA137" s="19">
        <v>0</v>
      </c>
      <c r="CB137" s="16">
        <f t="shared" si="138"/>
        <v>0</v>
      </c>
      <c r="CC137" s="16">
        <f t="shared" si="139"/>
        <v>0</v>
      </c>
      <c r="CD137" s="20">
        <f t="shared" si="142"/>
        <v>27</v>
      </c>
      <c r="CE137" s="21">
        <f t="shared" si="141"/>
        <v>1107</v>
      </c>
    </row>
    <row r="138" spans="1:83" x14ac:dyDescent="0.25">
      <c r="A138" s="23">
        <v>86</v>
      </c>
      <c r="B138" s="70">
        <v>119</v>
      </c>
      <c r="C138" s="79" t="s">
        <v>214</v>
      </c>
      <c r="D138" s="13" t="s">
        <v>215</v>
      </c>
      <c r="E138" s="23">
        <v>5</v>
      </c>
      <c r="F138" s="23">
        <v>10</v>
      </c>
      <c r="G138" s="23">
        <v>15</v>
      </c>
      <c r="H138" s="17">
        <v>8</v>
      </c>
      <c r="I138" s="30">
        <v>38.4</v>
      </c>
      <c r="J138" s="17">
        <v>8</v>
      </c>
      <c r="K138" s="16">
        <f t="shared" si="104"/>
        <v>307.2</v>
      </c>
      <c r="L138" s="19">
        <v>0</v>
      </c>
      <c r="M138" s="19">
        <v>0</v>
      </c>
      <c r="N138" s="16">
        <f t="shared" si="106"/>
        <v>0</v>
      </c>
      <c r="O138" s="16">
        <f t="shared" si="107"/>
        <v>0</v>
      </c>
      <c r="P138" s="18">
        <f t="shared" si="108"/>
        <v>8</v>
      </c>
      <c r="Q138" s="16">
        <f t="shared" si="109"/>
        <v>307.2</v>
      </c>
      <c r="R138" s="19">
        <v>1</v>
      </c>
      <c r="S138" s="18">
        <v>0</v>
      </c>
      <c r="T138" s="16">
        <f t="shared" si="110"/>
        <v>0</v>
      </c>
      <c r="U138" s="16">
        <f t="shared" si="111"/>
        <v>38.4</v>
      </c>
      <c r="V138" s="18">
        <f t="shared" si="112"/>
        <v>7</v>
      </c>
      <c r="W138" s="16">
        <f t="shared" si="113"/>
        <v>268.8</v>
      </c>
      <c r="X138" s="19">
        <v>0</v>
      </c>
      <c r="Y138" s="19">
        <v>0</v>
      </c>
      <c r="Z138" s="16">
        <f t="shared" si="114"/>
        <v>0</v>
      </c>
      <c r="AA138" s="16">
        <f t="shared" si="115"/>
        <v>0</v>
      </c>
      <c r="AB138" s="18">
        <f t="shared" si="116"/>
        <v>7</v>
      </c>
      <c r="AC138" s="16">
        <f t="shared" si="117"/>
        <v>268.8</v>
      </c>
      <c r="AD138" s="19">
        <v>0</v>
      </c>
      <c r="AE138" s="19">
        <v>0</v>
      </c>
      <c r="AF138" s="16">
        <f t="shared" si="118"/>
        <v>0</v>
      </c>
      <c r="AG138" s="16">
        <f t="shared" si="119"/>
        <v>0</v>
      </c>
      <c r="AH138" s="18">
        <f t="shared" si="143"/>
        <v>7</v>
      </c>
      <c r="AI138" s="16">
        <f t="shared" si="144"/>
        <v>268.8</v>
      </c>
      <c r="AJ138" s="19">
        <v>0</v>
      </c>
      <c r="AK138" s="19">
        <v>0</v>
      </c>
      <c r="AL138" s="16">
        <f t="shared" si="145"/>
        <v>0</v>
      </c>
      <c r="AM138" s="16">
        <f t="shared" si="146"/>
        <v>0</v>
      </c>
      <c r="AN138" s="18">
        <f t="shared" si="147"/>
        <v>7</v>
      </c>
      <c r="AO138" s="16">
        <f t="shared" si="148"/>
        <v>268.8</v>
      </c>
      <c r="AP138" s="19">
        <v>0</v>
      </c>
      <c r="AQ138" s="19">
        <v>0</v>
      </c>
      <c r="AR138" s="16">
        <f t="shared" si="149"/>
        <v>0</v>
      </c>
      <c r="AS138" s="16">
        <f t="shared" si="150"/>
        <v>0</v>
      </c>
      <c r="AT138" s="18">
        <f t="shared" si="151"/>
        <v>7</v>
      </c>
      <c r="AU138" s="16">
        <f t="shared" si="152"/>
        <v>268.8</v>
      </c>
      <c r="AV138" s="19">
        <v>0</v>
      </c>
      <c r="AW138" s="19">
        <v>0</v>
      </c>
      <c r="AX138" s="16">
        <f t="shared" si="153"/>
        <v>0</v>
      </c>
      <c r="AY138" s="16">
        <f t="shared" si="154"/>
        <v>0</v>
      </c>
      <c r="AZ138" s="18">
        <f t="shared" si="120"/>
        <v>7</v>
      </c>
      <c r="BA138" s="16">
        <f t="shared" si="121"/>
        <v>268.8</v>
      </c>
      <c r="BB138" s="19">
        <v>0</v>
      </c>
      <c r="BC138" s="19">
        <v>0</v>
      </c>
      <c r="BD138" s="16">
        <f t="shared" si="122"/>
        <v>0</v>
      </c>
      <c r="BE138" s="16">
        <f t="shared" si="123"/>
        <v>0</v>
      </c>
      <c r="BF138" s="18">
        <f t="shared" si="124"/>
        <v>7</v>
      </c>
      <c r="BG138" s="16">
        <f t="shared" si="125"/>
        <v>268.8</v>
      </c>
      <c r="BH138" s="19">
        <v>0</v>
      </c>
      <c r="BI138" s="19">
        <v>0</v>
      </c>
      <c r="BJ138" s="16">
        <f t="shared" si="126"/>
        <v>0</v>
      </c>
      <c r="BK138" s="16">
        <f t="shared" si="127"/>
        <v>0</v>
      </c>
      <c r="BL138" s="18">
        <f t="shared" si="128"/>
        <v>7</v>
      </c>
      <c r="BM138" s="16">
        <f t="shared" si="129"/>
        <v>268.8</v>
      </c>
      <c r="BN138" s="19">
        <v>0</v>
      </c>
      <c r="BO138" s="19">
        <v>0</v>
      </c>
      <c r="BP138" s="16">
        <f t="shared" si="130"/>
        <v>0</v>
      </c>
      <c r="BQ138" s="16">
        <f t="shared" si="131"/>
        <v>0</v>
      </c>
      <c r="BR138" s="18">
        <f t="shared" si="132"/>
        <v>7</v>
      </c>
      <c r="BS138" s="16">
        <f t="shared" si="133"/>
        <v>268.8</v>
      </c>
      <c r="BT138" s="19">
        <v>0</v>
      </c>
      <c r="BU138" s="19">
        <v>0</v>
      </c>
      <c r="BV138" s="16">
        <f t="shared" si="134"/>
        <v>0</v>
      </c>
      <c r="BW138" s="16">
        <f t="shared" si="135"/>
        <v>0</v>
      </c>
      <c r="BX138" s="18">
        <f t="shared" si="136"/>
        <v>7</v>
      </c>
      <c r="BY138" s="16">
        <f t="shared" si="137"/>
        <v>268.8</v>
      </c>
      <c r="BZ138" s="19">
        <v>0</v>
      </c>
      <c r="CA138" s="19">
        <v>0</v>
      </c>
      <c r="CB138" s="16">
        <f t="shared" si="138"/>
        <v>0</v>
      </c>
      <c r="CC138" s="16">
        <f t="shared" si="139"/>
        <v>0</v>
      </c>
      <c r="CD138" s="20">
        <f t="shared" si="142"/>
        <v>7</v>
      </c>
      <c r="CE138" s="21">
        <f t="shared" si="141"/>
        <v>268.8</v>
      </c>
    </row>
    <row r="139" spans="1:83" x14ac:dyDescent="0.25">
      <c r="B139" s="70">
        <v>120</v>
      </c>
      <c r="C139" s="174" t="s">
        <v>216</v>
      </c>
      <c r="D139" s="41" t="s">
        <v>363</v>
      </c>
      <c r="E139" s="23"/>
      <c r="F139" s="23"/>
      <c r="G139" s="23"/>
      <c r="H139" s="40">
        <v>2</v>
      </c>
      <c r="I139" s="30">
        <v>82</v>
      </c>
      <c r="J139" s="40">
        <v>2</v>
      </c>
      <c r="K139" s="16">
        <f t="shared" si="104"/>
        <v>164</v>
      </c>
      <c r="L139" s="19">
        <v>2</v>
      </c>
      <c r="M139" s="19">
        <v>0</v>
      </c>
      <c r="N139" s="16">
        <f t="shared" si="106"/>
        <v>0</v>
      </c>
      <c r="O139" s="16">
        <f t="shared" si="107"/>
        <v>164</v>
      </c>
      <c r="P139" s="18">
        <f t="shared" si="108"/>
        <v>0</v>
      </c>
      <c r="Q139" s="16">
        <f t="shared" si="109"/>
        <v>0</v>
      </c>
      <c r="R139" s="19">
        <v>0</v>
      </c>
      <c r="S139" s="18">
        <v>0</v>
      </c>
      <c r="T139" s="16">
        <f t="shared" si="110"/>
        <v>0</v>
      </c>
      <c r="U139" s="16">
        <f t="shared" si="111"/>
        <v>0</v>
      </c>
      <c r="V139" s="18">
        <f t="shared" si="112"/>
        <v>0</v>
      </c>
      <c r="W139" s="16">
        <f t="shared" si="113"/>
        <v>0</v>
      </c>
      <c r="X139" s="19">
        <v>0</v>
      </c>
      <c r="Y139" s="19">
        <v>0</v>
      </c>
      <c r="Z139" s="16">
        <f t="shared" si="114"/>
        <v>0</v>
      </c>
      <c r="AA139" s="16">
        <f t="shared" si="115"/>
        <v>0</v>
      </c>
      <c r="AB139" s="18">
        <f t="shared" si="116"/>
        <v>0</v>
      </c>
      <c r="AC139" s="16">
        <f t="shared" si="117"/>
        <v>0</v>
      </c>
      <c r="AD139" s="19">
        <v>0</v>
      </c>
      <c r="AE139" s="19">
        <v>0</v>
      </c>
      <c r="AF139" s="16">
        <f t="shared" si="118"/>
        <v>0</v>
      </c>
      <c r="AG139" s="16">
        <f t="shared" si="119"/>
        <v>0</v>
      </c>
      <c r="AH139" s="18">
        <f t="shared" si="143"/>
        <v>0</v>
      </c>
      <c r="AI139" s="16">
        <f t="shared" si="144"/>
        <v>0</v>
      </c>
      <c r="AJ139" s="19">
        <v>0</v>
      </c>
      <c r="AK139" s="19">
        <v>0</v>
      </c>
      <c r="AL139" s="16">
        <f t="shared" si="145"/>
        <v>0</v>
      </c>
      <c r="AM139" s="16">
        <f t="shared" si="146"/>
        <v>0</v>
      </c>
      <c r="AN139" s="18">
        <f t="shared" si="147"/>
        <v>0</v>
      </c>
      <c r="AO139" s="16">
        <f t="shared" si="148"/>
        <v>0</v>
      </c>
      <c r="AP139" s="19">
        <v>0</v>
      </c>
      <c r="AQ139" s="19">
        <v>0</v>
      </c>
      <c r="AR139" s="16">
        <f t="shared" si="149"/>
        <v>0</v>
      </c>
      <c r="AS139" s="16">
        <f t="shared" si="150"/>
        <v>0</v>
      </c>
      <c r="AT139" s="18">
        <f t="shared" si="151"/>
        <v>0</v>
      </c>
      <c r="AU139" s="16">
        <f t="shared" si="152"/>
        <v>0</v>
      </c>
      <c r="AV139" s="19">
        <v>0</v>
      </c>
      <c r="AW139" s="19">
        <v>0</v>
      </c>
      <c r="AX139" s="16">
        <f t="shared" si="153"/>
        <v>0</v>
      </c>
      <c r="AY139" s="16">
        <f t="shared" si="154"/>
        <v>0</v>
      </c>
      <c r="AZ139" s="18">
        <f t="shared" si="120"/>
        <v>0</v>
      </c>
      <c r="BA139" s="16">
        <f t="shared" si="121"/>
        <v>0</v>
      </c>
      <c r="BB139" s="19">
        <v>0</v>
      </c>
      <c r="BC139" s="19">
        <v>0</v>
      </c>
      <c r="BD139" s="16">
        <f t="shared" si="122"/>
        <v>0</v>
      </c>
      <c r="BE139" s="16">
        <f t="shared" si="123"/>
        <v>0</v>
      </c>
      <c r="BF139" s="18">
        <f t="shared" si="124"/>
        <v>0</v>
      </c>
      <c r="BG139" s="16">
        <f t="shared" si="125"/>
        <v>0</v>
      </c>
      <c r="BH139" s="19">
        <v>0</v>
      </c>
      <c r="BI139" s="19">
        <v>0</v>
      </c>
      <c r="BJ139" s="16">
        <f t="shared" si="126"/>
        <v>0</v>
      </c>
      <c r="BK139" s="16">
        <f t="shared" si="127"/>
        <v>0</v>
      </c>
      <c r="BL139" s="18">
        <f t="shared" si="128"/>
        <v>0</v>
      </c>
      <c r="BM139" s="16">
        <f t="shared" si="129"/>
        <v>0</v>
      </c>
      <c r="BN139" s="19">
        <v>0</v>
      </c>
      <c r="BO139" s="19">
        <v>0</v>
      </c>
      <c r="BP139" s="16">
        <f t="shared" si="130"/>
        <v>0</v>
      </c>
      <c r="BQ139" s="16">
        <f t="shared" si="131"/>
        <v>0</v>
      </c>
      <c r="BR139" s="18">
        <f t="shared" si="132"/>
        <v>0</v>
      </c>
      <c r="BS139" s="16">
        <f t="shared" si="133"/>
        <v>0</v>
      </c>
      <c r="BT139" s="19">
        <v>0</v>
      </c>
      <c r="BU139" s="19">
        <v>0</v>
      </c>
      <c r="BV139" s="16">
        <f t="shared" si="134"/>
        <v>0</v>
      </c>
      <c r="BW139" s="16">
        <f t="shared" si="135"/>
        <v>0</v>
      </c>
      <c r="BX139" s="18">
        <f t="shared" si="136"/>
        <v>0</v>
      </c>
      <c r="BY139" s="16">
        <f t="shared" si="137"/>
        <v>0</v>
      </c>
      <c r="BZ139" s="19">
        <v>0</v>
      </c>
      <c r="CA139" s="19">
        <v>0</v>
      </c>
      <c r="CB139" s="16">
        <f t="shared" si="138"/>
        <v>0</v>
      </c>
      <c r="CC139" s="16">
        <f t="shared" si="139"/>
        <v>0</v>
      </c>
      <c r="CD139" s="20">
        <f t="shared" si="142"/>
        <v>0</v>
      </c>
      <c r="CE139" s="21">
        <f t="shared" si="141"/>
        <v>0</v>
      </c>
    </row>
    <row r="140" spans="1:83" x14ac:dyDescent="0.25">
      <c r="B140" s="70">
        <v>121</v>
      </c>
      <c r="C140" s="175"/>
      <c r="D140" s="41" t="s">
        <v>363</v>
      </c>
      <c r="E140" s="23"/>
      <c r="F140" s="23"/>
      <c r="G140" s="23"/>
      <c r="H140" s="40">
        <v>0</v>
      </c>
      <c r="I140" s="30">
        <v>81</v>
      </c>
      <c r="J140" s="40"/>
      <c r="K140" s="16">
        <f t="shared" si="104"/>
        <v>0</v>
      </c>
      <c r="L140" s="19">
        <v>0</v>
      </c>
      <c r="M140" s="19">
        <v>5</v>
      </c>
      <c r="N140" s="16">
        <f t="shared" si="106"/>
        <v>405</v>
      </c>
      <c r="O140" s="16">
        <f t="shared" si="107"/>
        <v>0</v>
      </c>
      <c r="P140" s="18">
        <f t="shared" si="108"/>
        <v>5</v>
      </c>
      <c r="Q140" s="16">
        <f t="shared" si="109"/>
        <v>405</v>
      </c>
      <c r="R140" s="19">
        <v>0</v>
      </c>
      <c r="S140" s="18">
        <v>0</v>
      </c>
      <c r="T140" s="16">
        <f t="shared" si="110"/>
        <v>0</v>
      </c>
      <c r="U140" s="16">
        <f t="shared" si="111"/>
        <v>0</v>
      </c>
      <c r="V140" s="18">
        <f t="shared" si="112"/>
        <v>5</v>
      </c>
      <c r="W140" s="16">
        <f t="shared" si="113"/>
        <v>405</v>
      </c>
      <c r="X140" s="19">
        <v>1</v>
      </c>
      <c r="Y140" s="19">
        <v>0</v>
      </c>
      <c r="Z140" s="16">
        <f t="shared" si="114"/>
        <v>0</v>
      </c>
      <c r="AA140" s="16">
        <f t="shared" si="115"/>
        <v>81</v>
      </c>
      <c r="AB140" s="18">
        <f t="shared" si="116"/>
        <v>4</v>
      </c>
      <c r="AC140" s="16">
        <f t="shared" si="117"/>
        <v>324</v>
      </c>
      <c r="AD140" s="19">
        <v>0</v>
      </c>
      <c r="AE140" s="19">
        <v>0</v>
      </c>
      <c r="AF140" s="16">
        <f t="shared" si="118"/>
        <v>0</v>
      </c>
      <c r="AG140" s="16">
        <f t="shared" si="119"/>
        <v>0</v>
      </c>
      <c r="AH140" s="18">
        <f t="shared" si="143"/>
        <v>4</v>
      </c>
      <c r="AI140" s="16">
        <f t="shared" si="144"/>
        <v>324</v>
      </c>
      <c r="AJ140" s="19">
        <v>0</v>
      </c>
      <c r="AK140" s="19">
        <v>0</v>
      </c>
      <c r="AL140" s="16">
        <f t="shared" si="145"/>
        <v>0</v>
      </c>
      <c r="AM140" s="16">
        <f t="shared" si="146"/>
        <v>0</v>
      </c>
      <c r="AN140" s="18">
        <f t="shared" si="147"/>
        <v>4</v>
      </c>
      <c r="AO140" s="16">
        <f t="shared" si="148"/>
        <v>324</v>
      </c>
      <c r="AP140" s="19">
        <v>0</v>
      </c>
      <c r="AQ140" s="19">
        <v>0</v>
      </c>
      <c r="AR140" s="16">
        <f t="shared" si="149"/>
        <v>0</v>
      </c>
      <c r="AS140" s="16">
        <f t="shared" si="150"/>
        <v>0</v>
      </c>
      <c r="AT140" s="18">
        <f t="shared" si="151"/>
        <v>4</v>
      </c>
      <c r="AU140" s="16">
        <f t="shared" si="152"/>
        <v>324</v>
      </c>
      <c r="AV140" s="19">
        <v>1</v>
      </c>
      <c r="AW140" s="19">
        <v>0</v>
      </c>
      <c r="AX140" s="16">
        <f t="shared" si="153"/>
        <v>0</v>
      </c>
      <c r="AY140" s="16">
        <f t="shared" si="154"/>
        <v>81</v>
      </c>
      <c r="AZ140" s="18">
        <f t="shared" si="120"/>
        <v>3</v>
      </c>
      <c r="BA140" s="16">
        <f t="shared" si="121"/>
        <v>243</v>
      </c>
      <c r="BB140" s="19">
        <v>1</v>
      </c>
      <c r="BC140" s="19">
        <v>0</v>
      </c>
      <c r="BD140" s="16">
        <f t="shared" si="122"/>
        <v>0</v>
      </c>
      <c r="BE140" s="16">
        <f t="shared" si="123"/>
        <v>81</v>
      </c>
      <c r="BF140" s="18">
        <f t="shared" si="124"/>
        <v>2</v>
      </c>
      <c r="BG140" s="16">
        <f t="shared" si="125"/>
        <v>162</v>
      </c>
      <c r="BH140" s="19">
        <v>0</v>
      </c>
      <c r="BI140" s="19">
        <v>0</v>
      </c>
      <c r="BJ140" s="16"/>
      <c r="BK140" s="16"/>
      <c r="BL140" s="18"/>
      <c r="BM140" s="16"/>
      <c r="BN140" s="19"/>
      <c r="BO140" s="19"/>
      <c r="BP140" s="16"/>
      <c r="BQ140" s="16"/>
      <c r="BR140" s="18"/>
      <c r="BS140" s="16"/>
      <c r="BT140" s="19"/>
      <c r="BU140" s="19"/>
      <c r="BV140" s="16"/>
      <c r="BW140" s="16"/>
      <c r="BX140" s="18"/>
      <c r="BY140" s="16"/>
      <c r="BZ140" s="19"/>
      <c r="CA140" s="19"/>
      <c r="CB140" s="16"/>
      <c r="CC140" s="16"/>
      <c r="CD140" s="20"/>
      <c r="CE140" s="21"/>
    </row>
    <row r="141" spans="1:83" x14ac:dyDescent="0.25">
      <c r="B141" s="70"/>
      <c r="C141" s="101" t="s">
        <v>408</v>
      </c>
      <c r="D141" s="41" t="s">
        <v>409</v>
      </c>
      <c r="E141" s="23"/>
      <c r="F141" s="23"/>
      <c r="G141" s="23"/>
      <c r="H141" s="40">
        <v>0</v>
      </c>
      <c r="I141" s="30">
        <v>73</v>
      </c>
      <c r="J141" s="40"/>
      <c r="K141" s="16">
        <f t="shared" si="104"/>
        <v>0</v>
      </c>
      <c r="L141" s="19"/>
      <c r="M141" s="19"/>
      <c r="N141" s="16"/>
      <c r="O141" s="16"/>
      <c r="P141" s="18"/>
      <c r="Q141" s="16"/>
      <c r="R141" s="19"/>
      <c r="S141" s="18"/>
      <c r="T141" s="16"/>
      <c r="U141" s="16"/>
      <c r="V141" s="18"/>
      <c r="W141" s="16"/>
      <c r="X141" s="19"/>
      <c r="Y141" s="19"/>
      <c r="Z141" s="16"/>
      <c r="AA141" s="16"/>
      <c r="AB141" s="18">
        <v>0</v>
      </c>
      <c r="AC141" s="16">
        <v>0</v>
      </c>
      <c r="AD141" s="19">
        <v>0</v>
      </c>
      <c r="AE141" s="19">
        <v>0</v>
      </c>
      <c r="AF141" s="16">
        <v>0</v>
      </c>
      <c r="AG141" s="16">
        <v>0</v>
      </c>
      <c r="AH141" s="18">
        <f t="shared" si="143"/>
        <v>0</v>
      </c>
      <c r="AI141" s="16">
        <f t="shared" si="144"/>
        <v>0</v>
      </c>
      <c r="AJ141" s="19">
        <v>0</v>
      </c>
      <c r="AK141" s="19">
        <v>2</v>
      </c>
      <c r="AL141" s="16">
        <f t="shared" si="145"/>
        <v>146</v>
      </c>
      <c r="AM141" s="16">
        <f t="shared" si="146"/>
        <v>0</v>
      </c>
      <c r="AN141" s="18">
        <f t="shared" si="147"/>
        <v>2</v>
      </c>
      <c r="AO141" s="16">
        <f t="shared" si="148"/>
        <v>146</v>
      </c>
      <c r="AP141" s="19">
        <v>0</v>
      </c>
      <c r="AQ141" s="19">
        <v>0</v>
      </c>
      <c r="AR141" s="16">
        <f t="shared" si="149"/>
        <v>0</v>
      </c>
      <c r="AS141" s="16">
        <f t="shared" si="150"/>
        <v>0</v>
      </c>
      <c r="AT141" s="18">
        <f t="shared" si="151"/>
        <v>2</v>
      </c>
      <c r="AU141" s="16">
        <f t="shared" si="152"/>
        <v>146</v>
      </c>
      <c r="AV141" s="19">
        <v>0</v>
      </c>
      <c r="AW141" s="19">
        <v>0</v>
      </c>
      <c r="AX141" s="16">
        <f t="shared" si="153"/>
        <v>0</v>
      </c>
      <c r="AY141" s="16">
        <f t="shared" si="154"/>
        <v>0</v>
      </c>
      <c r="AZ141" s="18">
        <f t="shared" si="120"/>
        <v>2</v>
      </c>
      <c r="BA141" s="16">
        <f t="shared" si="121"/>
        <v>146</v>
      </c>
      <c r="BB141" s="19">
        <v>0</v>
      </c>
      <c r="BC141" s="19">
        <v>0</v>
      </c>
      <c r="BD141" s="16">
        <f t="shared" si="122"/>
        <v>0</v>
      </c>
      <c r="BE141" s="16">
        <f t="shared" si="123"/>
        <v>0</v>
      </c>
      <c r="BF141" s="18">
        <f t="shared" si="124"/>
        <v>2</v>
      </c>
      <c r="BG141" s="16">
        <f t="shared" si="125"/>
        <v>146</v>
      </c>
      <c r="BH141" s="19">
        <v>0</v>
      </c>
      <c r="BI141" s="19">
        <v>0</v>
      </c>
      <c r="BJ141" s="16"/>
      <c r="BK141" s="16"/>
      <c r="BL141" s="18"/>
      <c r="BM141" s="16"/>
      <c r="BN141" s="19"/>
      <c r="BO141" s="19"/>
      <c r="BP141" s="16"/>
      <c r="BQ141" s="16"/>
      <c r="BR141" s="18"/>
      <c r="BS141" s="16"/>
      <c r="BT141" s="19"/>
      <c r="BU141" s="19"/>
      <c r="BV141" s="16"/>
      <c r="BW141" s="16"/>
      <c r="BX141" s="18"/>
      <c r="BY141" s="16"/>
      <c r="BZ141" s="19"/>
      <c r="CA141" s="19"/>
      <c r="CB141" s="16"/>
      <c r="CC141" s="16"/>
      <c r="CD141" s="20"/>
      <c r="CE141" s="21"/>
    </row>
    <row r="142" spans="1:83" x14ac:dyDescent="0.25">
      <c r="B142" s="70">
        <v>122</v>
      </c>
      <c r="C142" s="170" t="s">
        <v>218</v>
      </c>
      <c r="D142" s="41" t="s">
        <v>364</v>
      </c>
      <c r="E142" s="23"/>
      <c r="F142" s="23"/>
      <c r="G142" s="23"/>
      <c r="H142" s="40">
        <v>3</v>
      </c>
      <c r="I142" s="30">
        <v>89</v>
      </c>
      <c r="J142" s="40">
        <v>3</v>
      </c>
      <c r="K142" s="16">
        <f t="shared" si="104"/>
        <v>267</v>
      </c>
      <c r="L142" s="19">
        <v>1</v>
      </c>
      <c r="M142" s="19">
        <v>0</v>
      </c>
      <c r="N142" s="16">
        <f t="shared" si="106"/>
        <v>0</v>
      </c>
      <c r="O142" s="16">
        <f t="shared" si="107"/>
        <v>89</v>
      </c>
      <c r="P142" s="18">
        <f t="shared" si="108"/>
        <v>2</v>
      </c>
      <c r="Q142" s="16">
        <f t="shared" si="109"/>
        <v>178</v>
      </c>
      <c r="R142" s="19">
        <v>0</v>
      </c>
      <c r="S142" s="18">
        <v>0</v>
      </c>
      <c r="T142" s="16">
        <f t="shared" si="110"/>
        <v>0</v>
      </c>
      <c r="U142" s="16">
        <f t="shared" si="111"/>
        <v>0</v>
      </c>
      <c r="V142" s="18">
        <f t="shared" si="112"/>
        <v>2</v>
      </c>
      <c r="W142" s="16">
        <f t="shared" si="113"/>
        <v>178</v>
      </c>
      <c r="X142" s="19">
        <v>2</v>
      </c>
      <c r="Y142" s="19">
        <v>0</v>
      </c>
      <c r="Z142" s="16">
        <f t="shared" si="114"/>
        <v>0</v>
      </c>
      <c r="AA142" s="16">
        <f t="shared" si="115"/>
        <v>178</v>
      </c>
      <c r="AB142" s="18">
        <f t="shared" si="116"/>
        <v>0</v>
      </c>
      <c r="AC142" s="16">
        <f t="shared" si="117"/>
        <v>0</v>
      </c>
      <c r="AD142" s="19">
        <v>0</v>
      </c>
      <c r="AE142" s="19">
        <v>0</v>
      </c>
      <c r="AF142" s="16">
        <f t="shared" si="118"/>
        <v>0</v>
      </c>
      <c r="AG142" s="16">
        <f t="shared" si="119"/>
        <v>0</v>
      </c>
      <c r="AH142" s="18">
        <f t="shared" si="143"/>
        <v>0</v>
      </c>
      <c r="AI142" s="16">
        <f t="shared" si="144"/>
        <v>0</v>
      </c>
      <c r="AJ142" s="19">
        <v>0</v>
      </c>
      <c r="AK142" s="19">
        <v>0</v>
      </c>
      <c r="AL142" s="16">
        <f t="shared" si="145"/>
        <v>0</v>
      </c>
      <c r="AM142" s="16">
        <f t="shared" si="146"/>
        <v>0</v>
      </c>
      <c r="AN142" s="18">
        <f t="shared" si="147"/>
        <v>0</v>
      </c>
      <c r="AO142" s="16">
        <f t="shared" si="148"/>
        <v>0</v>
      </c>
      <c r="AP142" s="19">
        <v>0</v>
      </c>
      <c r="AQ142" s="19">
        <v>0</v>
      </c>
      <c r="AR142" s="16">
        <f t="shared" si="149"/>
        <v>0</v>
      </c>
      <c r="AS142" s="16">
        <f t="shared" si="150"/>
        <v>0</v>
      </c>
      <c r="AT142" s="18">
        <f t="shared" si="151"/>
        <v>0</v>
      </c>
      <c r="AU142" s="16">
        <f t="shared" si="152"/>
        <v>0</v>
      </c>
      <c r="AV142" s="19">
        <v>0</v>
      </c>
      <c r="AW142" s="19">
        <v>0</v>
      </c>
      <c r="AX142" s="16">
        <f t="shared" si="153"/>
        <v>0</v>
      </c>
      <c r="AY142" s="16">
        <f t="shared" si="154"/>
        <v>0</v>
      </c>
      <c r="AZ142" s="18">
        <f t="shared" si="120"/>
        <v>0</v>
      </c>
      <c r="BA142" s="16">
        <f t="shared" si="121"/>
        <v>0</v>
      </c>
      <c r="BB142" s="19">
        <v>0</v>
      </c>
      <c r="BC142" s="19">
        <v>0</v>
      </c>
      <c r="BD142" s="16">
        <f t="shared" si="122"/>
        <v>0</v>
      </c>
      <c r="BE142" s="16">
        <f t="shared" si="123"/>
        <v>0</v>
      </c>
      <c r="BF142" s="18">
        <f t="shared" si="124"/>
        <v>0</v>
      </c>
      <c r="BG142" s="16">
        <f t="shared" si="125"/>
        <v>0</v>
      </c>
      <c r="BH142" s="19">
        <v>0</v>
      </c>
      <c r="BI142" s="19">
        <v>0</v>
      </c>
      <c r="BJ142" s="16">
        <f t="shared" si="126"/>
        <v>0</v>
      </c>
      <c r="BK142" s="16">
        <f t="shared" si="127"/>
        <v>0</v>
      </c>
      <c r="BL142" s="18">
        <f t="shared" si="128"/>
        <v>0</v>
      </c>
      <c r="BM142" s="16">
        <f t="shared" si="129"/>
        <v>0</v>
      </c>
      <c r="BN142" s="19">
        <v>0</v>
      </c>
      <c r="BO142" s="19">
        <v>0</v>
      </c>
      <c r="BP142" s="16">
        <f t="shared" si="130"/>
        <v>0</v>
      </c>
      <c r="BQ142" s="16">
        <f t="shared" si="131"/>
        <v>0</v>
      </c>
      <c r="BR142" s="18">
        <f t="shared" si="132"/>
        <v>0</v>
      </c>
      <c r="BS142" s="16">
        <f t="shared" si="133"/>
        <v>0</v>
      </c>
      <c r="BT142" s="19">
        <v>0</v>
      </c>
      <c r="BU142" s="19">
        <v>0</v>
      </c>
      <c r="BV142" s="16">
        <f t="shared" si="134"/>
        <v>0</v>
      </c>
      <c r="BW142" s="16">
        <f t="shared" si="135"/>
        <v>0</v>
      </c>
      <c r="BX142" s="18">
        <f t="shared" si="136"/>
        <v>0</v>
      </c>
      <c r="BY142" s="16">
        <f t="shared" si="137"/>
        <v>0</v>
      </c>
      <c r="BZ142" s="19">
        <v>0</v>
      </c>
      <c r="CA142" s="19">
        <v>0</v>
      </c>
      <c r="CB142" s="16">
        <f t="shared" si="138"/>
        <v>0</v>
      </c>
      <c r="CC142" s="16">
        <f t="shared" si="139"/>
        <v>0</v>
      </c>
      <c r="CD142" s="20">
        <f t="shared" si="142"/>
        <v>0</v>
      </c>
      <c r="CE142" s="21">
        <f t="shared" si="141"/>
        <v>0</v>
      </c>
    </row>
    <row r="143" spans="1:83" x14ac:dyDescent="0.25">
      <c r="B143" s="70">
        <v>123</v>
      </c>
      <c r="C143" s="171"/>
      <c r="D143" s="41" t="s">
        <v>364</v>
      </c>
      <c r="E143" s="23"/>
      <c r="F143" s="23"/>
      <c r="G143" s="23"/>
      <c r="H143" s="40">
        <v>0</v>
      </c>
      <c r="I143" s="30">
        <v>89</v>
      </c>
      <c r="J143" s="40"/>
      <c r="K143" s="16">
        <f t="shared" si="104"/>
        <v>0</v>
      </c>
      <c r="L143" s="19">
        <v>0</v>
      </c>
      <c r="M143" s="19">
        <v>2</v>
      </c>
      <c r="N143" s="16">
        <f t="shared" si="106"/>
        <v>178</v>
      </c>
      <c r="O143" s="16">
        <f t="shared" si="107"/>
        <v>0</v>
      </c>
      <c r="P143" s="18">
        <f t="shared" si="108"/>
        <v>2</v>
      </c>
      <c r="Q143" s="16">
        <f t="shared" si="109"/>
        <v>178</v>
      </c>
      <c r="R143" s="19">
        <v>0</v>
      </c>
      <c r="S143" s="18">
        <v>0</v>
      </c>
      <c r="T143" s="16">
        <f t="shared" si="110"/>
        <v>0</v>
      </c>
      <c r="U143" s="16">
        <f t="shared" si="111"/>
        <v>0</v>
      </c>
      <c r="V143" s="18">
        <f t="shared" si="112"/>
        <v>2</v>
      </c>
      <c r="W143" s="16">
        <f t="shared" si="113"/>
        <v>178</v>
      </c>
      <c r="X143" s="19">
        <v>1</v>
      </c>
      <c r="Y143" s="19">
        <v>0</v>
      </c>
      <c r="Z143" s="16">
        <f t="shared" si="114"/>
        <v>0</v>
      </c>
      <c r="AA143" s="16">
        <f t="shared" si="115"/>
        <v>89</v>
      </c>
      <c r="AB143" s="18">
        <f t="shared" si="116"/>
        <v>1</v>
      </c>
      <c r="AC143" s="16">
        <f t="shared" si="117"/>
        <v>89</v>
      </c>
      <c r="AD143" s="19">
        <v>0</v>
      </c>
      <c r="AE143" s="19">
        <v>0</v>
      </c>
      <c r="AF143" s="16">
        <f t="shared" si="118"/>
        <v>0</v>
      </c>
      <c r="AG143" s="16">
        <f t="shared" si="119"/>
        <v>0</v>
      </c>
      <c r="AH143" s="18">
        <f t="shared" si="143"/>
        <v>1</v>
      </c>
      <c r="AI143" s="16">
        <f t="shared" si="144"/>
        <v>89</v>
      </c>
      <c r="AJ143" s="19">
        <v>0</v>
      </c>
      <c r="AK143" s="19">
        <v>0</v>
      </c>
      <c r="AL143" s="16">
        <f t="shared" si="145"/>
        <v>0</v>
      </c>
      <c r="AM143" s="16">
        <f t="shared" si="146"/>
        <v>0</v>
      </c>
      <c r="AN143" s="18">
        <f t="shared" si="147"/>
        <v>1</v>
      </c>
      <c r="AO143" s="16">
        <f t="shared" si="148"/>
        <v>89</v>
      </c>
      <c r="AP143" s="19">
        <v>0</v>
      </c>
      <c r="AQ143" s="19">
        <v>0</v>
      </c>
      <c r="AR143" s="16">
        <f t="shared" si="149"/>
        <v>0</v>
      </c>
      <c r="AS143" s="16">
        <f t="shared" si="150"/>
        <v>0</v>
      </c>
      <c r="AT143" s="18">
        <f t="shared" si="151"/>
        <v>1</v>
      </c>
      <c r="AU143" s="16">
        <f t="shared" si="152"/>
        <v>89</v>
      </c>
      <c r="AV143" s="19">
        <v>0</v>
      </c>
      <c r="AW143" s="19">
        <v>0</v>
      </c>
      <c r="AX143" s="16">
        <f t="shared" si="153"/>
        <v>0</v>
      </c>
      <c r="AY143" s="16">
        <f t="shared" si="154"/>
        <v>0</v>
      </c>
      <c r="AZ143" s="18">
        <f t="shared" si="120"/>
        <v>1</v>
      </c>
      <c r="BA143" s="16">
        <f t="shared" si="121"/>
        <v>89</v>
      </c>
      <c r="BB143" s="19">
        <v>1</v>
      </c>
      <c r="BC143" s="19">
        <v>0</v>
      </c>
      <c r="BD143" s="16">
        <f t="shared" si="122"/>
        <v>0</v>
      </c>
      <c r="BE143" s="16"/>
      <c r="BF143" s="18">
        <f t="shared" si="124"/>
        <v>0</v>
      </c>
      <c r="BG143" s="16">
        <f t="shared" si="125"/>
        <v>0</v>
      </c>
      <c r="BH143" s="19">
        <v>0</v>
      </c>
      <c r="BI143" s="19">
        <v>0</v>
      </c>
      <c r="BJ143" s="16"/>
      <c r="BK143" s="16"/>
      <c r="BL143" s="18"/>
      <c r="BM143" s="16"/>
      <c r="BN143" s="19"/>
      <c r="BO143" s="19"/>
      <c r="BP143" s="16"/>
      <c r="BQ143" s="16"/>
      <c r="BR143" s="18"/>
      <c r="BS143" s="16"/>
      <c r="BT143" s="19"/>
      <c r="BU143" s="19"/>
      <c r="BV143" s="16"/>
      <c r="BW143" s="16"/>
      <c r="BX143" s="18"/>
      <c r="BY143" s="16"/>
      <c r="BZ143" s="19"/>
      <c r="CA143" s="19"/>
      <c r="CB143" s="16"/>
      <c r="CC143" s="16"/>
      <c r="CD143" s="20"/>
      <c r="CE143" s="21"/>
    </row>
    <row r="144" spans="1:83" ht="21.75" customHeight="1" x14ac:dyDescent="0.25">
      <c r="A144" s="23"/>
      <c r="B144" s="70">
        <v>124</v>
      </c>
      <c r="C144" s="174" t="s">
        <v>220</v>
      </c>
      <c r="D144" s="13" t="s">
        <v>349</v>
      </c>
      <c r="E144" s="23"/>
      <c r="F144" s="23"/>
      <c r="G144" s="23"/>
      <c r="H144" s="17">
        <v>9</v>
      </c>
      <c r="I144" s="30">
        <v>5.5</v>
      </c>
      <c r="J144" s="17">
        <v>9</v>
      </c>
      <c r="K144" s="16">
        <f t="shared" si="104"/>
        <v>49.5</v>
      </c>
      <c r="L144" s="19">
        <v>2</v>
      </c>
      <c r="M144" s="19">
        <v>0</v>
      </c>
      <c r="N144" s="16">
        <f t="shared" si="106"/>
        <v>0</v>
      </c>
      <c r="O144" s="16">
        <f t="shared" si="107"/>
        <v>11</v>
      </c>
      <c r="P144" s="18">
        <f t="shared" si="108"/>
        <v>7</v>
      </c>
      <c r="Q144" s="16">
        <f t="shared" si="109"/>
        <v>38.5</v>
      </c>
      <c r="R144" s="19">
        <v>7</v>
      </c>
      <c r="S144" s="18">
        <v>0</v>
      </c>
      <c r="T144" s="16">
        <f t="shared" si="110"/>
        <v>0</v>
      </c>
      <c r="U144" s="16">
        <f t="shared" si="111"/>
        <v>38.5</v>
      </c>
      <c r="V144" s="18">
        <f t="shared" si="112"/>
        <v>0</v>
      </c>
      <c r="W144" s="16">
        <f t="shared" si="113"/>
        <v>0</v>
      </c>
      <c r="X144" s="19">
        <v>0</v>
      </c>
      <c r="Y144" s="19">
        <v>0</v>
      </c>
      <c r="Z144" s="16">
        <f t="shared" si="114"/>
        <v>0</v>
      </c>
      <c r="AA144" s="16">
        <f t="shared" si="115"/>
        <v>0</v>
      </c>
      <c r="AB144" s="18">
        <f t="shared" si="116"/>
        <v>0</v>
      </c>
      <c r="AC144" s="16">
        <f t="shared" si="117"/>
        <v>0</v>
      </c>
      <c r="AD144" s="19">
        <v>0</v>
      </c>
      <c r="AE144" s="19">
        <v>0</v>
      </c>
      <c r="AF144" s="16">
        <f t="shared" si="118"/>
        <v>0</v>
      </c>
      <c r="AG144" s="16">
        <f t="shared" si="119"/>
        <v>0</v>
      </c>
      <c r="AH144" s="18">
        <f t="shared" si="143"/>
        <v>0</v>
      </c>
      <c r="AI144" s="16">
        <f t="shared" si="144"/>
        <v>0</v>
      </c>
      <c r="AJ144" s="19">
        <v>0</v>
      </c>
      <c r="AK144" s="19">
        <v>0</v>
      </c>
      <c r="AL144" s="16">
        <f t="shared" si="145"/>
        <v>0</v>
      </c>
      <c r="AM144" s="16">
        <f t="shared" si="146"/>
        <v>0</v>
      </c>
      <c r="AN144" s="18">
        <f t="shared" si="147"/>
        <v>0</v>
      </c>
      <c r="AO144" s="16">
        <f t="shared" si="148"/>
        <v>0</v>
      </c>
      <c r="AP144" s="19">
        <v>0</v>
      </c>
      <c r="AQ144" s="19">
        <v>0</v>
      </c>
      <c r="AR144" s="16">
        <f t="shared" si="149"/>
        <v>0</v>
      </c>
      <c r="AS144" s="16">
        <f t="shared" si="150"/>
        <v>0</v>
      </c>
      <c r="AT144" s="18">
        <f t="shared" si="151"/>
        <v>0</v>
      </c>
      <c r="AU144" s="16">
        <f t="shared" si="152"/>
        <v>0</v>
      </c>
      <c r="AV144" s="19">
        <v>0</v>
      </c>
      <c r="AW144" s="19">
        <v>0</v>
      </c>
      <c r="AX144" s="16">
        <f t="shared" si="153"/>
        <v>0</v>
      </c>
      <c r="AY144" s="16">
        <f t="shared" si="154"/>
        <v>0</v>
      </c>
      <c r="AZ144" s="18">
        <f t="shared" si="120"/>
        <v>0</v>
      </c>
      <c r="BA144" s="16">
        <f t="shared" si="121"/>
        <v>0</v>
      </c>
      <c r="BB144" s="19">
        <v>0</v>
      </c>
      <c r="BC144" s="19">
        <v>0</v>
      </c>
      <c r="BD144" s="16">
        <f t="shared" si="122"/>
        <v>0</v>
      </c>
      <c r="BE144" s="16">
        <f t="shared" si="123"/>
        <v>0</v>
      </c>
      <c r="BF144" s="18">
        <f t="shared" si="124"/>
        <v>0</v>
      </c>
      <c r="BG144" s="16">
        <f t="shared" si="125"/>
        <v>0</v>
      </c>
      <c r="BH144" s="19">
        <v>0</v>
      </c>
      <c r="BI144" s="19">
        <v>0</v>
      </c>
      <c r="BJ144" s="16">
        <f t="shared" si="126"/>
        <v>0</v>
      </c>
      <c r="BK144" s="16">
        <f t="shared" si="127"/>
        <v>0</v>
      </c>
      <c r="BL144" s="18">
        <f t="shared" si="128"/>
        <v>0</v>
      </c>
      <c r="BM144" s="16">
        <f t="shared" si="129"/>
        <v>0</v>
      </c>
      <c r="BN144" s="19">
        <v>0</v>
      </c>
      <c r="BO144" s="19">
        <v>0</v>
      </c>
      <c r="BP144" s="16">
        <f t="shared" si="130"/>
        <v>0</v>
      </c>
      <c r="BQ144" s="16">
        <f t="shared" si="131"/>
        <v>0</v>
      </c>
      <c r="BR144" s="18">
        <f t="shared" si="132"/>
        <v>0</v>
      </c>
      <c r="BS144" s="16">
        <f t="shared" si="133"/>
        <v>0</v>
      </c>
      <c r="BT144" s="19">
        <v>0</v>
      </c>
      <c r="BU144" s="19">
        <v>0</v>
      </c>
      <c r="BV144" s="16">
        <f t="shared" si="134"/>
        <v>0</v>
      </c>
      <c r="BW144" s="16">
        <f t="shared" si="135"/>
        <v>0</v>
      </c>
      <c r="BX144" s="18">
        <f t="shared" si="136"/>
        <v>0</v>
      </c>
      <c r="BY144" s="16">
        <f t="shared" si="137"/>
        <v>0</v>
      </c>
      <c r="BZ144" s="19">
        <v>0</v>
      </c>
      <c r="CA144" s="19">
        <v>0</v>
      </c>
      <c r="CB144" s="16">
        <f t="shared" si="138"/>
        <v>0</v>
      </c>
      <c r="CC144" s="16">
        <f t="shared" si="139"/>
        <v>0</v>
      </c>
      <c r="CD144" s="20">
        <f t="shared" si="142"/>
        <v>0</v>
      </c>
      <c r="CE144" s="21">
        <f t="shared" si="141"/>
        <v>0</v>
      </c>
    </row>
    <row r="145" spans="1:83" ht="21.75" customHeight="1" x14ac:dyDescent="0.25">
      <c r="A145" s="23"/>
      <c r="B145" s="70">
        <v>125</v>
      </c>
      <c r="C145" s="175"/>
      <c r="D145" s="13" t="s">
        <v>349</v>
      </c>
      <c r="E145" s="23"/>
      <c r="F145" s="23"/>
      <c r="G145" s="23"/>
      <c r="H145" s="17">
        <v>37</v>
      </c>
      <c r="I145" s="30">
        <v>5.25</v>
      </c>
      <c r="J145" s="17">
        <v>37</v>
      </c>
      <c r="K145" s="16">
        <f t="shared" si="104"/>
        <v>194.25</v>
      </c>
      <c r="L145" s="19">
        <v>0</v>
      </c>
      <c r="M145" s="19">
        <v>0</v>
      </c>
      <c r="N145" s="16">
        <f t="shared" si="106"/>
        <v>0</v>
      </c>
      <c r="O145" s="16">
        <f t="shared" si="107"/>
        <v>0</v>
      </c>
      <c r="P145" s="18">
        <f t="shared" si="108"/>
        <v>37</v>
      </c>
      <c r="Q145" s="16">
        <f t="shared" si="109"/>
        <v>194.25</v>
      </c>
      <c r="R145" s="19">
        <v>3</v>
      </c>
      <c r="S145" s="18">
        <v>0</v>
      </c>
      <c r="T145" s="16">
        <f t="shared" si="110"/>
        <v>0</v>
      </c>
      <c r="U145" s="16">
        <f t="shared" si="111"/>
        <v>15.75</v>
      </c>
      <c r="V145" s="18">
        <f t="shared" si="112"/>
        <v>34</v>
      </c>
      <c r="W145" s="16">
        <f t="shared" si="113"/>
        <v>178.5</v>
      </c>
      <c r="X145" s="19">
        <v>2</v>
      </c>
      <c r="Y145" s="19">
        <v>0</v>
      </c>
      <c r="Z145" s="16">
        <f t="shared" si="114"/>
        <v>0</v>
      </c>
      <c r="AA145" s="16">
        <f t="shared" si="115"/>
        <v>10.5</v>
      </c>
      <c r="AB145" s="18">
        <f t="shared" si="116"/>
        <v>32</v>
      </c>
      <c r="AC145" s="16">
        <f t="shared" si="117"/>
        <v>168</v>
      </c>
      <c r="AD145" s="19">
        <v>6</v>
      </c>
      <c r="AE145" s="19">
        <v>0</v>
      </c>
      <c r="AF145" s="16">
        <f t="shared" si="118"/>
        <v>0</v>
      </c>
      <c r="AG145" s="16">
        <f t="shared" si="119"/>
        <v>31.5</v>
      </c>
      <c r="AH145" s="18">
        <f t="shared" si="143"/>
        <v>26</v>
      </c>
      <c r="AI145" s="16">
        <f t="shared" si="144"/>
        <v>136.5</v>
      </c>
      <c r="AJ145" s="19">
        <v>0</v>
      </c>
      <c r="AK145" s="19">
        <v>0</v>
      </c>
      <c r="AL145" s="16">
        <f t="shared" si="145"/>
        <v>0</v>
      </c>
      <c r="AM145" s="16">
        <f t="shared" si="146"/>
        <v>0</v>
      </c>
      <c r="AN145" s="18">
        <f t="shared" si="147"/>
        <v>26</v>
      </c>
      <c r="AO145" s="16">
        <f t="shared" si="148"/>
        <v>136.5</v>
      </c>
      <c r="AP145" s="19">
        <v>0</v>
      </c>
      <c r="AQ145" s="19">
        <v>0</v>
      </c>
      <c r="AR145" s="16">
        <f t="shared" si="149"/>
        <v>0</v>
      </c>
      <c r="AS145" s="16">
        <f t="shared" si="150"/>
        <v>0</v>
      </c>
      <c r="AT145" s="18">
        <f t="shared" si="151"/>
        <v>26</v>
      </c>
      <c r="AU145" s="16">
        <f t="shared" si="152"/>
        <v>136.5</v>
      </c>
      <c r="AV145" s="19">
        <v>2</v>
      </c>
      <c r="AW145" s="19">
        <v>0</v>
      </c>
      <c r="AX145" s="16">
        <f t="shared" si="153"/>
        <v>0</v>
      </c>
      <c r="AY145" s="16">
        <f t="shared" si="154"/>
        <v>10.5</v>
      </c>
      <c r="AZ145" s="18">
        <f t="shared" si="120"/>
        <v>24</v>
      </c>
      <c r="BA145" s="16">
        <f t="shared" si="121"/>
        <v>126</v>
      </c>
      <c r="BB145" s="19">
        <v>0</v>
      </c>
      <c r="BC145" s="19">
        <v>0</v>
      </c>
      <c r="BD145" s="16">
        <f t="shared" si="122"/>
        <v>0</v>
      </c>
      <c r="BE145" s="16">
        <f t="shared" si="123"/>
        <v>0</v>
      </c>
      <c r="BF145" s="18">
        <f t="shared" si="124"/>
        <v>24</v>
      </c>
      <c r="BG145" s="16">
        <f t="shared" si="125"/>
        <v>126</v>
      </c>
      <c r="BH145" s="19">
        <v>0</v>
      </c>
      <c r="BI145" s="19">
        <v>0</v>
      </c>
      <c r="BJ145" s="16">
        <f t="shared" si="126"/>
        <v>0</v>
      </c>
      <c r="BK145" s="16">
        <f t="shared" si="127"/>
        <v>0</v>
      </c>
      <c r="BL145" s="18">
        <f t="shared" si="128"/>
        <v>24</v>
      </c>
      <c r="BM145" s="16">
        <f t="shared" si="129"/>
        <v>126</v>
      </c>
      <c r="BN145" s="19">
        <v>0</v>
      </c>
      <c r="BO145" s="19">
        <v>0</v>
      </c>
      <c r="BP145" s="16">
        <f t="shared" si="130"/>
        <v>0</v>
      </c>
      <c r="BQ145" s="16">
        <f t="shared" si="131"/>
        <v>0</v>
      </c>
      <c r="BR145" s="18">
        <f t="shared" si="132"/>
        <v>24</v>
      </c>
      <c r="BS145" s="16">
        <f t="shared" si="133"/>
        <v>126</v>
      </c>
      <c r="BT145" s="19">
        <v>0</v>
      </c>
      <c r="BU145" s="19">
        <v>0</v>
      </c>
      <c r="BV145" s="16">
        <f t="shared" si="134"/>
        <v>0</v>
      </c>
      <c r="BW145" s="16">
        <f t="shared" si="135"/>
        <v>0</v>
      </c>
      <c r="BX145" s="18">
        <f t="shared" si="136"/>
        <v>24</v>
      </c>
      <c r="BY145" s="16">
        <f t="shared" si="137"/>
        <v>126</v>
      </c>
      <c r="BZ145" s="19">
        <v>0</v>
      </c>
      <c r="CA145" s="19">
        <v>0</v>
      </c>
      <c r="CB145" s="16">
        <f t="shared" si="138"/>
        <v>0</v>
      </c>
      <c r="CC145" s="16">
        <f t="shared" si="139"/>
        <v>0</v>
      </c>
      <c r="CD145" s="20">
        <f t="shared" si="142"/>
        <v>24</v>
      </c>
      <c r="CE145" s="21">
        <f t="shared" si="141"/>
        <v>126</v>
      </c>
    </row>
    <row r="146" spans="1:83" x14ac:dyDescent="0.25">
      <c r="A146" s="23">
        <v>90</v>
      </c>
      <c r="B146" s="70">
        <v>126</v>
      </c>
      <c r="C146" s="79" t="s">
        <v>222</v>
      </c>
      <c r="D146" s="13" t="s">
        <v>223</v>
      </c>
      <c r="E146" s="23">
        <v>100</v>
      </c>
      <c r="F146" s="23">
        <v>200</v>
      </c>
      <c r="G146" s="23">
        <v>400</v>
      </c>
      <c r="H146" s="17">
        <v>2000</v>
      </c>
      <c r="I146" s="30">
        <v>0.1</v>
      </c>
      <c r="J146" s="17">
        <v>2000</v>
      </c>
      <c r="K146" s="16">
        <f t="shared" si="104"/>
        <v>200</v>
      </c>
      <c r="L146" s="19">
        <v>0</v>
      </c>
      <c r="M146" s="19">
        <v>0</v>
      </c>
      <c r="N146" s="16">
        <f t="shared" si="106"/>
        <v>0</v>
      </c>
      <c r="O146" s="16">
        <f t="shared" si="107"/>
        <v>0</v>
      </c>
      <c r="P146" s="18">
        <f t="shared" si="108"/>
        <v>2000</v>
      </c>
      <c r="Q146" s="16">
        <f t="shared" si="109"/>
        <v>200</v>
      </c>
      <c r="R146" s="19">
        <v>0</v>
      </c>
      <c r="S146" s="18">
        <v>0</v>
      </c>
      <c r="T146" s="16">
        <f t="shared" si="110"/>
        <v>0</v>
      </c>
      <c r="U146" s="16">
        <f t="shared" si="111"/>
        <v>0</v>
      </c>
      <c r="V146" s="18">
        <f t="shared" si="112"/>
        <v>2000</v>
      </c>
      <c r="W146" s="16">
        <f t="shared" si="113"/>
        <v>200</v>
      </c>
      <c r="X146" s="19">
        <v>0</v>
      </c>
      <c r="Y146" s="19">
        <v>0</v>
      </c>
      <c r="Z146" s="16">
        <f t="shared" si="114"/>
        <v>0</v>
      </c>
      <c r="AA146" s="16">
        <f t="shared" si="115"/>
        <v>0</v>
      </c>
      <c r="AB146" s="18">
        <f t="shared" si="116"/>
        <v>2000</v>
      </c>
      <c r="AC146" s="16">
        <f t="shared" si="117"/>
        <v>200</v>
      </c>
      <c r="AD146" s="19">
        <v>0</v>
      </c>
      <c r="AE146" s="19">
        <v>0</v>
      </c>
      <c r="AF146" s="16">
        <f t="shared" si="118"/>
        <v>0</v>
      </c>
      <c r="AG146" s="16">
        <f t="shared" si="119"/>
        <v>0</v>
      </c>
      <c r="AH146" s="18">
        <f t="shared" si="143"/>
        <v>2000</v>
      </c>
      <c r="AI146" s="16">
        <f t="shared" si="144"/>
        <v>200</v>
      </c>
      <c r="AJ146" s="19">
        <v>0</v>
      </c>
      <c r="AK146" s="19">
        <v>0</v>
      </c>
      <c r="AL146" s="16">
        <f t="shared" si="145"/>
        <v>0</v>
      </c>
      <c r="AM146" s="16">
        <f t="shared" si="146"/>
        <v>0</v>
      </c>
      <c r="AN146" s="18">
        <f t="shared" si="147"/>
        <v>2000</v>
      </c>
      <c r="AO146" s="16">
        <f t="shared" si="148"/>
        <v>200</v>
      </c>
      <c r="AP146" s="19">
        <v>0</v>
      </c>
      <c r="AQ146" s="19">
        <v>0</v>
      </c>
      <c r="AR146" s="16">
        <f t="shared" si="149"/>
        <v>0</v>
      </c>
      <c r="AS146" s="16">
        <f t="shared" si="150"/>
        <v>0</v>
      </c>
      <c r="AT146" s="18">
        <f t="shared" si="151"/>
        <v>2000</v>
      </c>
      <c r="AU146" s="16">
        <f t="shared" si="152"/>
        <v>200</v>
      </c>
      <c r="AV146" s="19">
        <v>0</v>
      </c>
      <c r="AW146" s="19">
        <v>0</v>
      </c>
      <c r="AX146" s="16">
        <f t="shared" si="153"/>
        <v>0</v>
      </c>
      <c r="AY146" s="16">
        <f t="shared" si="154"/>
        <v>0</v>
      </c>
      <c r="AZ146" s="18">
        <f t="shared" si="120"/>
        <v>2000</v>
      </c>
      <c r="BA146" s="16">
        <f t="shared" si="121"/>
        <v>200</v>
      </c>
      <c r="BB146" s="19">
        <v>0</v>
      </c>
      <c r="BC146" s="19">
        <v>0</v>
      </c>
      <c r="BD146" s="16">
        <f t="shared" si="122"/>
        <v>0</v>
      </c>
      <c r="BE146" s="16">
        <f t="shared" si="123"/>
        <v>0</v>
      </c>
      <c r="BF146" s="18">
        <f t="shared" si="124"/>
        <v>2000</v>
      </c>
      <c r="BG146" s="16">
        <f t="shared" si="125"/>
        <v>200</v>
      </c>
      <c r="BH146" s="19">
        <v>0</v>
      </c>
      <c r="BI146" s="19">
        <v>0</v>
      </c>
      <c r="BJ146" s="16">
        <f t="shared" si="126"/>
        <v>0</v>
      </c>
      <c r="BK146" s="16">
        <f t="shared" si="127"/>
        <v>0</v>
      </c>
      <c r="BL146" s="18">
        <f t="shared" si="128"/>
        <v>2000</v>
      </c>
      <c r="BM146" s="16">
        <f t="shared" si="129"/>
        <v>200</v>
      </c>
      <c r="BN146" s="19">
        <v>0</v>
      </c>
      <c r="BO146" s="19">
        <v>0</v>
      </c>
      <c r="BP146" s="16">
        <f t="shared" si="130"/>
        <v>0</v>
      </c>
      <c r="BQ146" s="16">
        <f t="shared" si="131"/>
        <v>0</v>
      </c>
      <c r="BR146" s="18">
        <f t="shared" si="132"/>
        <v>2000</v>
      </c>
      <c r="BS146" s="16">
        <f t="shared" si="133"/>
        <v>200</v>
      </c>
      <c r="BT146" s="19">
        <v>0</v>
      </c>
      <c r="BU146" s="19">
        <v>0</v>
      </c>
      <c r="BV146" s="16">
        <f t="shared" si="134"/>
        <v>0</v>
      </c>
      <c r="BW146" s="16">
        <f t="shared" si="135"/>
        <v>0</v>
      </c>
      <c r="BX146" s="18">
        <f t="shared" si="136"/>
        <v>2000</v>
      </c>
      <c r="BY146" s="16">
        <f t="shared" si="137"/>
        <v>200</v>
      </c>
      <c r="BZ146" s="19">
        <v>0</v>
      </c>
      <c r="CA146" s="19">
        <v>0</v>
      </c>
      <c r="CB146" s="16">
        <f t="shared" si="138"/>
        <v>0</v>
      </c>
      <c r="CC146" s="16">
        <f t="shared" si="139"/>
        <v>0</v>
      </c>
      <c r="CD146" s="20">
        <f t="shared" si="142"/>
        <v>2000</v>
      </c>
      <c r="CE146" s="21">
        <f t="shared" si="141"/>
        <v>200</v>
      </c>
    </row>
    <row r="147" spans="1:83" x14ac:dyDescent="0.25">
      <c r="A147" s="23"/>
      <c r="B147" s="70">
        <v>127</v>
      </c>
      <c r="C147" s="79" t="s">
        <v>224</v>
      </c>
      <c r="D147" s="13" t="s">
        <v>225</v>
      </c>
      <c r="E147" s="12">
        <v>250</v>
      </c>
      <c r="F147" s="12">
        <v>500</v>
      </c>
      <c r="G147" s="12">
        <v>750</v>
      </c>
      <c r="H147" s="17">
        <v>500</v>
      </c>
      <c r="I147" s="30">
        <v>0.68</v>
      </c>
      <c r="J147" s="17">
        <v>500</v>
      </c>
      <c r="K147" s="16">
        <f t="shared" si="104"/>
        <v>340</v>
      </c>
      <c r="L147" s="19">
        <v>0</v>
      </c>
      <c r="M147" s="19">
        <v>0</v>
      </c>
      <c r="N147" s="16">
        <f t="shared" si="106"/>
        <v>0</v>
      </c>
      <c r="O147" s="16">
        <f t="shared" si="107"/>
        <v>0</v>
      </c>
      <c r="P147" s="18">
        <f t="shared" si="108"/>
        <v>500</v>
      </c>
      <c r="Q147" s="16">
        <f t="shared" si="109"/>
        <v>340</v>
      </c>
      <c r="R147" s="19">
        <v>0</v>
      </c>
      <c r="S147" s="18">
        <v>0</v>
      </c>
      <c r="T147" s="16">
        <f t="shared" si="110"/>
        <v>0</v>
      </c>
      <c r="U147" s="16">
        <f t="shared" si="111"/>
        <v>0</v>
      </c>
      <c r="V147" s="18">
        <f t="shared" si="112"/>
        <v>500</v>
      </c>
      <c r="W147" s="16">
        <f t="shared" si="113"/>
        <v>340</v>
      </c>
      <c r="X147" s="19">
        <v>0</v>
      </c>
      <c r="Y147" s="19">
        <v>0</v>
      </c>
      <c r="Z147" s="16">
        <f t="shared" si="114"/>
        <v>0</v>
      </c>
      <c r="AA147" s="16">
        <f t="shared" si="115"/>
        <v>0</v>
      </c>
      <c r="AB147" s="18">
        <f t="shared" si="116"/>
        <v>500</v>
      </c>
      <c r="AC147" s="16">
        <f t="shared" si="117"/>
        <v>340</v>
      </c>
      <c r="AD147" s="19">
        <v>0</v>
      </c>
      <c r="AE147" s="19">
        <v>0</v>
      </c>
      <c r="AF147" s="16">
        <f t="shared" si="118"/>
        <v>0</v>
      </c>
      <c r="AG147" s="16">
        <f t="shared" si="119"/>
        <v>0</v>
      </c>
      <c r="AH147" s="18">
        <f t="shared" si="143"/>
        <v>500</v>
      </c>
      <c r="AI147" s="16">
        <f t="shared" si="144"/>
        <v>340</v>
      </c>
      <c r="AJ147" s="19">
        <v>0</v>
      </c>
      <c r="AK147" s="19">
        <v>0</v>
      </c>
      <c r="AL147" s="16">
        <f t="shared" si="145"/>
        <v>0</v>
      </c>
      <c r="AM147" s="16">
        <f t="shared" si="146"/>
        <v>0</v>
      </c>
      <c r="AN147" s="18">
        <f t="shared" si="147"/>
        <v>500</v>
      </c>
      <c r="AO147" s="16">
        <f t="shared" si="148"/>
        <v>340</v>
      </c>
      <c r="AP147" s="19">
        <v>250</v>
      </c>
      <c r="AQ147" s="19">
        <v>0</v>
      </c>
      <c r="AR147" s="16">
        <f t="shared" si="149"/>
        <v>0</v>
      </c>
      <c r="AS147" s="16">
        <f t="shared" si="150"/>
        <v>170</v>
      </c>
      <c r="AT147" s="18">
        <f t="shared" si="151"/>
        <v>250</v>
      </c>
      <c r="AU147" s="16">
        <f t="shared" si="152"/>
        <v>170</v>
      </c>
      <c r="AV147" s="19">
        <v>0</v>
      </c>
      <c r="AW147" s="19">
        <v>0</v>
      </c>
      <c r="AX147" s="16">
        <f t="shared" si="153"/>
        <v>0</v>
      </c>
      <c r="AY147" s="16">
        <f t="shared" si="154"/>
        <v>0</v>
      </c>
      <c r="AZ147" s="18">
        <f t="shared" si="120"/>
        <v>250</v>
      </c>
      <c r="BA147" s="16">
        <f t="shared" si="121"/>
        <v>170</v>
      </c>
      <c r="BB147" s="19">
        <v>0</v>
      </c>
      <c r="BC147" s="19">
        <v>0</v>
      </c>
      <c r="BD147" s="16">
        <f t="shared" si="122"/>
        <v>0</v>
      </c>
      <c r="BE147" s="16">
        <f t="shared" si="123"/>
        <v>0</v>
      </c>
      <c r="BF147" s="18">
        <f t="shared" si="124"/>
        <v>250</v>
      </c>
      <c r="BG147" s="16">
        <f t="shared" si="125"/>
        <v>170</v>
      </c>
      <c r="BH147" s="19">
        <v>0</v>
      </c>
      <c r="BI147" s="19">
        <v>0</v>
      </c>
      <c r="BJ147" s="16">
        <f t="shared" si="126"/>
        <v>0</v>
      </c>
      <c r="BK147" s="16">
        <f t="shared" si="127"/>
        <v>0</v>
      </c>
      <c r="BL147" s="18">
        <f t="shared" si="128"/>
        <v>250</v>
      </c>
      <c r="BM147" s="16">
        <f t="shared" si="129"/>
        <v>170</v>
      </c>
      <c r="BN147" s="19">
        <v>0</v>
      </c>
      <c r="BO147" s="19">
        <v>0</v>
      </c>
      <c r="BP147" s="16">
        <f t="shared" si="130"/>
        <v>0</v>
      </c>
      <c r="BQ147" s="16">
        <f t="shared" si="131"/>
        <v>0</v>
      </c>
      <c r="BR147" s="18">
        <f t="shared" si="132"/>
        <v>250</v>
      </c>
      <c r="BS147" s="16">
        <f t="shared" si="133"/>
        <v>170</v>
      </c>
      <c r="BT147" s="19">
        <v>0</v>
      </c>
      <c r="BU147" s="19">
        <v>0</v>
      </c>
      <c r="BV147" s="16">
        <f t="shared" si="134"/>
        <v>0</v>
      </c>
      <c r="BW147" s="16">
        <f t="shared" si="135"/>
        <v>0</v>
      </c>
      <c r="BX147" s="18">
        <f t="shared" si="136"/>
        <v>250</v>
      </c>
      <c r="BY147" s="16">
        <f t="shared" si="137"/>
        <v>170</v>
      </c>
      <c r="BZ147" s="19">
        <v>0</v>
      </c>
      <c r="CA147" s="19">
        <v>0</v>
      </c>
      <c r="CB147" s="16">
        <f t="shared" si="138"/>
        <v>0</v>
      </c>
      <c r="CC147" s="16">
        <f t="shared" si="139"/>
        <v>0</v>
      </c>
      <c r="CD147" s="20">
        <f t="shared" si="142"/>
        <v>250</v>
      </c>
      <c r="CE147" s="21">
        <f t="shared" si="141"/>
        <v>170</v>
      </c>
    </row>
    <row r="148" spans="1:83" x14ac:dyDescent="0.25">
      <c r="A148" s="23">
        <v>92</v>
      </c>
      <c r="B148" s="70">
        <v>128</v>
      </c>
      <c r="C148" s="172" t="s">
        <v>226</v>
      </c>
      <c r="D148" s="104" t="s">
        <v>227</v>
      </c>
      <c r="E148" s="23">
        <v>100</v>
      </c>
      <c r="F148" s="23">
        <v>300</v>
      </c>
      <c r="G148" s="23">
        <v>500</v>
      </c>
      <c r="H148" s="17">
        <v>1250</v>
      </c>
      <c r="I148" s="30">
        <v>0.36</v>
      </c>
      <c r="J148" s="17">
        <v>1250</v>
      </c>
      <c r="K148" s="16">
        <f t="shared" si="104"/>
        <v>450</v>
      </c>
      <c r="L148" s="19">
        <v>0</v>
      </c>
      <c r="M148" s="19">
        <v>0</v>
      </c>
      <c r="N148" s="16">
        <f t="shared" si="106"/>
        <v>0</v>
      </c>
      <c r="O148" s="16">
        <f t="shared" si="107"/>
        <v>0</v>
      </c>
      <c r="P148" s="18">
        <f t="shared" si="108"/>
        <v>1250</v>
      </c>
      <c r="Q148" s="16">
        <f t="shared" si="109"/>
        <v>450</v>
      </c>
      <c r="R148" s="19">
        <v>0</v>
      </c>
      <c r="S148" s="18">
        <v>0</v>
      </c>
      <c r="T148" s="16">
        <f t="shared" si="110"/>
        <v>0</v>
      </c>
      <c r="U148" s="16">
        <f t="shared" si="111"/>
        <v>0</v>
      </c>
      <c r="V148" s="18">
        <f t="shared" si="112"/>
        <v>1250</v>
      </c>
      <c r="W148" s="16">
        <f t="shared" si="113"/>
        <v>450</v>
      </c>
      <c r="X148" s="19">
        <v>0</v>
      </c>
      <c r="Y148" s="19">
        <v>0</v>
      </c>
      <c r="Z148" s="16">
        <f t="shared" si="114"/>
        <v>0</v>
      </c>
      <c r="AA148" s="16">
        <f t="shared" si="115"/>
        <v>0</v>
      </c>
      <c r="AB148" s="18">
        <f t="shared" si="116"/>
        <v>1250</v>
      </c>
      <c r="AC148" s="16">
        <f t="shared" si="117"/>
        <v>450</v>
      </c>
      <c r="AD148" s="19">
        <v>250</v>
      </c>
      <c r="AE148" s="19">
        <v>0</v>
      </c>
      <c r="AF148" s="16">
        <f t="shared" si="118"/>
        <v>0</v>
      </c>
      <c r="AG148" s="16">
        <f t="shared" si="119"/>
        <v>90</v>
      </c>
      <c r="AH148" s="18">
        <f t="shared" si="143"/>
        <v>1000</v>
      </c>
      <c r="AI148" s="16">
        <f t="shared" si="144"/>
        <v>360</v>
      </c>
      <c r="AJ148" s="19">
        <v>0</v>
      </c>
      <c r="AK148" s="19">
        <v>0</v>
      </c>
      <c r="AL148" s="16">
        <f t="shared" si="145"/>
        <v>0</v>
      </c>
      <c r="AM148" s="16">
        <f t="shared" si="146"/>
        <v>0</v>
      </c>
      <c r="AN148" s="18">
        <f t="shared" si="147"/>
        <v>1000</v>
      </c>
      <c r="AO148" s="16">
        <f t="shared" si="148"/>
        <v>360</v>
      </c>
      <c r="AP148" s="19">
        <v>0</v>
      </c>
      <c r="AQ148" s="19">
        <v>0</v>
      </c>
      <c r="AR148" s="16">
        <f t="shared" si="149"/>
        <v>0</v>
      </c>
      <c r="AS148" s="16">
        <f t="shared" si="150"/>
        <v>0</v>
      </c>
      <c r="AT148" s="18">
        <f t="shared" si="151"/>
        <v>1000</v>
      </c>
      <c r="AU148" s="16">
        <f t="shared" si="152"/>
        <v>360</v>
      </c>
      <c r="AV148" s="19">
        <v>0</v>
      </c>
      <c r="AW148" s="19">
        <v>0</v>
      </c>
      <c r="AX148" s="16">
        <f t="shared" si="153"/>
        <v>0</v>
      </c>
      <c r="AY148" s="16">
        <f t="shared" si="154"/>
        <v>0</v>
      </c>
      <c r="AZ148" s="18">
        <f t="shared" si="120"/>
        <v>1000</v>
      </c>
      <c r="BA148" s="16">
        <f t="shared" si="121"/>
        <v>360</v>
      </c>
      <c r="BB148" s="19">
        <v>0</v>
      </c>
      <c r="BC148" s="19">
        <v>0</v>
      </c>
      <c r="BD148" s="16">
        <f t="shared" si="122"/>
        <v>0</v>
      </c>
      <c r="BE148" s="16">
        <f t="shared" si="123"/>
        <v>0</v>
      </c>
      <c r="BF148" s="18">
        <f t="shared" si="124"/>
        <v>1000</v>
      </c>
      <c r="BG148" s="16">
        <f t="shared" si="125"/>
        <v>360</v>
      </c>
      <c r="BH148" s="19">
        <v>0</v>
      </c>
      <c r="BI148" s="19">
        <v>0</v>
      </c>
      <c r="BJ148" s="16">
        <f t="shared" si="126"/>
        <v>0</v>
      </c>
      <c r="BK148" s="16">
        <f t="shared" si="127"/>
        <v>0</v>
      </c>
      <c r="BL148" s="18">
        <f t="shared" si="128"/>
        <v>1000</v>
      </c>
      <c r="BM148" s="16">
        <f t="shared" si="129"/>
        <v>360</v>
      </c>
      <c r="BN148" s="19">
        <v>0</v>
      </c>
      <c r="BO148" s="19">
        <v>0</v>
      </c>
      <c r="BP148" s="16">
        <f t="shared" si="130"/>
        <v>0</v>
      </c>
      <c r="BQ148" s="16">
        <f t="shared" si="131"/>
        <v>0</v>
      </c>
      <c r="BR148" s="18">
        <f t="shared" si="132"/>
        <v>1000</v>
      </c>
      <c r="BS148" s="16">
        <f t="shared" si="133"/>
        <v>360</v>
      </c>
      <c r="BT148" s="19">
        <v>0</v>
      </c>
      <c r="BU148" s="19">
        <v>0</v>
      </c>
      <c r="BV148" s="16">
        <f t="shared" si="134"/>
        <v>0</v>
      </c>
      <c r="BW148" s="16">
        <f t="shared" si="135"/>
        <v>0</v>
      </c>
      <c r="BX148" s="18">
        <f t="shared" si="136"/>
        <v>1000</v>
      </c>
      <c r="BY148" s="16">
        <f t="shared" si="137"/>
        <v>360</v>
      </c>
      <c r="BZ148" s="19">
        <v>0</v>
      </c>
      <c r="CA148" s="19">
        <v>0</v>
      </c>
      <c r="CB148" s="16">
        <f t="shared" si="138"/>
        <v>0</v>
      </c>
      <c r="CC148" s="16">
        <f t="shared" si="139"/>
        <v>0</v>
      </c>
      <c r="CD148" s="20">
        <f t="shared" si="142"/>
        <v>1000</v>
      </c>
      <c r="CE148" s="21">
        <f t="shared" si="141"/>
        <v>360</v>
      </c>
    </row>
    <row r="149" spans="1:83" x14ac:dyDescent="0.25">
      <c r="A149" s="23"/>
      <c r="B149" s="70"/>
      <c r="C149" s="173"/>
      <c r="D149" s="13" t="s">
        <v>476</v>
      </c>
      <c r="E149" s="22"/>
      <c r="F149" s="22"/>
      <c r="G149" s="22"/>
      <c r="H149" s="17"/>
      <c r="I149" s="30">
        <v>0.57999999999999996</v>
      </c>
      <c r="J149" s="17"/>
      <c r="K149" s="16"/>
      <c r="L149" s="19"/>
      <c r="M149" s="19"/>
      <c r="N149" s="16"/>
      <c r="O149" s="16"/>
      <c r="P149" s="18"/>
      <c r="Q149" s="16"/>
      <c r="R149" s="19"/>
      <c r="S149" s="18"/>
      <c r="T149" s="16"/>
      <c r="U149" s="16"/>
      <c r="V149" s="18"/>
      <c r="W149" s="16"/>
      <c r="X149" s="19"/>
      <c r="Y149" s="19"/>
      <c r="Z149" s="16"/>
      <c r="AA149" s="16"/>
      <c r="AB149" s="18"/>
      <c r="AC149" s="16"/>
      <c r="AD149" s="19"/>
      <c r="AE149" s="19"/>
      <c r="AF149" s="16"/>
      <c r="AG149" s="16"/>
      <c r="AH149" s="18"/>
      <c r="AI149" s="16"/>
      <c r="AJ149" s="19"/>
      <c r="AK149" s="19"/>
      <c r="AL149" s="16"/>
      <c r="AM149" s="16"/>
      <c r="AN149" s="18"/>
      <c r="AO149" s="16"/>
      <c r="AP149" s="19"/>
      <c r="AQ149" s="19"/>
      <c r="AR149" s="16"/>
      <c r="AS149" s="16"/>
      <c r="AT149" s="18"/>
      <c r="AU149" s="16"/>
      <c r="AV149" s="19">
        <v>0</v>
      </c>
      <c r="AW149" s="19"/>
      <c r="AX149" s="16"/>
      <c r="AY149" s="16"/>
      <c r="AZ149" s="18"/>
      <c r="BA149" s="16">
        <v>0</v>
      </c>
      <c r="BB149" s="19">
        <v>0</v>
      </c>
      <c r="BC149" s="19">
        <v>750</v>
      </c>
      <c r="BD149" s="16">
        <f t="shared" si="122"/>
        <v>434.99999999999994</v>
      </c>
      <c r="BE149" s="16">
        <v>0</v>
      </c>
      <c r="BF149" s="18">
        <f t="shared" si="124"/>
        <v>750</v>
      </c>
      <c r="BG149" s="16">
        <f t="shared" si="125"/>
        <v>434.99999999999994</v>
      </c>
      <c r="BH149" s="19">
        <v>0</v>
      </c>
      <c r="BI149" s="19">
        <v>0</v>
      </c>
      <c r="BJ149" s="16"/>
      <c r="BK149" s="16"/>
      <c r="BL149" s="18"/>
      <c r="BM149" s="16"/>
      <c r="BN149" s="19"/>
      <c r="BO149" s="19"/>
      <c r="BP149" s="16"/>
      <c r="BQ149" s="16"/>
      <c r="BR149" s="18"/>
      <c r="BS149" s="16"/>
      <c r="BT149" s="19"/>
      <c r="BU149" s="19"/>
      <c r="BV149" s="16"/>
      <c r="BW149" s="16"/>
      <c r="BX149" s="18"/>
      <c r="BY149" s="16"/>
      <c r="BZ149" s="19"/>
      <c r="CA149" s="19"/>
      <c r="CB149" s="16"/>
      <c r="CC149" s="16"/>
      <c r="CD149" s="20"/>
      <c r="CE149" s="21"/>
    </row>
    <row r="150" spans="1:83" x14ac:dyDescent="0.25">
      <c r="A150" s="23"/>
      <c r="B150" s="70">
        <v>129</v>
      </c>
      <c r="C150" s="79" t="s">
        <v>228</v>
      </c>
      <c r="D150" s="13" t="s">
        <v>229</v>
      </c>
      <c r="E150" s="22">
        <v>10</v>
      </c>
      <c r="F150" s="22">
        <v>15</v>
      </c>
      <c r="G150" s="22">
        <v>20</v>
      </c>
      <c r="H150" s="17">
        <v>19</v>
      </c>
      <c r="I150" s="30">
        <v>13</v>
      </c>
      <c r="J150" s="17">
        <v>19</v>
      </c>
      <c r="K150" s="16">
        <f t="shared" si="104"/>
        <v>247</v>
      </c>
      <c r="L150" s="19">
        <v>0</v>
      </c>
      <c r="M150" s="19">
        <v>0</v>
      </c>
      <c r="N150" s="16">
        <f t="shared" si="106"/>
        <v>0</v>
      </c>
      <c r="O150" s="16">
        <f t="shared" si="107"/>
        <v>0</v>
      </c>
      <c r="P150" s="18">
        <f t="shared" si="108"/>
        <v>19</v>
      </c>
      <c r="Q150" s="16">
        <f t="shared" si="109"/>
        <v>247</v>
      </c>
      <c r="R150" s="19">
        <v>0</v>
      </c>
      <c r="S150" s="18">
        <v>0</v>
      </c>
      <c r="T150" s="16">
        <f t="shared" si="110"/>
        <v>0</v>
      </c>
      <c r="U150" s="16">
        <f t="shared" si="111"/>
        <v>0</v>
      </c>
      <c r="V150" s="18">
        <f t="shared" si="112"/>
        <v>19</v>
      </c>
      <c r="W150" s="16">
        <f t="shared" si="113"/>
        <v>247</v>
      </c>
      <c r="X150" s="19">
        <v>0</v>
      </c>
      <c r="Y150" s="19">
        <v>0</v>
      </c>
      <c r="Z150" s="16">
        <f t="shared" si="114"/>
        <v>0</v>
      </c>
      <c r="AA150" s="16">
        <f t="shared" si="115"/>
        <v>0</v>
      </c>
      <c r="AB150" s="18">
        <f t="shared" si="116"/>
        <v>19</v>
      </c>
      <c r="AC150" s="16">
        <f t="shared" si="117"/>
        <v>247</v>
      </c>
      <c r="AD150" s="19">
        <v>0</v>
      </c>
      <c r="AE150" s="19">
        <v>0</v>
      </c>
      <c r="AF150" s="16">
        <f t="shared" si="118"/>
        <v>0</v>
      </c>
      <c r="AG150" s="16">
        <f t="shared" si="119"/>
        <v>0</v>
      </c>
      <c r="AH150" s="18">
        <f t="shared" si="143"/>
        <v>19</v>
      </c>
      <c r="AI150" s="16">
        <f t="shared" si="144"/>
        <v>247</v>
      </c>
      <c r="AJ150" s="19">
        <v>0</v>
      </c>
      <c r="AK150" s="19">
        <v>0</v>
      </c>
      <c r="AL150" s="16">
        <f t="shared" si="145"/>
        <v>0</v>
      </c>
      <c r="AM150" s="16">
        <f t="shared" si="146"/>
        <v>0</v>
      </c>
      <c r="AN150" s="18">
        <f t="shared" si="147"/>
        <v>19</v>
      </c>
      <c r="AO150" s="16">
        <f t="shared" si="148"/>
        <v>247</v>
      </c>
      <c r="AP150" s="19">
        <v>0</v>
      </c>
      <c r="AQ150" s="19">
        <v>0</v>
      </c>
      <c r="AR150" s="16">
        <f t="shared" si="149"/>
        <v>0</v>
      </c>
      <c r="AS150" s="16">
        <f t="shared" si="150"/>
        <v>0</v>
      </c>
      <c r="AT150" s="18">
        <f t="shared" si="151"/>
        <v>19</v>
      </c>
      <c r="AU150" s="16">
        <f t="shared" si="152"/>
        <v>247</v>
      </c>
      <c r="AV150" s="19">
        <v>0</v>
      </c>
      <c r="AW150" s="19">
        <v>0</v>
      </c>
      <c r="AX150" s="16">
        <f t="shared" si="153"/>
        <v>0</v>
      </c>
      <c r="AY150" s="16">
        <f t="shared" si="154"/>
        <v>0</v>
      </c>
      <c r="AZ150" s="18">
        <f t="shared" si="120"/>
        <v>19</v>
      </c>
      <c r="BA150" s="16">
        <f t="shared" si="121"/>
        <v>247</v>
      </c>
      <c r="BB150" s="19">
        <v>0</v>
      </c>
      <c r="BC150" s="19">
        <v>0</v>
      </c>
      <c r="BD150" s="16">
        <f t="shared" si="122"/>
        <v>0</v>
      </c>
      <c r="BE150" s="16">
        <f t="shared" si="123"/>
        <v>0</v>
      </c>
      <c r="BF150" s="18">
        <f t="shared" si="124"/>
        <v>19</v>
      </c>
      <c r="BG150" s="16">
        <f t="shared" si="125"/>
        <v>247</v>
      </c>
      <c r="BH150" s="19">
        <v>0</v>
      </c>
      <c r="BI150" s="19">
        <v>0</v>
      </c>
      <c r="BJ150" s="16">
        <f t="shared" si="126"/>
        <v>0</v>
      </c>
      <c r="BK150" s="16">
        <f t="shared" si="127"/>
        <v>0</v>
      </c>
      <c r="BL150" s="18">
        <f t="shared" si="128"/>
        <v>19</v>
      </c>
      <c r="BM150" s="16">
        <f t="shared" si="129"/>
        <v>247</v>
      </c>
      <c r="BN150" s="19">
        <v>0</v>
      </c>
      <c r="BO150" s="19">
        <v>0</v>
      </c>
      <c r="BP150" s="16">
        <f t="shared" si="130"/>
        <v>0</v>
      </c>
      <c r="BQ150" s="16">
        <f t="shared" si="131"/>
        <v>0</v>
      </c>
      <c r="BR150" s="18">
        <f t="shared" si="132"/>
        <v>19</v>
      </c>
      <c r="BS150" s="16">
        <f t="shared" si="133"/>
        <v>247</v>
      </c>
      <c r="BT150" s="19">
        <v>0</v>
      </c>
      <c r="BU150" s="19">
        <v>0</v>
      </c>
      <c r="BV150" s="16">
        <f t="shared" si="134"/>
        <v>0</v>
      </c>
      <c r="BW150" s="16">
        <f t="shared" si="135"/>
        <v>0</v>
      </c>
      <c r="BX150" s="18">
        <f t="shared" si="136"/>
        <v>19</v>
      </c>
      <c r="BY150" s="16">
        <f t="shared" si="137"/>
        <v>247</v>
      </c>
      <c r="BZ150" s="19">
        <v>0</v>
      </c>
      <c r="CA150" s="19">
        <v>0</v>
      </c>
      <c r="CB150" s="16">
        <f t="shared" si="138"/>
        <v>0</v>
      </c>
      <c r="CC150" s="16">
        <f t="shared" si="139"/>
        <v>0</v>
      </c>
      <c r="CD150" s="20">
        <f t="shared" si="142"/>
        <v>19</v>
      </c>
      <c r="CE150" s="21">
        <f t="shared" si="141"/>
        <v>247</v>
      </c>
    </row>
    <row r="151" spans="1:83" x14ac:dyDescent="0.25">
      <c r="A151" s="23">
        <v>94</v>
      </c>
      <c r="B151" s="70">
        <v>130</v>
      </c>
      <c r="C151" s="79" t="s">
        <v>230</v>
      </c>
      <c r="D151" s="13" t="s">
        <v>231</v>
      </c>
      <c r="E151" s="23">
        <v>1</v>
      </c>
      <c r="F151" s="23">
        <v>2</v>
      </c>
      <c r="G151" s="23">
        <v>3</v>
      </c>
      <c r="H151" s="17">
        <v>10</v>
      </c>
      <c r="I151" s="30">
        <v>5.9</v>
      </c>
      <c r="J151" s="17">
        <v>10</v>
      </c>
      <c r="K151" s="16">
        <f t="shared" si="104"/>
        <v>59</v>
      </c>
      <c r="L151" s="19">
        <v>0</v>
      </c>
      <c r="M151" s="19">
        <v>0</v>
      </c>
      <c r="N151" s="16">
        <f t="shared" si="106"/>
        <v>0</v>
      </c>
      <c r="O151" s="16">
        <f t="shared" si="107"/>
        <v>0</v>
      </c>
      <c r="P151" s="18">
        <f t="shared" ref="P151:P220" si="155">J151-L151+M151</f>
        <v>10</v>
      </c>
      <c r="Q151" s="16">
        <f t="shared" ref="Q151:Q220" si="156">P151*I151</f>
        <v>59</v>
      </c>
      <c r="R151" s="19">
        <v>0</v>
      </c>
      <c r="S151" s="18">
        <v>0</v>
      </c>
      <c r="T151" s="16">
        <f t="shared" ref="T151:T220" si="157">S151*I151</f>
        <v>0</v>
      </c>
      <c r="U151" s="16">
        <f t="shared" ref="U151:U220" si="158">R151*I151</f>
        <v>0</v>
      </c>
      <c r="V151" s="18">
        <f t="shared" ref="V151:V220" si="159">P151-R151+S151</f>
        <v>10</v>
      </c>
      <c r="W151" s="16">
        <f t="shared" ref="W151:W220" si="160">V151*I151</f>
        <v>59</v>
      </c>
      <c r="X151" s="19">
        <v>0</v>
      </c>
      <c r="Y151" s="19">
        <v>0</v>
      </c>
      <c r="Z151" s="16">
        <f t="shared" ref="Z151:Z220" si="161">Y151*I151</f>
        <v>0</v>
      </c>
      <c r="AA151" s="16">
        <f t="shared" ref="AA151:AA220" si="162">X151*I151</f>
        <v>0</v>
      </c>
      <c r="AB151" s="18">
        <f t="shared" ref="AB151:AB220" si="163">V151-X151+Y151</f>
        <v>10</v>
      </c>
      <c r="AC151" s="16">
        <f t="shared" ref="AC151:AC220" si="164">AB151*I151</f>
        <v>59</v>
      </c>
      <c r="AD151" s="19">
        <v>0</v>
      </c>
      <c r="AE151" s="19">
        <v>0</v>
      </c>
      <c r="AF151" s="16">
        <f t="shared" ref="AF151:AF220" si="165">AE151*I151</f>
        <v>0</v>
      </c>
      <c r="AG151" s="16">
        <f t="shared" ref="AG151:AG220" si="166">AD151*I151</f>
        <v>0</v>
      </c>
      <c r="AH151" s="18">
        <f t="shared" si="143"/>
        <v>10</v>
      </c>
      <c r="AI151" s="16">
        <f t="shared" si="144"/>
        <v>59</v>
      </c>
      <c r="AJ151" s="19">
        <v>0</v>
      </c>
      <c r="AK151" s="19">
        <v>0</v>
      </c>
      <c r="AL151" s="16">
        <f t="shared" si="145"/>
        <v>0</v>
      </c>
      <c r="AM151" s="16">
        <f t="shared" si="146"/>
        <v>0</v>
      </c>
      <c r="AN151" s="18">
        <f t="shared" si="147"/>
        <v>10</v>
      </c>
      <c r="AO151" s="16">
        <f t="shared" si="148"/>
        <v>59</v>
      </c>
      <c r="AP151" s="19">
        <v>0</v>
      </c>
      <c r="AQ151" s="19">
        <v>0</v>
      </c>
      <c r="AR151" s="16">
        <f t="shared" si="149"/>
        <v>0</v>
      </c>
      <c r="AS151" s="16">
        <f t="shared" si="150"/>
        <v>0</v>
      </c>
      <c r="AT151" s="18">
        <f t="shared" si="151"/>
        <v>10</v>
      </c>
      <c r="AU151" s="16">
        <f t="shared" si="152"/>
        <v>59</v>
      </c>
      <c r="AV151" s="19">
        <v>0</v>
      </c>
      <c r="AW151" s="19">
        <v>0</v>
      </c>
      <c r="AX151" s="16">
        <f t="shared" si="153"/>
        <v>0</v>
      </c>
      <c r="AY151" s="16">
        <f t="shared" si="154"/>
        <v>0</v>
      </c>
      <c r="AZ151" s="18">
        <f t="shared" si="120"/>
        <v>10</v>
      </c>
      <c r="BA151" s="16">
        <f t="shared" si="121"/>
        <v>59</v>
      </c>
      <c r="BB151" s="19">
        <v>0</v>
      </c>
      <c r="BC151" s="19">
        <v>0</v>
      </c>
      <c r="BD151" s="16">
        <f t="shared" si="122"/>
        <v>0</v>
      </c>
      <c r="BE151" s="16">
        <f t="shared" si="123"/>
        <v>0</v>
      </c>
      <c r="BF151" s="18">
        <f t="shared" si="124"/>
        <v>10</v>
      </c>
      <c r="BG151" s="16">
        <f t="shared" si="125"/>
        <v>59</v>
      </c>
      <c r="BH151" s="19">
        <v>0</v>
      </c>
      <c r="BI151" s="19">
        <v>0</v>
      </c>
      <c r="BJ151" s="16">
        <f t="shared" si="126"/>
        <v>0</v>
      </c>
      <c r="BK151" s="16">
        <f t="shared" si="127"/>
        <v>0</v>
      </c>
      <c r="BL151" s="18">
        <f t="shared" si="128"/>
        <v>10</v>
      </c>
      <c r="BM151" s="16">
        <f t="shared" si="129"/>
        <v>59</v>
      </c>
      <c r="BN151" s="19">
        <v>0</v>
      </c>
      <c r="BO151" s="19">
        <v>0</v>
      </c>
      <c r="BP151" s="16">
        <f t="shared" si="130"/>
        <v>0</v>
      </c>
      <c r="BQ151" s="16">
        <f t="shared" si="131"/>
        <v>0</v>
      </c>
      <c r="BR151" s="18">
        <f t="shared" si="132"/>
        <v>10</v>
      </c>
      <c r="BS151" s="16">
        <f t="shared" si="133"/>
        <v>59</v>
      </c>
      <c r="BT151" s="19">
        <v>0</v>
      </c>
      <c r="BU151" s="19">
        <v>0</v>
      </c>
      <c r="BV151" s="16">
        <f t="shared" si="134"/>
        <v>0</v>
      </c>
      <c r="BW151" s="16">
        <f t="shared" si="135"/>
        <v>0</v>
      </c>
      <c r="BX151" s="18">
        <f t="shared" si="136"/>
        <v>10</v>
      </c>
      <c r="BY151" s="16">
        <f t="shared" si="137"/>
        <v>59</v>
      </c>
      <c r="BZ151" s="19">
        <v>0</v>
      </c>
      <c r="CA151" s="19">
        <v>0</v>
      </c>
      <c r="CB151" s="16">
        <f t="shared" si="138"/>
        <v>0</v>
      </c>
      <c r="CC151" s="16">
        <f t="shared" si="139"/>
        <v>0</v>
      </c>
      <c r="CD151" s="20">
        <f t="shared" si="142"/>
        <v>10</v>
      </c>
      <c r="CE151" s="21">
        <f t="shared" si="141"/>
        <v>59</v>
      </c>
    </row>
    <row r="152" spans="1:83" x14ac:dyDescent="0.3">
      <c r="A152" s="23"/>
      <c r="B152" s="70">
        <v>131</v>
      </c>
      <c r="C152" s="86" t="s">
        <v>232</v>
      </c>
      <c r="D152" s="35" t="s">
        <v>388</v>
      </c>
      <c r="E152" s="62"/>
      <c r="F152" s="62"/>
      <c r="G152" s="62"/>
      <c r="H152" s="34">
        <v>3</v>
      </c>
      <c r="I152" s="25">
        <v>25</v>
      </c>
      <c r="J152" s="34">
        <v>3</v>
      </c>
      <c r="K152" s="16">
        <f t="shared" si="104"/>
        <v>75</v>
      </c>
      <c r="L152" s="19">
        <v>0</v>
      </c>
      <c r="M152" s="19">
        <v>0</v>
      </c>
      <c r="N152" s="16">
        <f t="shared" si="106"/>
        <v>0</v>
      </c>
      <c r="O152" s="16">
        <f t="shared" si="107"/>
        <v>0</v>
      </c>
      <c r="P152" s="18">
        <f t="shared" si="155"/>
        <v>3</v>
      </c>
      <c r="Q152" s="16">
        <f t="shared" si="156"/>
        <v>75</v>
      </c>
      <c r="R152" s="19">
        <v>0</v>
      </c>
      <c r="S152" s="18">
        <v>0</v>
      </c>
      <c r="T152" s="16">
        <f t="shared" si="157"/>
        <v>0</v>
      </c>
      <c r="U152" s="16">
        <f t="shared" si="158"/>
        <v>0</v>
      </c>
      <c r="V152" s="18">
        <f t="shared" si="159"/>
        <v>3</v>
      </c>
      <c r="W152" s="16">
        <f t="shared" si="160"/>
        <v>75</v>
      </c>
      <c r="X152" s="19">
        <v>0</v>
      </c>
      <c r="Y152" s="19">
        <v>0</v>
      </c>
      <c r="Z152" s="16">
        <f t="shared" si="161"/>
        <v>0</v>
      </c>
      <c r="AA152" s="16">
        <f t="shared" si="162"/>
        <v>0</v>
      </c>
      <c r="AB152" s="18">
        <f t="shared" si="163"/>
        <v>3</v>
      </c>
      <c r="AC152" s="16">
        <f t="shared" si="164"/>
        <v>75</v>
      </c>
      <c r="AD152" s="19">
        <v>0</v>
      </c>
      <c r="AE152" s="19">
        <v>0</v>
      </c>
      <c r="AF152" s="16">
        <f t="shared" si="165"/>
        <v>0</v>
      </c>
      <c r="AG152" s="16">
        <f t="shared" si="166"/>
        <v>0</v>
      </c>
      <c r="AH152" s="18">
        <f t="shared" si="143"/>
        <v>3</v>
      </c>
      <c r="AI152" s="16">
        <f t="shared" si="144"/>
        <v>75</v>
      </c>
      <c r="AJ152" s="19">
        <v>0</v>
      </c>
      <c r="AK152" s="19">
        <v>0</v>
      </c>
      <c r="AL152" s="16">
        <f t="shared" si="145"/>
        <v>0</v>
      </c>
      <c r="AM152" s="16">
        <f t="shared" si="146"/>
        <v>0</v>
      </c>
      <c r="AN152" s="18">
        <f t="shared" si="147"/>
        <v>3</v>
      </c>
      <c r="AO152" s="16">
        <f t="shared" si="148"/>
        <v>75</v>
      </c>
      <c r="AP152" s="19">
        <v>0</v>
      </c>
      <c r="AQ152" s="19">
        <v>0</v>
      </c>
      <c r="AR152" s="16">
        <f t="shared" si="149"/>
        <v>0</v>
      </c>
      <c r="AS152" s="16">
        <f t="shared" si="150"/>
        <v>0</v>
      </c>
      <c r="AT152" s="18">
        <f t="shared" si="151"/>
        <v>3</v>
      </c>
      <c r="AU152" s="16">
        <f t="shared" si="152"/>
        <v>75</v>
      </c>
      <c r="AV152" s="19">
        <v>1</v>
      </c>
      <c r="AW152" s="19">
        <v>0</v>
      </c>
      <c r="AX152" s="16">
        <f t="shared" si="153"/>
        <v>0</v>
      </c>
      <c r="AY152" s="16">
        <f t="shared" si="154"/>
        <v>25</v>
      </c>
      <c r="AZ152" s="18">
        <f t="shared" si="120"/>
        <v>2</v>
      </c>
      <c r="BA152" s="16">
        <f t="shared" si="121"/>
        <v>50</v>
      </c>
      <c r="BB152" s="19">
        <v>0</v>
      </c>
      <c r="BC152" s="19">
        <v>0</v>
      </c>
      <c r="BD152" s="16">
        <f t="shared" si="122"/>
        <v>0</v>
      </c>
      <c r="BE152" s="16">
        <f t="shared" si="123"/>
        <v>0</v>
      </c>
      <c r="BF152" s="18">
        <f t="shared" si="124"/>
        <v>2</v>
      </c>
      <c r="BG152" s="16">
        <f t="shared" si="125"/>
        <v>50</v>
      </c>
      <c r="BH152" s="19">
        <v>0</v>
      </c>
      <c r="BI152" s="19">
        <v>0</v>
      </c>
      <c r="BJ152" s="16">
        <f t="shared" si="126"/>
        <v>0</v>
      </c>
      <c r="BK152" s="16">
        <f t="shared" si="127"/>
        <v>0</v>
      </c>
      <c r="BL152" s="18">
        <f t="shared" si="128"/>
        <v>2</v>
      </c>
      <c r="BM152" s="16">
        <f t="shared" si="129"/>
        <v>50</v>
      </c>
      <c r="BN152" s="19">
        <v>0</v>
      </c>
      <c r="BO152" s="19">
        <v>0</v>
      </c>
      <c r="BP152" s="16">
        <f t="shared" si="130"/>
        <v>0</v>
      </c>
      <c r="BQ152" s="16">
        <f t="shared" si="131"/>
        <v>0</v>
      </c>
      <c r="BR152" s="18">
        <f t="shared" si="132"/>
        <v>2</v>
      </c>
      <c r="BS152" s="16">
        <f t="shared" si="133"/>
        <v>50</v>
      </c>
      <c r="BT152" s="19">
        <v>0</v>
      </c>
      <c r="BU152" s="19">
        <v>0</v>
      </c>
      <c r="BV152" s="16">
        <f t="shared" si="134"/>
        <v>0</v>
      </c>
      <c r="BW152" s="16">
        <f t="shared" si="135"/>
        <v>0</v>
      </c>
      <c r="BX152" s="18">
        <f t="shared" si="136"/>
        <v>2</v>
      </c>
      <c r="BY152" s="16">
        <f t="shared" si="137"/>
        <v>50</v>
      </c>
      <c r="BZ152" s="19">
        <v>0</v>
      </c>
      <c r="CA152" s="19">
        <v>0</v>
      </c>
      <c r="CB152" s="16">
        <f t="shared" si="138"/>
        <v>0</v>
      </c>
      <c r="CC152" s="16">
        <f t="shared" si="139"/>
        <v>0</v>
      </c>
      <c r="CD152" s="20">
        <f t="shared" si="142"/>
        <v>2</v>
      </c>
      <c r="CE152" s="21">
        <f t="shared" si="141"/>
        <v>50</v>
      </c>
    </row>
    <row r="153" spans="1:83" x14ac:dyDescent="0.3">
      <c r="A153" s="23"/>
      <c r="B153" s="70">
        <v>132</v>
      </c>
      <c r="C153" s="79" t="s">
        <v>233</v>
      </c>
      <c r="D153" s="35" t="s">
        <v>234</v>
      </c>
      <c r="E153" s="62">
        <v>1</v>
      </c>
      <c r="F153" s="62">
        <v>2</v>
      </c>
      <c r="G153" s="62">
        <v>3</v>
      </c>
      <c r="H153" s="34">
        <v>2</v>
      </c>
      <c r="I153" s="25">
        <v>63</v>
      </c>
      <c r="J153" s="34">
        <v>2</v>
      </c>
      <c r="K153" s="16">
        <f t="shared" ref="K153:K220" si="167">SUM(J153*I153)</f>
        <v>126</v>
      </c>
      <c r="L153" s="19">
        <v>0</v>
      </c>
      <c r="M153" s="19">
        <v>0</v>
      </c>
      <c r="N153" s="16">
        <f t="shared" si="106"/>
        <v>0</v>
      </c>
      <c r="O153" s="16">
        <f t="shared" si="107"/>
        <v>0</v>
      </c>
      <c r="P153" s="18">
        <f t="shared" si="155"/>
        <v>2</v>
      </c>
      <c r="Q153" s="16">
        <f t="shared" si="156"/>
        <v>126</v>
      </c>
      <c r="R153" s="19">
        <v>0</v>
      </c>
      <c r="S153" s="18">
        <v>0</v>
      </c>
      <c r="T153" s="16">
        <f t="shared" si="157"/>
        <v>0</v>
      </c>
      <c r="U153" s="16">
        <f t="shared" si="158"/>
        <v>0</v>
      </c>
      <c r="V153" s="18">
        <f t="shared" si="159"/>
        <v>2</v>
      </c>
      <c r="W153" s="16">
        <f t="shared" si="160"/>
        <v>126</v>
      </c>
      <c r="X153" s="19">
        <v>0</v>
      </c>
      <c r="Y153" s="19">
        <v>0</v>
      </c>
      <c r="Z153" s="16">
        <f t="shared" si="161"/>
        <v>0</v>
      </c>
      <c r="AA153" s="16">
        <f t="shared" si="162"/>
        <v>0</v>
      </c>
      <c r="AB153" s="18">
        <f t="shared" si="163"/>
        <v>2</v>
      </c>
      <c r="AC153" s="16">
        <f t="shared" si="164"/>
        <v>126</v>
      </c>
      <c r="AD153" s="19">
        <v>0</v>
      </c>
      <c r="AE153" s="19">
        <v>0</v>
      </c>
      <c r="AF153" s="16">
        <f t="shared" si="165"/>
        <v>0</v>
      </c>
      <c r="AG153" s="16">
        <f t="shared" si="166"/>
        <v>0</v>
      </c>
      <c r="AH153" s="18">
        <f t="shared" si="143"/>
        <v>2</v>
      </c>
      <c r="AI153" s="16">
        <f t="shared" si="144"/>
        <v>126</v>
      </c>
      <c r="AJ153" s="19">
        <v>0</v>
      </c>
      <c r="AK153" s="19">
        <v>0</v>
      </c>
      <c r="AL153" s="16">
        <f t="shared" si="145"/>
        <v>0</v>
      </c>
      <c r="AM153" s="16">
        <f t="shared" si="146"/>
        <v>0</v>
      </c>
      <c r="AN153" s="18">
        <f t="shared" si="147"/>
        <v>2</v>
      </c>
      <c r="AO153" s="16">
        <f t="shared" si="148"/>
        <v>126</v>
      </c>
      <c r="AP153" s="19">
        <v>0</v>
      </c>
      <c r="AQ153" s="19">
        <v>0</v>
      </c>
      <c r="AR153" s="16">
        <f t="shared" si="149"/>
        <v>0</v>
      </c>
      <c r="AS153" s="16">
        <f t="shared" si="150"/>
        <v>0</v>
      </c>
      <c r="AT153" s="18">
        <f t="shared" si="151"/>
        <v>2</v>
      </c>
      <c r="AU153" s="16">
        <f t="shared" si="152"/>
        <v>126</v>
      </c>
      <c r="AV153" s="19">
        <v>0</v>
      </c>
      <c r="AW153" s="19">
        <v>0</v>
      </c>
      <c r="AX153" s="16">
        <f t="shared" si="153"/>
        <v>0</v>
      </c>
      <c r="AY153" s="16">
        <f t="shared" si="154"/>
        <v>0</v>
      </c>
      <c r="AZ153" s="18">
        <f t="shared" si="120"/>
        <v>2</v>
      </c>
      <c r="BA153" s="16">
        <f t="shared" si="121"/>
        <v>126</v>
      </c>
      <c r="BB153" s="19">
        <v>0</v>
      </c>
      <c r="BC153" s="19">
        <v>0</v>
      </c>
      <c r="BD153" s="16">
        <f t="shared" si="122"/>
        <v>0</v>
      </c>
      <c r="BE153" s="16">
        <f t="shared" si="123"/>
        <v>0</v>
      </c>
      <c r="BF153" s="18">
        <f t="shared" si="124"/>
        <v>2</v>
      </c>
      <c r="BG153" s="16">
        <f t="shared" si="125"/>
        <v>126</v>
      </c>
      <c r="BH153" s="19">
        <v>0</v>
      </c>
      <c r="BI153" s="19">
        <v>0</v>
      </c>
      <c r="BJ153" s="16">
        <f t="shared" si="126"/>
        <v>0</v>
      </c>
      <c r="BK153" s="16">
        <f t="shared" si="127"/>
        <v>0</v>
      </c>
      <c r="BL153" s="18">
        <f t="shared" si="128"/>
        <v>2</v>
      </c>
      <c r="BM153" s="16">
        <f t="shared" si="129"/>
        <v>126</v>
      </c>
      <c r="BN153" s="19">
        <v>0</v>
      </c>
      <c r="BO153" s="19">
        <v>0</v>
      </c>
      <c r="BP153" s="16">
        <f t="shared" si="130"/>
        <v>0</v>
      </c>
      <c r="BQ153" s="16">
        <f t="shared" si="131"/>
        <v>0</v>
      </c>
      <c r="BR153" s="18">
        <f t="shared" si="132"/>
        <v>2</v>
      </c>
      <c r="BS153" s="16">
        <f t="shared" si="133"/>
        <v>126</v>
      </c>
      <c r="BT153" s="19">
        <v>0</v>
      </c>
      <c r="BU153" s="19">
        <v>0</v>
      </c>
      <c r="BV153" s="16">
        <f t="shared" si="134"/>
        <v>0</v>
      </c>
      <c r="BW153" s="16">
        <f t="shared" si="135"/>
        <v>0</v>
      </c>
      <c r="BX153" s="18">
        <f t="shared" si="136"/>
        <v>2</v>
      </c>
      <c r="BY153" s="16">
        <f t="shared" si="137"/>
        <v>126</v>
      </c>
      <c r="BZ153" s="19">
        <v>0</v>
      </c>
      <c r="CA153" s="19">
        <v>0</v>
      </c>
      <c r="CB153" s="16">
        <f t="shared" si="138"/>
        <v>0</v>
      </c>
      <c r="CC153" s="16">
        <f t="shared" si="139"/>
        <v>0</v>
      </c>
      <c r="CD153" s="20">
        <f t="shared" si="142"/>
        <v>2</v>
      </c>
      <c r="CE153" s="21">
        <f t="shared" ref="CE153:CE194" si="168">CD153*I153</f>
        <v>126</v>
      </c>
    </row>
    <row r="154" spans="1:83" x14ac:dyDescent="0.3">
      <c r="A154" s="23">
        <v>99</v>
      </c>
      <c r="B154" s="70">
        <v>133</v>
      </c>
      <c r="C154" s="79" t="s">
        <v>235</v>
      </c>
      <c r="D154" s="13" t="s">
        <v>236</v>
      </c>
      <c r="E154" s="23">
        <v>2</v>
      </c>
      <c r="F154" s="23">
        <v>4</v>
      </c>
      <c r="G154" s="23">
        <v>6</v>
      </c>
      <c r="H154" s="17">
        <v>23</v>
      </c>
      <c r="I154" s="25">
        <v>9.5</v>
      </c>
      <c r="J154" s="17">
        <v>23</v>
      </c>
      <c r="K154" s="16">
        <f t="shared" si="167"/>
        <v>218.5</v>
      </c>
      <c r="L154" s="19">
        <v>6</v>
      </c>
      <c r="M154" s="19">
        <v>0</v>
      </c>
      <c r="N154" s="16">
        <f t="shared" ref="N154:N220" si="169">M154*I154</f>
        <v>0</v>
      </c>
      <c r="O154" s="16">
        <f t="shared" ref="O154:O220" si="170">L154*I154</f>
        <v>57</v>
      </c>
      <c r="P154" s="18">
        <f t="shared" si="155"/>
        <v>17</v>
      </c>
      <c r="Q154" s="16">
        <f t="shared" si="156"/>
        <v>161.5</v>
      </c>
      <c r="R154" s="19">
        <v>0</v>
      </c>
      <c r="S154" s="18">
        <v>0</v>
      </c>
      <c r="T154" s="16">
        <f t="shared" si="157"/>
        <v>0</v>
      </c>
      <c r="U154" s="16">
        <f t="shared" si="158"/>
        <v>0</v>
      </c>
      <c r="V154" s="18">
        <f t="shared" si="159"/>
        <v>17</v>
      </c>
      <c r="W154" s="16">
        <f t="shared" si="160"/>
        <v>161.5</v>
      </c>
      <c r="X154" s="19">
        <v>0</v>
      </c>
      <c r="Y154" s="19">
        <v>0</v>
      </c>
      <c r="Z154" s="16">
        <f t="shared" si="161"/>
        <v>0</v>
      </c>
      <c r="AA154" s="16">
        <f t="shared" si="162"/>
        <v>0</v>
      </c>
      <c r="AB154" s="18">
        <f t="shared" si="163"/>
        <v>17</v>
      </c>
      <c r="AC154" s="16">
        <f t="shared" si="164"/>
        <v>161.5</v>
      </c>
      <c r="AD154" s="19">
        <v>0</v>
      </c>
      <c r="AE154" s="19">
        <v>0</v>
      </c>
      <c r="AF154" s="16">
        <f t="shared" si="165"/>
        <v>0</v>
      </c>
      <c r="AG154" s="16">
        <f t="shared" si="166"/>
        <v>0</v>
      </c>
      <c r="AH154" s="18">
        <f t="shared" si="143"/>
        <v>17</v>
      </c>
      <c r="AI154" s="16">
        <f t="shared" si="144"/>
        <v>161.5</v>
      </c>
      <c r="AJ154" s="19">
        <v>0</v>
      </c>
      <c r="AK154" s="19">
        <v>0</v>
      </c>
      <c r="AL154" s="16">
        <f t="shared" si="145"/>
        <v>0</v>
      </c>
      <c r="AM154" s="16">
        <f t="shared" si="146"/>
        <v>0</v>
      </c>
      <c r="AN154" s="18">
        <f t="shared" si="147"/>
        <v>17</v>
      </c>
      <c r="AO154" s="16">
        <f t="shared" si="148"/>
        <v>161.5</v>
      </c>
      <c r="AP154" s="19">
        <v>0</v>
      </c>
      <c r="AQ154" s="19">
        <v>0</v>
      </c>
      <c r="AR154" s="16">
        <f t="shared" si="149"/>
        <v>0</v>
      </c>
      <c r="AS154" s="16">
        <f t="shared" si="150"/>
        <v>0</v>
      </c>
      <c r="AT154" s="18">
        <f t="shared" si="151"/>
        <v>17</v>
      </c>
      <c r="AU154" s="16">
        <f t="shared" si="152"/>
        <v>161.5</v>
      </c>
      <c r="AV154" s="19">
        <v>0</v>
      </c>
      <c r="AW154" s="19">
        <v>0</v>
      </c>
      <c r="AX154" s="16">
        <f t="shared" si="153"/>
        <v>0</v>
      </c>
      <c r="AY154" s="16">
        <f t="shared" si="154"/>
        <v>0</v>
      </c>
      <c r="AZ154" s="18">
        <f t="shared" ref="AZ154:AZ220" si="171">AT154-AV154+AW154</f>
        <v>17</v>
      </c>
      <c r="BA154" s="16">
        <f t="shared" ref="BA154:BA220" si="172">AZ154*I154</f>
        <v>161.5</v>
      </c>
      <c r="BB154" s="19">
        <v>0</v>
      </c>
      <c r="BC154" s="19">
        <v>0</v>
      </c>
      <c r="BD154" s="16">
        <f t="shared" ref="BD154:BD220" si="173">BC154*I154</f>
        <v>0</v>
      </c>
      <c r="BE154" s="16">
        <f t="shared" ref="BE154:BE220" si="174">BB154*I154</f>
        <v>0</v>
      </c>
      <c r="BF154" s="18">
        <f t="shared" ref="BF154:BF220" si="175">AZ154-BB154+BC154</f>
        <v>17</v>
      </c>
      <c r="BG154" s="16">
        <f t="shared" ref="BG154:BG220" si="176">BF154*I154</f>
        <v>161.5</v>
      </c>
      <c r="BH154" s="19">
        <v>0</v>
      </c>
      <c r="BI154" s="19">
        <v>0</v>
      </c>
      <c r="BJ154" s="16">
        <f t="shared" ref="BJ154:BJ220" si="177">BI154*I154</f>
        <v>0</v>
      </c>
      <c r="BK154" s="16">
        <f t="shared" ref="BK154:BK220" si="178">BH154*I154</f>
        <v>0</v>
      </c>
      <c r="BL154" s="18">
        <f t="shared" ref="BL154:BL220" si="179">BF154-BH154+BI154</f>
        <v>17</v>
      </c>
      <c r="BM154" s="16">
        <f t="shared" ref="BM154:BM220" si="180">BL154*I154</f>
        <v>161.5</v>
      </c>
      <c r="BN154" s="19">
        <v>0</v>
      </c>
      <c r="BO154" s="19">
        <v>0</v>
      </c>
      <c r="BP154" s="16">
        <f t="shared" ref="BP154:BP220" si="181">BO154*I154</f>
        <v>0</v>
      </c>
      <c r="BQ154" s="16">
        <f t="shared" ref="BQ154:BQ220" si="182">BN154*I154</f>
        <v>0</v>
      </c>
      <c r="BR154" s="18">
        <f t="shared" ref="BR154:BR220" si="183">BL154-BN154+BO154</f>
        <v>17</v>
      </c>
      <c r="BS154" s="16">
        <f t="shared" ref="BS154:BS220" si="184">BR154*I154</f>
        <v>161.5</v>
      </c>
      <c r="BT154" s="19">
        <v>0</v>
      </c>
      <c r="BU154" s="19">
        <v>0</v>
      </c>
      <c r="BV154" s="16">
        <f t="shared" ref="BV154:BV220" si="185">BU154*I154</f>
        <v>0</v>
      </c>
      <c r="BW154" s="16">
        <f t="shared" ref="BW154:BW220" si="186">BT154*I154</f>
        <v>0</v>
      </c>
      <c r="BX154" s="18">
        <f t="shared" ref="BX154:BX220" si="187">BR154-BT154+BU154</f>
        <v>17</v>
      </c>
      <c r="BY154" s="16">
        <f t="shared" ref="BY154:BY220" si="188">BX154*I154</f>
        <v>161.5</v>
      </c>
      <c r="BZ154" s="19">
        <v>0</v>
      </c>
      <c r="CA154" s="19">
        <v>0</v>
      </c>
      <c r="CB154" s="16">
        <f t="shared" ref="CB154:CB220" si="189">CA154*I154</f>
        <v>0</v>
      </c>
      <c r="CC154" s="16">
        <f t="shared" ref="CC154:CC220" si="190">BZ154*I154</f>
        <v>0</v>
      </c>
      <c r="CD154" s="20">
        <f t="shared" ref="CD154:CD196" si="191">BX154-BZ154+CA154</f>
        <v>17</v>
      </c>
      <c r="CE154" s="21">
        <f t="shared" si="168"/>
        <v>161.5</v>
      </c>
    </row>
    <row r="155" spans="1:83" x14ac:dyDescent="0.3">
      <c r="A155" s="23">
        <v>100</v>
      </c>
      <c r="B155" s="70">
        <v>134</v>
      </c>
      <c r="C155" s="176" t="s">
        <v>237</v>
      </c>
      <c r="D155" s="83" t="s">
        <v>398</v>
      </c>
      <c r="E155" s="168">
        <v>0</v>
      </c>
      <c r="F155" s="168">
        <v>1</v>
      </c>
      <c r="G155" s="168">
        <v>2</v>
      </c>
      <c r="H155" s="17">
        <v>1</v>
      </c>
      <c r="I155" s="25">
        <v>12.6</v>
      </c>
      <c r="J155" s="17">
        <v>1</v>
      </c>
      <c r="K155" s="16">
        <f t="shared" si="167"/>
        <v>12.6</v>
      </c>
      <c r="L155" s="19">
        <v>0</v>
      </c>
      <c r="M155" s="19">
        <v>0</v>
      </c>
      <c r="N155" s="16">
        <f t="shared" si="169"/>
        <v>0</v>
      </c>
      <c r="O155" s="16">
        <f t="shared" si="170"/>
        <v>0</v>
      </c>
      <c r="P155" s="18">
        <f t="shared" si="155"/>
        <v>1</v>
      </c>
      <c r="Q155" s="16">
        <f t="shared" si="156"/>
        <v>12.6</v>
      </c>
      <c r="R155" s="19">
        <v>0</v>
      </c>
      <c r="S155" s="18">
        <v>0</v>
      </c>
      <c r="T155" s="16">
        <f t="shared" si="157"/>
        <v>0</v>
      </c>
      <c r="U155" s="16">
        <f t="shared" si="158"/>
        <v>0</v>
      </c>
      <c r="V155" s="18">
        <f t="shared" si="159"/>
        <v>1</v>
      </c>
      <c r="W155" s="16">
        <f t="shared" si="160"/>
        <v>12.6</v>
      </c>
      <c r="X155" s="19">
        <v>0</v>
      </c>
      <c r="Y155" s="19">
        <v>0</v>
      </c>
      <c r="Z155" s="16">
        <f t="shared" si="161"/>
        <v>0</v>
      </c>
      <c r="AA155" s="16">
        <f t="shared" si="162"/>
        <v>0</v>
      </c>
      <c r="AB155" s="18">
        <f t="shared" si="163"/>
        <v>1</v>
      </c>
      <c r="AC155" s="16">
        <f t="shared" si="164"/>
        <v>12.6</v>
      </c>
      <c r="AD155" s="19">
        <v>0</v>
      </c>
      <c r="AE155" s="19">
        <v>0</v>
      </c>
      <c r="AF155" s="16">
        <f t="shared" si="165"/>
        <v>0</v>
      </c>
      <c r="AG155" s="16">
        <f t="shared" si="166"/>
        <v>0</v>
      </c>
      <c r="AH155" s="18">
        <f t="shared" si="143"/>
        <v>1</v>
      </c>
      <c r="AI155" s="16">
        <f t="shared" si="144"/>
        <v>12.6</v>
      </c>
      <c r="AJ155" s="19">
        <v>0</v>
      </c>
      <c r="AK155" s="19">
        <v>0</v>
      </c>
      <c r="AL155" s="16">
        <f t="shared" si="145"/>
        <v>0</v>
      </c>
      <c r="AM155" s="16">
        <f t="shared" si="146"/>
        <v>0</v>
      </c>
      <c r="AN155" s="18">
        <f t="shared" si="147"/>
        <v>1</v>
      </c>
      <c r="AO155" s="16">
        <f t="shared" si="148"/>
        <v>12.6</v>
      </c>
      <c r="AP155" s="19">
        <v>0</v>
      </c>
      <c r="AQ155" s="19">
        <v>0</v>
      </c>
      <c r="AR155" s="16">
        <f t="shared" si="149"/>
        <v>0</v>
      </c>
      <c r="AS155" s="16">
        <f t="shared" si="150"/>
        <v>0</v>
      </c>
      <c r="AT155" s="18">
        <f t="shared" si="151"/>
        <v>1</v>
      </c>
      <c r="AU155" s="16">
        <f t="shared" si="152"/>
        <v>12.6</v>
      </c>
      <c r="AV155" s="19">
        <v>0</v>
      </c>
      <c r="AW155" s="19">
        <v>0</v>
      </c>
      <c r="AX155" s="16">
        <f t="shared" si="153"/>
        <v>0</v>
      </c>
      <c r="AY155" s="16">
        <f t="shared" si="154"/>
        <v>0</v>
      </c>
      <c r="AZ155" s="18">
        <f t="shared" si="171"/>
        <v>1</v>
      </c>
      <c r="BA155" s="16">
        <f t="shared" si="172"/>
        <v>12.6</v>
      </c>
      <c r="BB155" s="19">
        <v>0</v>
      </c>
      <c r="BC155" s="19">
        <v>0</v>
      </c>
      <c r="BD155" s="16">
        <f t="shared" si="173"/>
        <v>0</v>
      </c>
      <c r="BE155" s="16">
        <f t="shared" si="174"/>
        <v>0</v>
      </c>
      <c r="BF155" s="18">
        <f t="shared" si="175"/>
        <v>1</v>
      </c>
      <c r="BG155" s="16">
        <f t="shared" si="176"/>
        <v>12.6</v>
      </c>
      <c r="BH155" s="19">
        <v>0</v>
      </c>
      <c r="BI155" s="19">
        <v>0</v>
      </c>
      <c r="BJ155" s="16">
        <f t="shared" si="177"/>
        <v>0</v>
      </c>
      <c r="BK155" s="16">
        <f t="shared" si="178"/>
        <v>0</v>
      </c>
      <c r="BL155" s="18">
        <f t="shared" si="179"/>
        <v>1</v>
      </c>
      <c r="BM155" s="16">
        <f t="shared" si="180"/>
        <v>12.6</v>
      </c>
      <c r="BN155" s="19">
        <v>0</v>
      </c>
      <c r="BO155" s="19">
        <v>0</v>
      </c>
      <c r="BP155" s="16">
        <f t="shared" si="181"/>
        <v>0</v>
      </c>
      <c r="BQ155" s="16">
        <f t="shared" si="182"/>
        <v>0</v>
      </c>
      <c r="BR155" s="18">
        <f t="shared" si="183"/>
        <v>1</v>
      </c>
      <c r="BS155" s="16">
        <f t="shared" si="184"/>
        <v>12.6</v>
      </c>
      <c r="BT155" s="19">
        <v>0</v>
      </c>
      <c r="BU155" s="19">
        <v>0</v>
      </c>
      <c r="BV155" s="16">
        <f t="shared" si="185"/>
        <v>0</v>
      </c>
      <c r="BW155" s="16">
        <f t="shared" si="186"/>
        <v>0</v>
      </c>
      <c r="BX155" s="18">
        <f t="shared" si="187"/>
        <v>1</v>
      </c>
      <c r="BY155" s="16">
        <f t="shared" si="188"/>
        <v>12.6</v>
      </c>
      <c r="BZ155" s="19">
        <v>0</v>
      </c>
      <c r="CA155" s="19">
        <v>0</v>
      </c>
      <c r="CB155" s="16">
        <f t="shared" si="189"/>
        <v>0</v>
      </c>
      <c r="CC155" s="16">
        <f t="shared" si="190"/>
        <v>0</v>
      </c>
      <c r="CD155" s="20">
        <f t="shared" si="191"/>
        <v>1</v>
      </c>
      <c r="CE155" s="21">
        <f t="shared" si="168"/>
        <v>12.6</v>
      </c>
    </row>
    <row r="156" spans="1:83" x14ac:dyDescent="0.3">
      <c r="A156" s="23"/>
      <c r="B156" s="70">
        <v>135</v>
      </c>
      <c r="C156" s="177"/>
      <c r="D156" s="83" t="s">
        <v>399</v>
      </c>
      <c r="E156" s="169"/>
      <c r="F156" s="169"/>
      <c r="G156" s="169"/>
      <c r="H156" s="17">
        <v>1</v>
      </c>
      <c r="I156" s="25">
        <v>15.15</v>
      </c>
      <c r="J156" s="17">
        <v>1</v>
      </c>
      <c r="K156" s="16">
        <f t="shared" si="167"/>
        <v>15.15</v>
      </c>
      <c r="L156" s="19">
        <v>0</v>
      </c>
      <c r="M156" s="19">
        <v>0</v>
      </c>
      <c r="N156" s="16">
        <f t="shared" ref="N156:N157" si="192">M156*I156</f>
        <v>0</v>
      </c>
      <c r="O156" s="16">
        <f t="shared" ref="O156:O157" si="193">L156*I156</f>
        <v>0</v>
      </c>
      <c r="P156" s="18">
        <f t="shared" si="155"/>
        <v>1</v>
      </c>
      <c r="Q156" s="16">
        <f t="shared" si="156"/>
        <v>15.15</v>
      </c>
      <c r="R156" s="19">
        <v>0</v>
      </c>
      <c r="S156" s="18">
        <v>0</v>
      </c>
      <c r="T156" s="16">
        <f t="shared" si="157"/>
        <v>0</v>
      </c>
      <c r="U156" s="16">
        <f t="shared" si="158"/>
        <v>0</v>
      </c>
      <c r="V156" s="18">
        <f t="shared" si="159"/>
        <v>1</v>
      </c>
      <c r="W156" s="16">
        <f t="shared" si="160"/>
        <v>15.15</v>
      </c>
      <c r="X156" s="19">
        <v>0</v>
      </c>
      <c r="Y156" s="19">
        <v>0</v>
      </c>
      <c r="Z156" s="16">
        <f t="shared" si="161"/>
        <v>0</v>
      </c>
      <c r="AA156" s="16">
        <f t="shared" si="162"/>
        <v>0</v>
      </c>
      <c r="AB156" s="18">
        <f t="shared" si="163"/>
        <v>1</v>
      </c>
      <c r="AC156" s="16">
        <f t="shared" si="164"/>
        <v>15.15</v>
      </c>
      <c r="AD156" s="19">
        <v>0</v>
      </c>
      <c r="AE156" s="19">
        <v>0</v>
      </c>
      <c r="AF156" s="16">
        <f t="shared" si="165"/>
        <v>0</v>
      </c>
      <c r="AG156" s="16">
        <f t="shared" si="166"/>
        <v>0</v>
      </c>
      <c r="AH156" s="18">
        <f t="shared" si="143"/>
        <v>1</v>
      </c>
      <c r="AI156" s="16">
        <f t="shared" si="144"/>
        <v>15.15</v>
      </c>
      <c r="AJ156" s="19">
        <v>0</v>
      </c>
      <c r="AK156" s="19">
        <v>0</v>
      </c>
      <c r="AL156" s="16">
        <f t="shared" si="145"/>
        <v>0</v>
      </c>
      <c r="AM156" s="16">
        <f t="shared" si="146"/>
        <v>0</v>
      </c>
      <c r="AN156" s="18">
        <f t="shared" si="147"/>
        <v>1</v>
      </c>
      <c r="AO156" s="16">
        <f t="shared" si="148"/>
        <v>15.15</v>
      </c>
      <c r="AP156" s="19">
        <v>0</v>
      </c>
      <c r="AQ156" s="19">
        <v>0</v>
      </c>
      <c r="AR156" s="16">
        <f t="shared" si="149"/>
        <v>0</v>
      </c>
      <c r="AS156" s="16">
        <f t="shared" si="150"/>
        <v>0</v>
      </c>
      <c r="AT156" s="18">
        <f t="shared" si="151"/>
        <v>1</v>
      </c>
      <c r="AU156" s="16">
        <f t="shared" si="152"/>
        <v>15.15</v>
      </c>
      <c r="AV156" s="19">
        <v>0</v>
      </c>
      <c r="AW156" s="19">
        <v>0</v>
      </c>
      <c r="AX156" s="16">
        <f t="shared" si="153"/>
        <v>0</v>
      </c>
      <c r="AY156" s="16">
        <f t="shared" si="154"/>
        <v>0</v>
      </c>
      <c r="AZ156" s="18">
        <f t="shared" si="171"/>
        <v>1</v>
      </c>
      <c r="BA156" s="16">
        <f t="shared" si="172"/>
        <v>15.15</v>
      </c>
      <c r="BB156" s="19">
        <v>0</v>
      </c>
      <c r="BC156" s="19">
        <v>0</v>
      </c>
      <c r="BD156" s="16">
        <f t="shared" si="173"/>
        <v>0</v>
      </c>
      <c r="BE156" s="16">
        <f t="shared" si="174"/>
        <v>0</v>
      </c>
      <c r="BF156" s="18">
        <f t="shared" si="175"/>
        <v>1</v>
      </c>
      <c r="BG156" s="16">
        <f t="shared" si="176"/>
        <v>15.15</v>
      </c>
      <c r="BH156" s="19">
        <v>0</v>
      </c>
      <c r="BI156" s="19">
        <v>0</v>
      </c>
      <c r="BJ156" s="16">
        <f t="shared" si="177"/>
        <v>0</v>
      </c>
      <c r="BK156" s="16">
        <f t="shared" si="178"/>
        <v>0</v>
      </c>
      <c r="BL156" s="18">
        <f t="shared" si="179"/>
        <v>1</v>
      </c>
      <c r="BM156" s="16">
        <f t="shared" si="180"/>
        <v>15.15</v>
      </c>
      <c r="BN156" s="19">
        <v>0</v>
      </c>
      <c r="BO156" s="19">
        <v>0</v>
      </c>
      <c r="BP156" s="16">
        <f t="shared" si="181"/>
        <v>0</v>
      </c>
      <c r="BQ156" s="16">
        <f t="shared" si="182"/>
        <v>0</v>
      </c>
      <c r="BR156" s="18">
        <f t="shared" si="183"/>
        <v>1</v>
      </c>
      <c r="BS156" s="16">
        <f t="shared" si="184"/>
        <v>15.15</v>
      </c>
      <c r="BT156" s="19">
        <v>0</v>
      </c>
      <c r="BU156" s="19">
        <v>0</v>
      </c>
      <c r="BV156" s="16">
        <f t="shared" si="185"/>
        <v>0</v>
      </c>
      <c r="BW156" s="16">
        <f t="shared" si="186"/>
        <v>0</v>
      </c>
      <c r="BX156" s="18">
        <f t="shared" si="187"/>
        <v>1</v>
      </c>
      <c r="BY156" s="16">
        <f t="shared" si="188"/>
        <v>15.15</v>
      </c>
      <c r="BZ156" s="19">
        <v>0</v>
      </c>
      <c r="CA156" s="19">
        <v>0</v>
      </c>
      <c r="CB156" s="16">
        <f t="shared" si="189"/>
        <v>0</v>
      </c>
      <c r="CC156" s="16">
        <f t="shared" si="190"/>
        <v>0</v>
      </c>
      <c r="CD156" s="20">
        <f t="shared" si="191"/>
        <v>1</v>
      </c>
      <c r="CE156" s="21">
        <f t="shared" si="168"/>
        <v>15.15</v>
      </c>
    </row>
    <row r="157" spans="1:83" ht="31.05" customHeight="1" x14ac:dyDescent="0.3">
      <c r="A157" s="23"/>
      <c r="B157" s="70"/>
      <c r="C157" s="176" t="s">
        <v>240</v>
      </c>
      <c r="D157" s="100" t="s">
        <v>394</v>
      </c>
      <c r="E157" s="22"/>
      <c r="F157" s="22"/>
      <c r="G157" s="22"/>
      <c r="H157" s="17"/>
      <c r="I157" s="25">
        <v>13.8</v>
      </c>
      <c r="J157" s="17">
        <v>1</v>
      </c>
      <c r="K157" s="16">
        <f t="shared" si="167"/>
        <v>13.8</v>
      </c>
      <c r="L157" s="19">
        <v>0</v>
      </c>
      <c r="M157" s="19">
        <v>0</v>
      </c>
      <c r="N157" s="16">
        <f t="shared" si="192"/>
        <v>0</v>
      </c>
      <c r="O157" s="16">
        <f t="shared" si="193"/>
        <v>0</v>
      </c>
      <c r="P157" s="18">
        <f t="shared" si="155"/>
        <v>1</v>
      </c>
      <c r="Q157" s="16">
        <f t="shared" si="156"/>
        <v>13.8</v>
      </c>
      <c r="R157" s="19">
        <v>0</v>
      </c>
      <c r="S157" s="18">
        <v>0</v>
      </c>
      <c r="T157" s="16">
        <f t="shared" si="157"/>
        <v>0</v>
      </c>
      <c r="U157" s="16">
        <f t="shared" si="158"/>
        <v>0</v>
      </c>
      <c r="V157" s="18">
        <f t="shared" si="159"/>
        <v>1</v>
      </c>
      <c r="W157" s="16">
        <f t="shared" si="160"/>
        <v>13.8</v>
      </c>
      <c r="X157" s="19">
        <v>1</v>
      </c>
      <c r="Y157" s="19">
        <v>0</v>
      </c>
      <c r="Z157" s="16">
        <f t="shared" si="161"/>
        <v>0</v>
      </c>
      <c r="AA157" s="16">
        <f t="shared" si="162"/>
        <v>13.8</v>
      </c>
      <c r="AB157" s="18">
        <f t="shared" si="163"/>
        <v>0</v>
      </c>
      <c r="AC157" s="16">
        <f t="shared" si="164"/>
        <v>0</v>
      </c>
      <c r="AD157" s="19">
        <v>0</v>
      </c>
      <c r="AE157" s="19">
        <v>0</v>
      </c>
      <c r="AF157" s="16">
        <f t="shared" si="165"/>
        <v>0</v>
      </c>
      <c r="AG157" s="16">
        <f t="shared" si="166"/>
        <v>0</v>
      </c>
      <c r="AH157" s="18">
        <f t="shared" si="143"/>
        <v>0</v>
      </c>
      <c r="AI157" s="16">
        <f t="shared" si="144"/>
        <v>0</v>
      </c>
      <c r="AJ157" s="19">
        <v>0</v>
      </c>
      <c r="AK157" s="19">
        <v>0</v>
      </c>
      <c r="AL157" s="16">
        <f t="shared" si="145"/>
        <v>0</v>
      </c>
      <c r="AM157" s="16">
        <f t="shared" si="146"/>
        <v>0</v>
      </c>
      <c r="AN157" s="18">
        <f t="shared" si="147"/>
        <v>0</v>
      </c>
      <c r="AO157" s="16">
        <f t="shared" si="148"/>
        <v>0</v>
      </c>
      <c r="AP157" s="19">
        <v>0</v>
      </c>
      <c r="AQ157" s="19">
        <v>0</v>
      </c>
      <c r="AR157" s="16">
        <f t="shared" si="149"/>
        <v>0</v>
      </c>
      <c r="AS157" s="16">
        <f t="shared" si="150"/>
        <v>0</v>
      </c>
      <c r="AT157" s="18">
        <f t="shared" si="151"/>
        <v>0</v>
      </c>
      <c r="AU157" s="16">
        <f t="shared" si="152"/>
        <v>0</v>
      </c>
      <c r="AV157" s="19">
        <v>0</v>
      </c>
      <c r="AW157" s="19">
        <v>0</v>
      </c>
      <c r="AX157" s="16">
        <f t="shared" si="153"/>
        <v>0</v>
      </c>
      <c r="AY157" s="16">
        <f t="shared" si="154"/>
        <v>0</v>
      </c>
      <c r="AZ157" s="18">
        <f t="shared" si="171"/>
        <v>0</v>
      </c>
      <c r="BA157" s="16">
        <f t="shared" si="172"/>
        <v>0</v>
      </c>
      <c r="BB157" s="19">
        <v>0</v>
      </c>
      <c r="BC157" s="19">
        <v>0</v>
      </c>
      <c r="BD157" s="16">
        <f t="shared" si="173"/>
        <v>0</v>
      </c>
      <c r="BE157" s="16">
        <f t="shared" si="174"/>
        <v>0</v>
      </c>
      <c r="BF157" s="18">
        <f t="shared" si="175"/>
        <v>0</v>
      </c>
      <c r="BG157" s="16">
        <f t="shared" si="176"/>
        <v>0</v>
      </c>
      <c r="BH157" s="19">
        <v>0</v>
      </c>
      <c r="BI157" s="19">
        <v>0</v>
      </c>
      <c r="BJ157" s="16">
        <f t="shared" si="177"/>
        <v>0</v>
      </c>
      <c r="BK157" s="16">
        <f t="shared" si="178"/>
        <v>0</v>
      </c>
      <c r="BL157" s="18">
        <f t="shared" si="179"/>
        <v>0</v>
      </c>
      <c r="BM157" s="16">
        <f t="shared" si="180"/>
        <v>0</v>
      </c>
      <c r="BN157" s="19">
        <v>0</v>
      </c>
      <c r="BO157" s="19">
        <v>0</v>
      </c>
      <c r="BP157" s="16">
        <f t="shared" si="181"/>
        <v>0</v>
      </c>
      <c r="BQ157" s="16">
        <f t="shared" si="182"/>
        <v>0</v>
      </c>
      <c r="BR157" s="18">
        <f t="shared" si="183"/>
        <v>0</v>
      </c>
      <c r="BS157" s="16">
        <f t="shared" si="184"/>
        <v>0</v>
      </c>
      <c r="BT157" s="19">
        <v>0</v>
      </c>
      <c r="BU157" s="19">
        <v>0</v>
      </c>
      <c r="BV157" s="16">
        <f t="shared" si="185"/>
        <v>0</v>
      </c>
      <c r="BW157" s="16">
        <f t="shared" si="186"/>
        <v>0</v>
      </c>
      <c r="BX157" s="18">
        <f t="shared" si="187"/>
        <v>0</v>
      </c>
      <c r="BY157" s="16">
        <f t="shared" si="188"/>
        <v>0</v>
      </c>
      <c r="BZ157" s="19">
        <v>0</v>
      </c>
      <c r="CA157" s="19">
        <v>0</v>
      </c>
      <c r="CB157" s="16">
        <f t="shared" si="189"/>
        <v>0</v>
      </c>
      <c r="CC157" s="16">
        <f t="shared" si="190"/>
        <v>0</v>
      </c>
      <c r="CD157" s="20">
        <f t="shared" si="191"/>
        <v>0</v>
      </c>
      <c r="CE157" s="21"/>
    </row>
    <row r="158" spans="1:83" ht="30" customHeight="1" x14ac:dyDescent="0.3">
      <c r="A158" s="23"/>
      <c r="B158" s="70">
        <v>137</v>
      </c>
      <c r="C158" s="177"/>
      <c r="D158" s="99" t="s">
        <v>401</v>
      </c>
      <c r="E158" s="23"/>
      <c r="F158" s="23"/>
      <c r="G158" s="23"/>
      <c r="H158" s="17">
        <v>0</v>
      </c>
      <c r="I158" s="25">
        <v>35</v>
      </c>
      <c r="J158" s="17">
        <v>0</v>
      </c>
      <c r="K158" s="16">
        <f t="shared" si="167"/>
        <v>0</v>
      </c>
      <c r="L158" s="19">
        <v>0</v>
      </c>
      <c r="M158" s="19">
        <v>0</v>
      </c>
      <c r="N158" s="16">
        <f t="shared" si="169"/>
        <v>0</v>
      </c>
      <c r="O158" s="16">
        <f t="shared" si="170"/>
        <v>0</v>
      </c>
      <c r="P158" s="18">
        <f t="shared" si="155"/>
        <v>0</v>
      </c>
      <c r="Q158" s="16">
        <f t="shared" si="156"/>
        <v>0</v>
      </c>
      <c r="R158" s="19">
        <v>0</v>
      </c>
      <c r="S158" s="18">
        <v>4</v>
      </c>
      <c r="T158" s="16">
        <f t="shared" si="157"/>
        <v>140</v>
      </c>
      <c r="U158" s="16">
        <f t="shared" si="158"/>
        <v>0</v>
      </c>
      <c r="V158" s="18">
        <f t="shared" si="159"/>
        <v>4</v>
      </c>
      <c r="W158" s="16">
        <f t="shared" si="160"/>
        <v>140</v>
      </c>
      <c r="X158" s="19">
        <v>4</v>
      </c>
      <c r="Y158" s="19">
        <v>0</v>
      </c>
      <c r="Z158" s="16">
        <f t="shared" si="161"/>
        <v>0</v>
      </c>
      <c r="AA158" s="16">
        <f t="shared" si="162"/>
        <v>140</v>
      </c>
      <c r="AB158" s="18">
        <f t="shared" si="163"/>
        <v>0</v>
      </c>
      <c r="AC158" s="16">
        <f t="shared" si="164"/>
        <v>0</v>
      </c>
      <c r="AD158" s="19">
        <v>0</v>
      </c>
      <c r="AE158" s="19">
        <v>0</v>
      </c>
      <c r="AF158" s="16">
        <f t="shared" si="165"/>
        <v>0</v>
      </c>
      <c r="AG158" s="16">
        <f t="shared" si="166"/>
        <v>0</v>
      </c>
      <c r="AH158" s="18">
        <f t="shared" si="143"/>
        <v>0</v>
      </c>
      <c r="AI158" s="16">
        <f t="shared" si="144"/>
        <v>0</v>
      </c>
      <c r="AJ158" s="19">
        <v>0</v>
      </c>
      <c r="AK158" s="19">
        <v>0</v>
      </c>
      <c r="AL158" s="16">
        <f t="shared" si="145"/>
        <v>0</v>
      </c>
      <c r="AM158" s="16">
        <f t="shared" si="146"/>
        <v>0</v>
      </c>
      <c r="AN158" s="18">
        <f t="shared" si="147"/>
        <v>0</v>
      </c>
      <c r="AO158" s="16">
        <f t="shared" si="148"/>
        <v>0</v>
      </c>
      <c r="AP158" s="19">
        <v>0</v>
      </c>
      <c r="AQ158" s="19">
        <v>0</v>
      </c>
      <c r="AR158" s="16">
        <f t="shared" si="149"/>
        <v>0</v>
      </c>
      <c r="AS158" s="16">
        <f t="shared" si="150"/>
        <v>0</v>
      </c>
      <c r="AT158" s="18">
        <f t="shared" si="151"/>
        <v>0</v>
      </c>
      <c r="AU158" s="16">
        <f t="shared" si="152"/>
        <v>0</v>
      </c>
      <c r="AV158" s="19">
        <v>0</v>
      </c>
      <c r="AW158" s="19">
        <v>0</v>
      </c>
      <c r="AX158" s="16">
        <f t="shared" si="153"/>
        <v>0</v>
      </c>
      <c r="AY158" s="16">
        <f t="shared" si="154"/>
        <v>0</v>
      </c>
      <c r="AZ158" s="18">
        <f t="shared" si="171"/>
        <v>0</v>
      </c>
      <c r="BA158" s="16">
        <f t="shared" si="172"/>
        <v>0</v>
      </c>
      <c r="BB158" s="19">
        <v>0</v>
      </c>
      <c r="BC158" s="19">
        <v>0</v>
      </c>
      <c r="BD158" s="16">
        <f t="shared" si="173"/>
        <v>0</v>
      </c>
      <c r="BE158" s="16">
        <f t="shared" si="174"/>
        <v>0</v>
      </c>
      <c r="BF158" s="18">
        <f t="shared" si="175"/>
        <v>0</v>
      </c>
      <c r="BG158" s="16">
        <f t="shared" si="176"/>
        <v>0</v>
      </c>
      <c r="BH158" s="19">
        <v>0</v>
      </c>
      <c r="BI158" s="19">
        <v>0</v>
      </c>
      <c r="BJ158" s="16">
        <f t="shared" si="177"/>
        <v>0</v>
      </c>
      <c r="BK158" s="16">
        <f t="shared" si="178"/>
        <v>0</v>
      </c>
      <c r="BL158" s="18">
        <f t="shared" si="179"/>
        <v>0</v>
      </c>
      <c r="BM158" s="16">
        <f t="shared" si="180"/>
        <v>0</v>
      </c>
      <c r="BN158" s="19">
        <v>0</v>
      </c>
      <c r="BO158" s="19">
        <v>0</v>
      </c>
      <c r="BP158" s="16">
        <f t="shared" si="181"/>
        <v>0</v>
      </c>
      <c r="BQ158" s="16">
        <f t="shared" si="182"/>
        <v>0</v>
      </c>
      <c r="BR158" s="18">
        <f t="shared" si="183"/>
        <v>0</v>
      </c>
      <c r="BS158" s="16">
        <f t="shared" si="184"/>
        <v>0</v>
      </c>
      <c r="BT158" s="19">
        <v>0</v>
      </c>
      <c r="BU158" s="19">
        <v>0</v>
      </c>
      <c r="BV158" s="16">
        <f t="shared" si="185"/>
        <v>0</v>
      </c>
      <c r="BW158" s="16">
        <f t="shared" si="186"/>
        <v>0</v>
      </c>
      <c r="BX158" s="18">
        <f t="shared" si="187"/>
        <v>0</v>
      </c>
      <c r="BY158" s="16">
        <f t="shared" si="188"/>
        <v>0</v>
      </c>
      <c r="BZ158" s="19">
        <v>0</v>
      </c>
      <c r="CA158" s="19">
        <v>0</v>
      </c>
      <c r="CB158" s="16">
        <f t="shared" si="189"/>
        <v>0</v>
      </c>
      <c r="CC158" s="16">
        <f t="shared" si="190"/>
        <v>0</v>
      </c>
      <c r="CD158" s="20">
        <f t="shared" si="191"/>
        <v>0</v>
      </c>
      <c r="CE158" s="21"/>
    </row>
    <row r="159" spans="1:83" ht="30" x14ac:dyDescent="0.3">
      <c r="A159" s="23"/>
      <c r="B159" s="70">
        <v>138</v>
      </c>
      <c r="C159" s="98" t="s">
        <v>396</v>
      </c>
      <c r="D159" s="97" t="s">
        <v>402</v>
      </c>
      <c r="E159" s="23"/>
      <c r="F159" s="23"/>
      <c r="G159" s="23"/>
      <c r="H159" s="17">
        <v>0</v>
      </c>
      <c r="I159" s="25">
        <v>35</v>
      </c>
      <c r="J159" s="17">
        <v>0</v>
      </c>
      <c r="K159" s="16">
        <f t="shared" si="167"/>
        <v>0</v>
      </c>
      <c r="L159" s="19">
        <v>0</v>
      </c>
      <c r="M159" s="19">
        <v>0</v>
      </c>
      <c r="N159" s="16">
        <f t="shared" si="169"/>
        <v>0</v>
      </c>
      <c r="O159" s="16">
        <f t="shared" si="170"/>
        <v>0</v>
      </c>
      <c r="P159" s="18">
        <f t="shared" si="155"/>
        <v>0</v>
      </c>
      <c r="Q159" s="16">
        <f t="shared" si="156"/>
        <v>0</v>
      </c>
      <c r="R159" s="19">
        <v>0</v>
      </c>
      <c r="S159" s="18">
        <v>5</v>
      </c>
      <c r="T159" s="16">
        <f t="shared" si="157"/>
        <v>175</v>
      </c>
      <c r="U159" s="16">
        <f t="shared" si="158"/>
        <v>0</v>
      </c>
      <c r="V159" s="18">
        <f t="shared" si="159"/>
        <v>5</v>
      </c>
      <c r="W159" s="16">
        <f t="shared" si="160"/>
        <v>175</v>
      </c>
      <c r="X159" s="19">
        <v>5</v>
      </c>
      <c r="Y159" s="19">
        <v>0</v>
      </c>
      <c r="Z159" s="16">
        <f t="shared" si="161"/>
        <v>0</v>
      </c>
      <c r="AA159" s="16">
        <f t="shared" si="162"/>
        <v>175</v>
      </c>
      <c r="AB159" s="18">
        <f t="shared" si="163"/>
        <v>0</v>
      </c>
      <c r="AC159" s="16">
        <f t="shared" si="164"/>
        <v>0</v>
      </c>
      <c r="AD159" s="19">
        <v>0</v>
      </c>
      <c r="AE159" s="19">
        <v>0</v>
      </c>
      <c r="AF159" s="16">
        <f t="shared" si="165"/>
        <v>0</v>
      </c>
      <c r="AG159" s="16">
        <f t="shared" si="166"/>
        <v>0</v>
      </c>
      <c r="AH159" s="18">
        <f t="shared" si="143"/>
        <v>0</v>
      </c>
      <c r="AI159" s="16">
        <f t="shared" si="144"/>
        <v>0</v>
      </c>
      <c r="AJ159" s="19">
        <v>0</v>
      </c>
      <c r="AK159" s="19">
        <v>0</v>
      </c>
      <c r="AL159" s="16">
        <f t="shared" si="145"/>
        <v>0</v>
      </c>
      <c r="AM159" s="16">
        <f t="shared" si="146"/>
        <v>0</v>
      </c>
      <c r="AN159" s="18">
        <f t="shared" si="147"/>
        <v>0</v>
      </c>
      <c r="AO159" s="16">
        <f t="shared" si="148"/>
        <v>0</v>
      </c>
      <c r="AP159" s="19">
        <v>0</v>
      </c>
      <c r="AQ159" s="19">
        <v>0</v>
      </c>
      <c r="AR159" s="16">
        <f t="shared" si="149"/>
        <v>0</v>
      </c>
      <c r="AS159" s="16">
        <f t="shared" si="150"/>
        <v>0</v>
      </c>
      <c r="AT159" s="18">
        <f t="shared" si="151"/>
        <v>0</v>
      </c>
      <c r="AU159" s="16">
        <f t="shared" si="152"/>
        <v>0</v>
      </c>
      <c r="AV159" s="19">
        <v>0</v>
      </c>
      <c r="AW159" s="19">
        <v>0</v>
      </c>
      <c r="AX159" s="16">
        <f t="shared" si="153"/>
        <v>0</v>
      </c>
      <c r="AY159" s="16">
        <f t="shared" si="154"/>
        <v>0</v>
      </c>
      <c r="AZ159" s="18">
        <f t="shared" si="171"/>
        <v>0</v>
      </c>
      <c r="BA159" s="16">
        <f t="shared" si="172"/>
        <v>0</v>
      </c>
      <c r="BB159" s="19">
        <v>0</v>
      </c>
      <c r="BC159" s="19">
        <v>0</v>
      </c>
      <c r="BD159" s="16">
        <f t="shared" si="173"/>
        <v>0</v>
      </c>
      <c r="BE159" s="16">
        <f t="shared" si="174"/>
        <v>0</v>
      </c>
      <c r="BF159" s="18">
        <f t="shared" si="175"/>
        <v>0</v>
      </c>
      <c r="BG159" s="16">
        <f t="shared" si="176"/>
        <v>0</v>
      </c>
      <c r="BH159" s="19">
        <v>0</v>
      </c>
      <c r="BI159" s="19">
        <v>0</v>
      </c>
      <c r="BJ159" s="16">
        <f t="shared" si="177"/>
        <v>0</v>
      </c>
      <c r="BK159" s="16">
        <f t="shared" si="178"/>
        <v>0</v>
      </c>
      <c r="BL159" s="18">
        <f t="shared" si="179"/>
        <v>0</v>
      </c>
      <c r="BM159" s="16">
        <f t="shared" si="180"/>
        <v>0</v>
      </c>
      <c r="BN159" s="19">
        <v>0</v>
      </c>
      <c r="BO159" s="19">
        <v>0</v>
      </c>
      <c r="BP159" s="16">
        <f t="shared" si="181"/>
        <v>0</v>
      </c>
      <c r="BQ159" s="16">
        <f t="shared" si="182"/>
        <v>0</v>
      </c>
      <c r="BR159" s="18">
        <f t="shared" si="183"/>
        <v>0</v>
      </c>
      <c r="BS159" s="16">
        <f t="shared" si="184"/>
        <v>0</v>
      </c>
      <c r="BT159" s="19">
        <v>0</v>
      </c>
      <c r="BU159" s="19">
        <v>0</v>
      </c>
      <c r="BV159" s="16">
        <f t="shared" si="185"/>
        <v>0</v>
      </c>
      <c r="BW159" s="16">
        <f t="shared" si="186"/>
        <v>0</v>
      </c>
      <c r="BX159" s="18">
        <f t="shared" si="187"/>
        <v>0</v>
      </c>
      <c r="BY159" s="16">
        <f t="shared" si="188"/>
        <v>0</v>
      </c>
      <c r="BZ159" s="19">
        <v>0</v>
      </c>
      <c r="CA159" s="19">
        <v>0</v>
      </c>
      <c r="CB159" s="16">
        <f t="shared" si="189"/>
        <v>0</v>
      </c>
      <c r="CC159" s="16">
        <f t="shared" si="190"/>
        <v>0</v>
      </c>
      <c r="CD159" s="20">
        <f t="shared" si="191"/>
        <v>0</v>
      </c>
      <c r="CE159" s="21"/>
    </row>
    <row r="160" spans="1:83" ht="30" x14ac:dyDescent="0.3">
      <c r="A160" s="23"/>
      <c r="B160" s="70">
        <v>139</v>
      </c>
      <c r="C160" s="176" t="s">
        <v>397</v>
      </c>
      <c r="D160" s="97" t="s">
        <v>395</v>
      </c>
      <c r="E160" s="23"/>
      <c r="F160" s="23"/>
      <c r="G160" s="23"/>
      <c r="H160" s="17">
        <v>1</v>
      </c>
      <c r="I160" s="25">
        <v>13.8</v>
      </c>
      <c r="J160" s="17">
        <v>1</v>
      </c>
      <c r="K160" s="16">
        <f t="shared" si="167"/>
        <v>13.8</v>
      </c>
      <c r="L160" s="19">
        <v>0</v>
      </c>
      <c r="M160" s="19">
        <v>0</v>
      </c>
      <c r="N160" s="16">
        <f t="shared" si="169"/>
        <v>0</v>
      </c>
      <c r="O160" s="16">
        <f t="shared" si="170"/>
        <v>0</v>
      </c>
      <c r="P160" s="18">
        <f t="shared" si="155"/>
        <v>1</v>
      </c>
      <c r="Q160" s="16">
        <f t="shared" si="156"/>
        <v>13.8</v>
      </c>
      <c r="R160" s="19">
        <v>0</v>
      </c>
      <c r="S160" s="18">
        <v>0</v>
      </c>
      <c r="T160" s="16">
        <f t="shared" si="157"/>
        <v>0</v>
      </c>
      <c r="U160" s="16">
        <f t="shared" si="158"/>
        <v>0</v>
      </c>
      <c r="V160" s="18">
        <f t="shared" si="159"/>
        <v>1</v>
      </c>
      <c r="W160" s="16">
        <f t="shared" si="160"/>
        <v>13.8</v>
      </c>
      <c r="X160" s="19">
        <v>1</v>
      </c>
      <c r="Y160" s="19">
        <v>0</v>
      </c>
      <c r="Z160" s="16">
        <f t="shared" si="161"/>
        <v>0</v>
      </c>
      <c r="AA160" s="16">
        <f t="shared" si="162"/>
        <v>13.8</v>
      </c>
      <c r="AB160" s="18">
        <f t="shared" si="163"/>
        <v>0</v>
      </c>
      <c r="AC160" s="16">
        <f t="shared" si="164"/>
        <v>0</v>
      </c>
      <c r="AD160" s="19">
        <v>0</v>
      </c>
      <c r="AE160" s="19">
        <v>0</v>
      </c>
      <c r="AF160" s="16">
        <f t="shared" si="165"/>
        <v>0</v>
      </c>
      <c r="AG160" s="16">
        <f t="shared" si="166"/>
        <v>0</v>
      </c>
      <c r="AH160" s="18">
        <f t="shared" si="143"/>
        <v>0</v>
      </c>
      <c r="AI160" s="16">
        <f t="shared" si="144"/>
        <v>0</v>
      </c>
      <c r="AJ160" s="19">
        <v>0</v>
      </c>
      <c r="AK160" s="19">
        <v>0</v>
      </c>
      <c r="AL160" s="16">
        <f t="shared" si="145"/>
        <v>0</v>
      </c>
      <c r="AM160" s="16">
        <f t="shared" si="146"/>
        <v>0</v>
      </c>
      <c r="AN160" s="18">
        <f t="shared" si="147"/>
        <v>0</v>
      </c>
      <c r="AO160" s="16">
        <f t="shared" si="148"/>
        <v>0</v>
      </c>
      <c r="AP160" s="19">
        <v>0</v>
      </c>
      <c r="AQ160" s="19">
        <v>0</v>
      </c>
      <c r="AR160" s="16">
        <f t="shared" si="149"/>
        <v>0</v>
      </c>
      <c r="AS160" s="16">
        <f t="shared" si="150"/>
        <v>0</v>
      </c>
      <c r="AT160" s="18">
        <f t="shared" si="151"/>
        <v>0</v>
      </c>
      <c r="AU160" s="16">
        <f t="shared" si="152"/>
        <v>0</v>
      </c>
      <c r="AV160" s="19">
        <v>0</v>
      </c>
      <c r="AW160" s="19">
        <v>0</v>
      </c>
      <c r="AX160" s="16">
        <f t="shared" si="153"/>
        <v>0</v>
      </c>
      <c r="AY160" s="16">
        <f t="shared" si="154"/>
        <v>0</v>
      </c>
      <c r="AZ160" s="18">
        <f t="shared" si="171"/>
        <v>0</v>
      </c>
      <c r="BA160" s="16">
        <f t="shared" si="172"/>
        <v>0</v>
      </c>
      <c r="BB160" s="19">
        <v>0</v>
      </c>
      <c r="BC160" s="19">
        <v>0</v>
      </c>
      <c r="BD160" s="16">
        <f t="shared" si="173"/>
        <v>0</v>
      </c>
      <c r="BE160" s="16">
        <f t="shared" si="174"/>
        <v>0</v>
      </c>
      <c r="BF160" s="18">
        <f t="shared" si="175"/>
        <v>0</v>
      </c>
      <c r="BG160" s="16">
        <f t="shared" si="176"/>
        <v>0</v>
      </c>
      <c r="BH160" s="19">
        <v>0</v>
      </c>
      <c r="BI160" s="19">
        <v>0</v>
      </c>
      <c r="BJ160" s="16">
        <f t="shared" si="177"/>
        <v>0</v>
      </c>
      <c r="BK160" s="16">
        <f t="shared" si="178"/>
        <v>0</v>
      </c>
      <c r="BL160" s="18">
        <f t="shared" si="179"/>
        <v>0</v>
      </c>
      <c r="BM160" s="16">
        <f t="shared" si="180"/>
        <v>0</v>
      </c>
      <c r="BN160" s="19">
        <v>0</v>
      </c>
      <c r="BO160" s="19">
        <v>0</v>
      </c>
      <c r="BP160" s="16">
        <f t="shared" si="181"/>
        <v>0</v>
      </c>
      <c r="BQ160" s="16">
        <f t="shared" si="182"/>
        <v>0</v>
      </c>
      <c r="BR160" s="18">
        <f t="shared" si="183"/>
        <v>0</v>
      </c>
      <c r="BS160" s="16">
        <f t="shared" si="184"/>
        <v>0</v>
      </c>
      <c r="BT160" s="19">
        <v>0</v>
      </c>
      <c r="BU160" s="19">
        <v>0</v>
      </c>
      <c r="BV160" s="16">
        <f t="shared" si="185"/>
        <v>0</v>
      </c>
      <c r="BW160" s="16">
        <f t="shared" si="186"/>
        <v>0</v>
      </c>
      <c r="BX160" s="18">
        <f t="shared" si="187"/>
        <v>0</v>
      </c>
      <c r="BY160" s="16">
        <f t="shared" si="188"/>
        <v>0</v>
      </c>
      <c r="BZ160" s="19">
        <v>0</v>
      </c>
      <c r="CA160" s="19">
        <v>0</v>
      </c>
      <c r="CB160" s="16">
        <f t="shared" si="189"/>
        <v>0</v>
      </c>
      <c r="CC160" s="16">
        <f t="shared" si="190"/>
        <v>0</v>
      </c>
      <c r="CD160" s="20">
        <f t="shared" si="191"/>
        <v>0</v>
      </c>
      <c r="CE160" s="21"/>
    </row>
    <row r="161" spans="1:85" ht="30" x14ac:dyDescent="0.3">
      <c r="A161" s="23"/>
      <c r="B161" s="70"/>
      <c r="C161" s="177"/>
      <c r="D161" s="97" t="s">
        <v>400</v>
      </c>
      <c r="E161" s="23"/>
      <c r="F161" s="23"/>
      <c r="G161" s="23"/>
      <c r="H161" s="17">
        <v>0</v>
      </c>
      <c r="I161" s="25">
        <v>41.25</v>
      </c>
      <c r="J161" s="17">
        <v>0</v>
      </c>
      <c r="K161" s="16">
        <f t="shared" si="167"/>
        <v>0</v>
      </c>
      <c r="L161" s="19">
        <v>0</v>
      </c>
      <c r="M161" s="19">
        <v>0</v>
      </c>
      <c r="N161" s="16">
        <f t="shared" si="169"/>
        <v>0</v>
      </c>
      <c r="O161" s="16">
        <f t="shared" si="170"/>
        <v>0</v>
      </c>
      <c r="P161" s="18">
        <f t="shared" si="155"/>
        <v>0</v>
      </c>
      <c r="Q161" s="16">
        <f t="shared" si="156"/>
        <v>0</v>
      </c>
      <c r="R161" s="19">
        <v>0</v>
      </c>
      <c r="S161" s="18">
        <v>4</v>
      </c>
      <c r="T161" s="16">
        <f t="shared" si="157"/>
        <v>165</v>
      </c>
      <c r="U161" s="16">
        <f t="shared" si="158"/>
        <v>0</v>
      </c>
      <c r="V161" s="18">
        <f t="shared" si="159"/>
        <v>4</v>
      </c>
      <c r="W161" s="16">
        <f t="shared" si="160"/>
        <v>165</v>
      </c>
      <c r="X161" s="19">
        <v>4</v>
      </c>
      <c r="Y161" s="19">
        <v>0</v>
      </c>
      <c r="Z161" s="16">
        <f t="shared" si="161"/>
        <v>0</v>
      </c>
      <c r="AA161" s="16">
        <f t="shared" si="162"/>
        <v>165</v>
      </c>
      <c r="AB161" s="18">
        <f t="shared" si="163"/>
        <v>0</v>
      </c>
      <c r="AC161" s="16">
        <f t="shared" si="164"/>
        <v>0</v>
      </c>
      <c r="AD161" s="19">
        <v>0</v>
      </c>
      <c r="AE161" s="19">
        <v>0</v>
      </c>
      <c r="AF161" s="16">
        <f t="shared" si="165"/>
        <v>0</v>
      </c>
      <c r="AG161" s="16">
        <f t="shared" si="166"/>
        <v>0</v>
      </c>
      <c r="AH161" s="18">
        <f t="shared" si="143"/>
        <v>0</v>
      </c>
      <c r="AI161" s="16">
        <f t="shared" si="144"/>
        <v>0</v>
      </c>
      <c r="AJ161" s="19">
        <v>0</v>
      </c>
      <c r="AK161" s="19">
        <v>0</v>
      </c>
      <c r="AL161" s="16">
        <f t="shared" si="145"/>
        <v>0</v>
      </c>
      <c r="AM161" s="16">
        <f t="shared" si="146"/>
        <v>0</v>
      </c>
      <c r="AN161" s="18">
        <f t="shared" si="147"/>
        <v>0</v>
      </c>
      <c r="AO161" s="16">
        <f t="shared" si="148"/>
        <v>0</v>
      </c>
      <c r="AP161" s="19">
        <v>0</v>
      </c>
      <c r="AQ161" s="19">
        <v>0</v>
      </c>
      <c r="AR161" s="16">
        <f t="shared" si="149"/>
        <v>0</v>
      </c>
      <c r="AS161" s="16">
        <f t="shared" si="150"/>
        <v>0</v>
      </c>
      <c r="AT161" s="18">
        <f t="shared" si="151"/>
        <v>0</v>
      </c>
      <c r="AU161" s="16">
        <f t="shared" si="152"/>
        <v>0</v>
      </c>
      <c r="AV161" s="19">
        <v>0</v>
      </c>
      <c r="AW161" s="19">
        <v>0</v>
      </c>
      <c r="AX161" s="16">
        <f t="shared" si="153"/>
        <v>0</v>
      </c>
      <c r="AY161" s="16">
        <f t="shared" si="154"/>
        <v>0</v>
      </c>
      <c r="AZ161" s="18">
        <f t="shared" si="171"/>
        <v>0</v>
      </c>
      <c r="BA161" s="16"/>
      <c r="BB161" s="19">
        <v>0</v>
      </c>
      <c r="BC161" s="19">
        <v>0</v>
      </c>
      <c r="BD161" s="16">
        <f t="shared" si="173"/>
        <v>0</v>
      </c>
      <c r="BE161" s="16">
        <f t="shared" si="174"/>
        <v>0</v>
      </c>
      <c r="BF161" s="18">
        <f t="shared" si="175"/>
        <v>0</v>
      </c>
      <c r="BG161" s="16">
        <f t="shared" si="176"/>
        <v>0</v>
      </c>
      <c r="BH161" s="19">
        <v>0</v>
      </c>
      <c r="BI161" s="19">
        <v>0</v>
      </c>
      <c r="BJ161" s="16">
        <f t="shared" si="177"/>
        <v>0</v>
      </c>
      <c r="BK161" s="16">
        <f t="shared" si="178"/>
        <v>0</v>
      </c>
      <c r="BL161" s="18">
        <f t="shared" si="179"/>
        <v>0</v>
      </c>
      <c r="BM161" s="16">
        <f t="shared" si="180"/>
        <v>0</v>
      </c>
      <c r="BN161" s="19">
        <v>0</v>
      </c>
      <c r="BO161" s="19">
        <v>0</v>
      </c>
      <c r="BP161" s="16">
        <f t="shared" si="181"/>
        <v>0</v>
      </c>
      <c r="BQ161" s="16">
        <f t="shared" si="182"/>
        <v>0</v>
      </c>
      <c r="BR161" s="18">
        <f t="shared" si="183"/>
        <v>0</v>
      </c>
      <c r="BS161" s="16">
        <f t="shared" si="184"/>
        <v>0</v>
      </c>
      <c r="BT161" s="19">
        <v>0</v>
      </c>
      <c r="BU161" s="19">
        <v>0</v>
      </c>
      <c r="BV161" s="16">
        <f t="shared" si="185"/>
        <v>0</v>
      </c>
      <c r="BW161" s="16">
        <f t="shared" si="186"/>
        <v>0</v>
      </c>
      <c r="BX161" s="18">
        <f t="shared" si="187"/>
        <v>0</v>
      </c>
      <c r="BY161" s="16"/>
      <c r="BZ161" s="19">
        <v>0</v>
      </c>
      <c r="CA161" s="19">
        <v>0</v>
      </c>
      <c r="CB161" s="16">
        <f t="shared" si="189"/>
        <v>0</v>
      </c>
      <c r="CC161" s="16">
        <f t="shared" si="190"/>
        <v>0</v>
      </c>
      <c r="CD161" s="20">
        <f t="shared" si="191"/>
        <v>0</v>
      </c>
      <c r="CE161" s="21"/>
    </row>
    <row r="162" spans="1:85" x14ac:dyDescent="0.3">
      <c r="A162" s="23">
        <v>102</v>
      </c>
      <c r="B162" s="70">
        <v>140</v>
      </c>
      <c r="C162" s="88" t="s">
        <v>242</v>
      </c>
      <c r="D162" s="83" t="s">
        <v>243</v>
      </c>
      <c r="E162" s="36">
        <v>100</v>
      </c>
      <c r="F162" s="36">
        <v>200</v>
      </c>
      <c r="G162" s="36">
        <v>300</v>
      </c>
      <c r="H162" s="34">
        <v>55</v>
      </c>
      <c r="I162" s="25">
        <v>0.85</v>
      </c>
      <c r="J162" s="34">
        <v>55</v>
      </c>
      <c r="K162" s="16">
        <f t="shared" si="167"/>
        <v>46.75</v>
      </c>
      <c r="L162" s="19">
        <v>0</v>
      </c>
      <c r="M162" s="19">
        <v>0</v>
      </c>
      <c r="N162" s="16">
        <f t="shared" si="169"/>
        <v>0</v>
      </c>
      <c r="O162" s="16">
        <f t="shared" si="170"/>
        <v>0</v>
      </c>
      <c r="P162" s="18">
        <f t="shared" si="155"/>
        <v>55</v>
      </c>
      <c r="Q162" s="16">
        <f t="shared" si="156"/>
        <v>46.75</v>
      </c>
      <c r="R162" s="19">
        <v>3</v>
      </c>
      <c r="S162" s="18">
        <v>0</v>
      </c>
      <c r="T162" s="16">
        <f t="shared" si="157"/>
        <v>0</v>
      </c>
      <c r="U162" s="16">
        <f t="shared" si="158"/>
        <v>2.5499999999999998</v>
      </c>
      <c r="V162" s="18">
        <f t="shared" si="159"/>
        <v>52</v>
      </c>
      <c r="W162" s="16">
        <f t="shared" si="160"/>
        <v>44.199999999999996</v>
      </c>
      <c r="X162" s="19">
        <v>0</v>
      </c>
      <c r="Y162" s="19">
        <v>0</v>
      </c>
      <c r="Z162" s="16">
        <f t="shared" si="161"/>
        <v>0</v>
      </c>
      <c r="AA162" s="16">
        <f t="shared" si="162"/>
        <v>0</v>
      </c>
      <c r="AB162" s="18">
        <f t="shared" si="163"/>
        <v>52</v>
      </c>
      <c r="AC162" s="16">
        <f t="shared" si="164"/>
        <v>44.199999999999996</v>
      </c>
      <c r="AD162" s="19">
        <v>0</v>
      </c>
      <c r="AE162" s="19">
        <v>0</v>
      </c>
      <c r="AF162" s="16">
        <f t="shared" si="165"/>
        <v>0</v>
      </c>
      <c r="AG162" s="16">
        <f t="shared" si="166"/>
        <v>0</v>
      </c>
      <c r="AH162" s="18">
        <f t="shared" si="143"/>
        <v>52</v>
      </c>
      <c r="AI162" s="16">
        <f t="shared" si="144"/>
        <v>44.199999999999996</v>
      </c>
      <c r="AJ162" s="19">
        <v>0</v>
      </c>
      <c r="AK162" s="19">
        <v>0</v>
      </c>
      <c r="AL162" s="16">
        <f t="shared" si="145"/>
        <v>0</v>
      </c>
      <c r="AM162" s="16">
        <f t="shared" si="146"/>
        <v>0</v>
      </c>
      <c r="AN162" s="18">
        <f t="shared" si="147"/>
        <v>52</v>
      </c>
      <c r="AO162" s="16">
        <f t="shared" si="148"/>
        <v>44.199999999999996</v>
      </c>
      <c r="AP162" s="19">
        <v>2</v>
      </c>
      <c r="AQ162" s="19">
        <v>0</v>
      </c>
      <c r="AR162" s="16">
        <f t="shared" si="149"/>
        <v>0</v>
      </c>
      <c r="AS162" s="16">
        <f t="shared" si="150"/>
        <v>1.7</v>
      </c>
      <c r="AT162" s="18">
        <f t="shared" si="151"/>
        <v>50</v>
      </c>
      <c r="AU162" s="16">
        <f t="shared" si="152"/>
        <v>42.5</v>
      </c>
      <c r="AV162" s="19">
        <v>0</v>
      </c>
      <c r="AW162" s="19">
        <v>0</v>
      </c>
      <c r="AX162" s="16">
        <f t="shared" si="153"/>
        <v>0</v>
      </c>
      <c r="AY162" s="16">
        <f t="shared" si="154"/>
        <v>0</v>
      </c>
      <c r="AZ162" s="18">
        <f t="shared" si="171"/>
        <v>50</v>
      </c>
      <c r="BA162" s="16">
        <f t="shared" si="172"/>
        <v>42.5</v>
      </c>
      <c r="BB162" s="19">
        <v>0</v>
      </c>
      <c r="BC162" s="19">
        <v>0</v>
      </c>
      <c r="BD162" s="16">
        <f t="shared" si="173"/>
        <v>0</v>
      </c>
      <c r="BE162" s="16">
        <f t="shared" si="174"/>
        <v>0</v>
      </c>
      <c r="BF162" s="18">
        <f t="shared" si="175"/>
        <v>50</v>
      </c>
      <c r="BG162" s="16">
        <f t="shared" si="176"/>
        <v>42.5</v>
      </c>
      <c r="BH162" s="19">
        <v>0</v>
      </c>
      <c r="BI162" s="19">
        <v>0</v>
      </c>
      <c r="BJ162" s="16">
        <f t="shared" si="177"/>
        <v>0</v>
      </c>
      <c r="BK162" s="16">
        <f t="shared" si="178"/>
        <v>0</v>
      </c>
      <c r="BL162" s="18">
        <f t="shared" si="179"/>
        <v>50</v>
      </c>
      <c r="BM162" s="16">
        <f t="shared" si="180"/>
        <v>42.5</v>
      </c>
      <c r="BN162" s="19">
        <v>0</v>
      </c>
      <c r="BO162" s="19">
        <v>0</v>
      </c>
      <c r="BP162" s="16">
        <f t="shared" si="181"/>
        <v>0</v>
      </c>
      <c r="BQ162" s="16">
        <f t="shared" si="182"/>
        <v>0</v>
      </c>
      <c r="BR162" s="18">
        <f t="shared" si="183"/>
        <v>50</v>
      </c>
      <c r="BS162" s="16">
        <f t="shared" si="184"/>
        <v>42.5</v>
      </c>
      <c r="BT162" s="19">
        <v>0</v>
      </c>
      <c r="BU162" s="19">
        <v>0</v>
      </c>
      <c r="BV162" s="16">
        <f t="shared" si="185"/>
        <v>0</v>
      </c>
      <c r="BW162" s="16">
        <f t="shared" si="186"/>
        <v>0</v>
      </c>
      <c r="BX162" s="18">
        <f t="shared" si="187"/>
        <v>50</v>
      </c>
      <c r="BY162" s="16">
        <f t="shared" si="188"/>
        <v>42.5</v>
      </c>
      <c r="BZ162" s="19">
        <v>0</v>
      </c>
      <c r="CA162" s="19">
        <v>0</v>
      </c>
      <c r="CB162" s="16">
        <f t="shared" si="189"/>
        <v>0</v>
      </c>
      <c r="CC162" s="16">
        <f t="shared" si="190"/>
        <v>0</v>
      </c>
      <c r="CD162" s="20">
        <f t="shared" si="191"/>
        <v>50</v>
      </c>
      <c r="CE162" s="21">
        <f t="shared" si="168"/>
        <v>42.5</v>
      </c>
    </row>
    <row r="163" spans="1:85" x14ac:dyDescent="0.3">
      <c r="A163" s="23">
        <v>103</v>
      </c>
      <c r="B163" s="70">
        <v>141</v>
      </c>
      <c r="C163" s="88" t="s">
        <v>244</v>
      </c>
      <c r="D163" s="83" t="s">
        <v>245</v>
      </c>
      <c r="E163" s="36">
        <v>100</v>
      </c>
      <c r="F163" s="36">
        <v>200</v>
      </c>
      <c r="G163" s="36">
        <v>300</v>
      </c>
      <c r="H163" s="34">
        <v>100</v>
      </c>
      <c r="I163" s="25">
        <v>1.1000000000000001</v>
      </c>
      <c r="J163" s="34">
        <v>100</v>
      </c>
      <c r="K163" s="16">
        <f t="shared" si="167"/>
        <v>110.00000000000001</v>
      </c>
      <c r="L163" s="19">
        <v>0</v>
      </c>
      <c r="M163" s="19">
        <v>0</v>
      </c>
      <c r="N163" s="16">
        <f t="shared" si="169"/>
        <v>0</v>
      </c>
      <c r="O163" s="16">
        <f t="shared" si="170"/>
        <v>0</v>
      </c>
      <c r="P163" s="18">
        <f t="shared" si="155"/>
        <v>100</v>
      </c>
      <c r="Q163" s="16">
        <f t="shared" si="156"/>
        <v>110.00000000000001</v>
      </c>
      <c r="R163" s="19">
        <v>0</v>
      </c>
      <c r="S163" s="18">
        <v>0</v>
      </c>
      <c r="T163" s="16">
        <f t="shared" si="157"/>
        <v>0</v>
      </c>
      <c r="U163" s="16">
        <f t="shared" si="158"/>
        <v>0</v>
      </c>
      <c r="V163" s="18">
        <f t="shared" si="159"/>
        <v>100</v>
      </c>
      <c r="W163" s="16">
        <f t="shared" si="160"/>
        <v>110.00000000000001</v>
      </c>
      <c r="X163" s="19">
        <v>0</v>
      </c>
      <c r="Y163" s="19">
        <v>0</v>
      </c>
      <c r="Z163" s="16">
        <f t="shared" si="161"/>
        <v>0</v>
      </c>
      <c r="AA163" s="16">
        <f t="shared" si="162"/>
        <v>0</v>
      </c>
      <c r="AB163" s="18">
        <f t="shared" si="163"/>
        <v>100</v>
      </c>
      <c r="AC163" s="16">
        <f t="shared" si="164"/>
        <v>110.00000000000001</v>
      </c>
      <c r="AD163" s="19">
        <v>0</v>
      </c>
      <c r="AE163" s="19">
        <v>0</v>
      </c>
      <c r="AF163" s="16">
        <f t="shared" si="165"/>
        <v>0</v>
      </c>
      <c r="AG163" s="16">
        <f t="shared" si="166"/>
        <v>0</v>
      </c>
      <c r="AH163" s="18">
        <f t="shared" si="143"/>
        <v>100</v>
      </c>
      <c r="AI163" s="16">
        <f t="shared" si="144"/>
        <v>110.00000000000001</v>
      </c>
      <c r="AJ163" s="19">
        <v>0</v>
      </c>
      <c r="AK163" s="19">
        <v>0</v>
      </c>
      <c r="AL163" s="16">
        <f t="shared" si="145"/>
        <v>0</v>
      </c>
      <c r="AM163" s="16">
        <f t="shared" si="146"/>
        <v>0</v>
      </c>
      <c r="AN163" s="18">
        <f t="shared" si="147"/>
        <v>100</v>
      </c>
      <c r="AO163" s="16">
        <f t="shared" si="148"/>
        <v>110.00000000000001</v>
      </c>
      <c r="AP163" s="19">
        <v>0</v>
      </c>
      <c r="AQ163" s="19">
        <v>0</v>
      </c>
      <c r="AR163" s="16">
        <f t="shared" si="149"/>
        <v>0</v>
      </c>
      <c r="AS163" s="16">
        <f t="shared" si="150"/>
        <v>0</v>
      </c>
      <c r="AT163" s="18">
        <f t="shared" si="151"/>
        <v>100</v>
      </c>
      <c r="AU163" s="16">
        <f t="shared" si="152"/>
        <v>110.00000000000001</v>
      </c>
      <c r="AV163" s="19">
        <v>0</v>
      </c>
      <c r="AW163" s="19">
        <v>0</v>
      </c>
      <c r="AX163" s="16">
        <f t="shared" si="153"/>
        <v>0</v>
      </c>
      <c r="AY163" s="16">
        <f t="shared" si="154"/>
        <v>0</v>
      </c>
      <c r="AZ163" s="18">
        <f t="shared" si="171"/>
        <v>100</v>
      </c>
      <c r="BA163" s="16">
        <f t="shared" si="172"/>
        <v>110.00000000000001</v>
      </c>
      <c r="BB163" s="19">
        <v>0</v>
      </c>
      <c r="BC163" s="19">
        <v>0</v>
      </c>
      <c r="BD163" s="16">
        <f t="shared" si="173"/>
        <v>0</v>
      </c>
      <c r="BE163" s="16">
        <f t="shared" si="174"/>
        <v>0</v>
      </c>
      <c r="BF163" s="18">
        <f t="shared" si="175"/>
        <v>100</v>
      </c>
      <c r="BG163" s="16">
        <f t="shared" si="176"/>
        <v>110.00000000000001</v>
      </c>
      <c r="BH163" s="19">
        <v>0</v>
      </c>
      <c r="BI163" s="19">
        <v>0</v>
      </c>
      <c r="BJ163" s="16">
        <f t="shared" si="177"/>
        <v>0</v>
      </c>
      <c r="BK163" s="16">
        <f t="shared" si="178"/>
        <v>0</v>
      </c>
      <c r="BL163" s="18">
        <f t="shared" si="179"/>
        <v>100</v>
      </c>
      <c r="BM163" s="16">
        <f t="shared" si="180"/>
        <v>110.00000000000001</v>
      </c>
      <c r="BN163" s="19">
        <v>0</v>
      </c>
      <c r="BO163" s="19">
        <v>0</v>
      </c>
      <c r="BP163" s="16">
        <f t="shared" si="181"/>
        <v>0</v>
      </c>
      <c r="BQ163" s="16">
        <f t="shared" si="182"/>
        <v>0</v>
      </c>
      <c r="BR163" s="18">
        <f t="shared" si="183"/>
        <v>100</v>
      </c>
      <c r="BS163" s="16">
        <f t="shared" si="184"/>
        <v>110.00000000000001</v>
      </c>
      <c r="BT163" s="19">
        <v>0</v>
      </c>
      <c r="BU163" s="19">
        <v>0</v>
      </c>
      <c r="BV163" s="16">
        <f t="shared" si="185"/>
        <v>0</v>
      </c>
      <c r="BW163" s="16">
        <f t="shared" si="186"/>
        <v>0</v>
      </c>
      <c r="BX163" s="18">
        <f t="shared" si="187"/>
        <v>100</v>
      </c>
      <c r="BY163" s="16">
        <f t="shared" si="188"/>
        <v>110.00000000000001</v>
      </c>
      <c r="BZ163" s="19">
        <v>0</v>
      </c>
      <c r="CA163" s="19">
        <v>0</v>
      </c>
      <c r="CB163" s="16">
        <f t="shared" si="189"/>
        <v>0</v>
      </c>
      <c r="CC163" s="16">
        <f t="shared" si="190"/>
        <v>0</v>
      </c>
      <c r="CD163" s="20">
        <f t="shared" si="191"/>
        <v>100</v>
      </c>
      <c r="CE163" s="21">
        <f t="shared" si="168"/>
        <v>110.00000000000001</v>
      </c>
    </row>
    <row r="164" spans="1:85" x14ac:dyDescent="0.3">
      <c r="A164" s="23">
        <v>104</v>
      </c>
      <c r="B164" s="70">
        <v>142</v>
      </c>
      <c r="C164" s="88" t="s">
        <v>246</v>
      </c>
      <c r="D164" s="83" t="s">
        <v>247</v>
      </c>
      <c r="E164" s="36">
        <v>100</v>
      </c>
      <c r="F164" s="36">
        <v>100</v>
      </c>
      <c r="G164" s="36">
        <v>100</v>
      </c>
      <c r="H164" s="34">
        <v>100</v>
      </c>
      <c r="I164" s="25">
        <v>0.88</v>
      </c>
      <c r="J164" s="34">
        <v>100</v>
      </c>
      <c r="K164" s="16">
        <f t="shared" si="167"/>
        <v>88</v>
      </c>
      <c r="L164" s="19">
        <v>0</v>
      </c>
      <c r="M164" s="19">
        <v>0</v>
      </c>
      <c r="N164" s="16">
        <f t="shared" si="169"/>
        <v>0</v>
      </c>
      <c r="O164" s="16">
        <f t="shared" si="170"/>
        <v>0</v>
      </c>
      <c r="P164" s="18">
        <f t="shared" si="155"/>
        <v>100</v>
      </c>
      <c r="Q164" s="16">
        <f t="shared" si="156"/>
        <v>88</v>
      </c>
      <c r="R164" s="19">
        <v>0</v>
      </c>
      <c r="S164" s="18">
        <v>0</v>
      </c>
      <c r="T164" s="16">
        <f t="shared" si="157"/>
        <v>0</v>
      </c>
      <c r="U164" s="16">
        <f t="shared" si="158"/>
        <v>0</v>
      </c>
      <c r="V164" s="18">
        <f t="shared" si="159"/>
        <v>100</v>
      </c>
      <c r="W164" s="16">
        <f t="shared" si="160"/>
        <v>88</v>
      </c>
      <c r="X164" s="19">
        <v>0</v>
      </c>
      <c r="Y164" s="19">
        <v>0</v>
      </c>
      <c r="Z164" s="16">
        <f t="shared" si="161"/>
        <v>0</v>
      </c>
      <c r="AA164" s="16">
        <f t="shared" si="162"/>
        <v>0</v>
      </c>
      <c r="AB164" s="18">
        <f t="shared" si="163"/>
        <v>100</v>
      </c>
      <c r="AC164" s="16">
        <f t="shared" si="164"/>
        <v>88</v>
      </c>
      <c r="AD164" s="19">
        <v>0</v>
      </c>
      <c r="AE164" s="19">
        <v>0</v>
      </c>
      <c r="AF164" s="16">
        <f t="shared" si="165"/>
        <v>0</v>
      </c>
      <c r="AG164" s="16">
        <f t="shared" si="166"/>
        <v>0</v>
      </c>
      <c r="AH164" s="18">
        <f t="shared" si="143"/>
        <v>100</v>
      </c>
      <c r="AI164" s="16">
        <f t="shared" si="144"/>
        <v>88</v>
      </c>
      <c r="AJ164" s="19">
        <v>0</v>
      </c>
      <c r="AK164" s="19">
        <v>0</v>
      </c>
      <c r="AL164" s="16">
        <f t="shared" si="145"/>
        <v>0</v>
      </c>
      <c r="AM164" s="16">
        <f t="shared" si="146"/>
        <v>0</v>
      </c>
      <c r="AN164" s="18">
        <f t="shared" si="147"/>
        <v>100</v>
      </c>
      <c r="AO164" s="16">
        <f t="shared" si="148"/>
        <v>88</v>
      </c>
      <c r="AP164" s="19">
        <v>0</v>
      </c>
      <c r="AQ164" s="19">
        <v>0</v>
      </c>
      <c r="AR164" s="16">
        <f t="shared" si="149"/>
        <v>0</v>
      </c>
      <c r="AS164" s="16">
        <f t="shared" si="150"/>
        <v>0</v>
      </c>
      <c r="AT164" s="18">
        <f t="shared" si="151"/>
        <v>100</v>
      </c>
      <c r="AU164" s="16">
        <f t="shared" si="152"/>
        <v>88</v>
      </c>
      <c r="AV164" s="19">
        <v>0</v>
      </c>
      <c r="AW164" s="19">
        <v>0</v>
      </c>
      <c r="AX164" s="16">
        <f t="shared" si="153"/>
        <v>0</v>
      </c>
      <c r="AY164" s="16">
        <f t="shared" si="154"/>
        <v>0</v>
      </c>
      <c r="AZ164" s="18">
        <f t="shared" si="171"/>
        <v>100</v>
      </c>
      <c r="BA164" s="16">
        <f t="shared" si="172"/>
        <v>88</v>
      </c>
      <c r="BB164" s="19">
        <v>0</v>
      </c>
      <c r="BC164" s="19">
        <v>0</v>
      </c>
      <c r="BD164" s="16">
        <f t="shared" si="173"/>
        <v>0</v>
      </c>
      <c r="BE164" s="16">
        <f t="shared" si="174"/>
        <v>0</v>
      </c>
      <c r="BF164" s="18">
        <f t="shared" si="175"/>
        <v>100</v>
      </c>
      <c r="BG164" s="16">
        <f t="shared" si="176"/>
        <v>88</v>
      </c>
      <c r="BH164" s="19">
        <v>0</v>
      </c>
      <c r="BI164" s="19">
        <v>0</v>
      </c>
      <c r="BJ164" s="16">
        <f t="shared" si="177"/>
        <v>0</v>
      </c>
      <c r="BK164" s="16">
        <f t="shared" si="178"/>
        <v>0</v>
      </c>
      <c r="BL164" s="18">
        <f t="shared" si="179"/>
        <v>100</v>
      </c>
      <c r="BM164" s="16">
        <f t="shared" si="180"/>
        <v>88</v>
      </c>
      <c r="BN164" s="19">
        <v>0</v>
      </c>
      <c r="BO164" s="19">
        <v>0</v>
      </c>
      <c r="BP164" s="16">
        <f t="shared" si="181"/>
        <v>0</v>
      </c>
      <c r="BQ164" s="16">
        <f t="shared" si="182"/>
        <v>0</v>
      </c>
      <c r="BR164" s="18">
        <f t="shared" si="183"/>
        <v>100</v>
      </c>
      <c r="BS164" s="16">
        <f t="shared" si="184"/>
        <v>88</v>
      </c>
      <c r="BT164" s="19">
        <v>0</v>
      </c>
      <c r="BU164" s="19">
        <v>0</v>
      </c>
      <c r="BV164" s="16">
        <f t="shared" si="185"/>
        <v>0</v>
      </c>
      <c r="BW164" s="16">
        <f t="shared" si="186"/>
        <v>0</v>
      </c>
      <c r="BX164" s="18">
        <f t="shared" si="187"/>
        <v>100</v>
      </c>
      <c r="BY164" s="16">
        <f t="shared" si="188"/>
        <v>88</v>
      </c>
      <c r="BZ164" s="19">
        <v>0</v>
      </c>
      <c r="CA164" s="19">
        <v>0</v>
      </c>
      <c r="CB164" s="16">
        <f t="shared" si="189"/>
        <v>0</v>
      </c>
      <c r="CC164" s="16">
        <f t="shared" si="190"/>
        <v>0</v>
      </c>
      <c r="CD164" s="20">
        <f t="shared" si="191"/>
        <v>100</v>
      </c>
      <c r="CE164" s="21">
        <f t="shared" si="168"/>
        <v>88</v>
      </c>
    </row>
    <row r="165" spans="1:85" x14ac:dyDescent="0.25">
      <c r="B165" s="70">
        <v>143</v>
      </c>
      <c r="C165" s="79" t="s">
        <v>248</v>
      </c>
      <c r="D165" s="13" t="s">
        <v>249</v>
      </c>
      <c r="E165" s="23">
        <v>50</v>
      </c>
      <c r="F165" s="23">
        <v>80</v>
      </c>
      <c r="G165" s="23">
        <v>150</v>
      </c>
      <c r="H165" s="40">
        <v>120</v>
      </c>
      <c r="I165" s="30">
        <v>3</v>
      </c>
      <c r="J165" s="40">
        <v>120</v>
      </c>
      <c r="K165" s="16">
        <f t="shared" si="167"/>
        <v>360</v>
      </c>
      <c r="L165" s="19">
        <v>0</v>
      </c>
      <c r="M165" s="19">
        <v>0</v>
      </c>
      <c r="N165" s="16">
        <f t="shared" si="169"/>
        <v>0</v>
      </c>
      <c r="O165" s="16">
        <f t="shared" si="170"/>
        <v>0</v>
      </c>
      <c r="P165" s="18">
        <f t="shared" si="155"/>
        <v>120</v>
      </c>
      <c r="Q165" s="16">
        <f t="shared" si="156"/>
        <v>360</v>
      </c>
      <c r="R165" s="19">
        <v>0</v>
      </c>
      <c r="S165" s="18">
        <v>0</v>
      </c>
      <c r="T165" s="16">
        <f t="shared" si="157"/>
        <v>0</v>
      </c>
      <c r="U165" s="16">
        <f t="shared" si="158"/>
        <v>0</v>
      </c>
      <c r="V165" s="18">
        <f t="shared" si="159"/>
        <v>120</v>
      </c>
      <c r="W165" s="16">
        <f t="shared" si="160"/>
        <v>360</v>
      </c>
      <c r="X165" s="19">
        <v>20</v>
      </c>
      <c r="Y165" s="19">
        <v>0</v>
      </c>
      <c r="Z165" s="16">
        <f t="shared" si="161"/>
        <v>0</v>
      </c>
      <c r="AA165" s="16">
        <f t="shared" si="162"/>
        <v>60</v>
      </c>
      <c r="AB165" s="18">
        <f t="shared" si="163"/>
        <v>100</v>
      </c>
      <c r="AC165" s="16">
        <f t="shared" si="164"/>
        <v>300</v>
      </c>
      <c r="AD165" s="19">
        <v>40</v>
      </c>
      <c r="AE165" s="19">
        <v>0</v>
      </c>
      <c r="AF165" s="16">
        <f t="shared" si="165"/>
        <v>0</v>
      </c>
      <c r="AG165" s="16">
        <f t="shared" si="166"/>
        <v>120</v>
      </c>
      <c r="AH165" s="18">
        <f t="shared" si="143"/>
        <v>60</v>
      </c>
      <c r="AI165" s="16">
        <f t="shared" si="144"/>
        <v>180</v>
      </c>
      <c r="AJ165" s="19">
        <v>0</v>
      </c>
      <c r="AK165" s="19">
        <v>0</v>
      </c>
      <c r="AL165" s="16">
        <f t="shared" si="145"/>
        <v>0</v>
      </c>
      <c r="AM165" s="16">
        <f t="shared" si="146"/>
        <v>0</v>
      </c>
      <c r="AN165" s="18">
        <f t="shared" si="147"/>
        <v>60</v>
      </c>
      <c r="AO165" s="16">
        <f t="shared" si="148"/>
        <v>180</v>
      </c>
      <c r="AP165" s="19">
        <v>0</v>
      </c>
      <c r="AQ165" s="19">
        <v>0</v>
      </c>
      <c r="AR165" s="16">
        <f t="shared" si="149"/>
        <v>0</v>
      </c>
      <c r="AS165" s="16">
        <f t="shared" si="150"/>
        <v>0</v>
      </c>
      <c r="AT165" s="18">
        <f t="shared" si="151"/>
        <v>60</v>
      </c>
      <c r="AU165" s="16">
        <f t="shared" si="152"/>
        <v>180</v>
      </c>
      <c r="AV165" s="19">
        <v>0</v>
      </c>
      <c r="AW165" s="19">
        <v>0</v>
      </c>
      <c r="AX165" s="16">
        <f t="shared" si="153"/>
        <v>0</v>
      </c>
      <c r="AY165" s="16">
        <f t="shared" si="154"/>
        <v>0</v>
      </c>
      <c r="AZ165" s="18">
        <f t="shared" si="171"/>
        <v>60</v>
      </c>
      <c r="BA165" s="16">
        <f t="shared" si="172"/>
        <v>180</v>
      </c>
      <c r="BB165" s="19">
        <v>0</v>
      </c>
      <c r="BC165" s="19">
        <v>0</v>
      </c>
      <c r="BD165" s="16">
        <f t="shared" si="173"/>
        <v>0</v>
      </c>
      <c r="BE165" s="16">
        <f t="shared" si="174"/>
        <v>0</v>
      </c>
      <c r="BF165" s="18">
        <f t="shared" si="175"/>
        <v>60</v>
      </c>
      <c r="BG165" s="16">
        <f t="shared" si="176"/>
        <v>180</v>
      </c>
      <c r="BH165" s="19">
        <v>0</v>
      </c>
      <c r="BI165" s="19">
        <v>0</v>
      </c>
      <c r="BJ165" s="16">
        <f t="shared" si="177"/>
        <v>0</v>
      </c>
      <c r="BK165" s="16">
        <f t="shared" si="178"/>
        <v>0</v>
      </c>
      <c r="BL165" s="18">
        <f t="shared" si="179"/>
        <v>60</v>
      </c>
      <c r="BM165" s="16">
        <f t="shared" si="180"/>
        <v>180</v>
      </c>
      <c r="BN165" s="19">
        <v>0</v>
      </c>
      <c r="BO165" s="19">
        <v>0</v>
      </c>
      <c r="BP165" s="16">
        <f t="shared" si="181"/>
        <v>0</v>
      </c>
      <c r="BQ165" s="16">
        <f t="shared" si="182"/>
        <v>0</v>
      </c>
      <c r="BR165" s="18">
        <f t="shared" si="183"/>
        <v>60</v>
      </c>
      <c r="BS165" s="16">
        <f t="shared" si="184"/>
        <v>180</v>
      </c>
      <c r="BT165" s="19">
        <v>0</v>
      </c>
      <c r="BU165" s="19">
        <v>0</v>
      </c>
      <c r="BV165" s="16">
        <f t="shared" si="185"/>
        <v>0</v>
      </c>
      <c r="BW165" s="16">
        <f t="shared" si="186"/>
        <v>0</v>
      </c>
      <c r="BX165" s="18">
        <f t="shared" si="187"/>
        <v>60</v>
      </c>
      <c r="BY165" s="16">
        <f t="shared" si="188"/>
        <v>180</v>
      </c>
      <c r="BZ165" s="19">
        <v>0</v>
      </c>
      <c r="CA165" s="19">
        <v>0</v>
      </c>
      <c r="CB165" s="16">
        <f t="shared" si="189"/>
        <v>0</v>
      </c>
      <c r="CC165" s="16">
        <f t="shared" si="190"/>
        <v>0</v>
      </c>
      <c r="CD165" s="20">
        <f t="shared" si="191"/>
        <v>60</v>
      </c>
      <c r="CE165" s="21">
        <f t="shared" si="168"/>
        <v>180</v>
      </c>
    </row>
    <row r="166" spans="1:85" x14ac:dyDescent="0.25">
      <c r="B166" s="70">
        <v>144</v>
      </c>
      <c r="C166" s="79" t="s">
        <v>250</v>
      </c>
      <c r="D166" s="13" t="s">
        <v>251</v>
      </c>
      <c r="E166" s="23">
        <v>50</v>
      </c>
      <c r="F166" s="23">
        <v>80</v>
      </c>
      <c r="G166" s="23">
        <v>150</v>
      </c>
      <c r="H166" s="40">
        <v>140</v>
      </c>
      <c r="I166" s="30">
        <v>3</v>
      </c>
      <c r="J166" s="40">
        <v>140</v>
      </c>
      <c r="K166" s="16">
        <f t="shared" si="167"/>
        <v>420</v>
      </c>
      <c r="L166" s="19">
        <v>20</v>
      </c>
      <c r="M166" s="19">
        <v>0</v>
      </c>
      <c r="N166" s="16">
        <f t="shared" si="169"/>
        <v>0</v>
      </c>
      <c r="O166" s="16">
        <f t="shared" si="170"/>
        <v>60</v>
      </c>
      <c r="P166" s="18">
        <f t="shared" si="155"/>
        <v>120</v>
      </c>
      <c r="Q166" s="16">
        <f t="shared" si="156"/>
        <v>360</v>
      </c>
      <c r="R166" s="19">
        <v>0</v>
      </c>
      <c r="S166" s="18">
        <v>0</v>
      </c>
      <c r="T166" s="16">
        <f t="shared" si="157"/>
        <v>0</v>
      </c>
      <c r="U166" s="16">
        <f t="shared" si="158"/>
        <v>0</v>
      </c>
      <c r="V166" s="18">
        <f t="shared" si="159"/>
        <v>120</v>
      </c>
      <c r="W166" s="16">
        <f t="shared" si="160"/>
        <v>360</v>
      </c>
      <c r="X166" s="19">
        <v>0</v>
      </c>
      <c r="Y166" s="19">
        <v>0</v>
      </c>
      <c r="Z166" s="16">
        <f t="shared" si="161"/>
        <v>0</v>
      </c>
      <c r="AA166" s="16">
        <f t="shared" si="162"/>
        <v>0</v>
      </c>
      <c r="AB166" s="18">
        <f t="shared" si="163"/>
        <v>120</v>
      </c>
      <c r="AC166" s="16">
        <f t="shared" si="164"/>
        <v>360</v>
      </c>
      <c r="AD166" s="19">
        <v>20</v>
      </c>
      <c r="AE166" s="19">
        <v>0</v>
      </c>
      <c r="AF166" s="16">
        <f t="shared" si="165"/>
        <v>0</v>
      </c>
      <c r="AG166" s="16">
        <f t="shared" si="166"/>
        <v>60</v>
      </c>
      <c r="AH166" s="18">
        <f t="shared" si="143"/>
        <v>100</v>
      </c>
      <c r="AI166" s="16">
        <f t="shared" si="144"/>
        <v>300</v>
      </c>
      <c r="AJ166" s="19">
        <v>0</v>
      </c>
      <c r="AK166" s="19">
        <v>0</v>
      </c>
      <c r="AL166" s="16">
        <f t="shared" si="145"/>
        <v>0</v>
      </c>
      <c r="AM166" s="16">
        <f t="shared" si="146"/>
        <v>0</v>
      </c>
      <c r="AN166" s="18">
        <f t="shared" si="147"/>
        <v>100</v>
      </c>
      <c r="AO166" s="16">
        <f t="shared" si="148"/>
        <v>300</v>
      </c>
      <c r="AP166" s="19">
        <v>0</v>
      </c>
      <c r="AQ166" s="19">
        <v>0</v>
      </c>
      <c r="AR166" s="16">
        <f t="shared" si="149"/>
        <v>0</v>
      </c>
      <c r="AS166" s="16">
        <f t="shared" si="150"/>
        <v>0</v>
      </c>
      <c r="AT166" s="18">
        <f t="shared" si="151"/>
        <v>100</v>
      </c>
      <c r="AU166" s="16">
        <f t="shared" si="152"/>
        <v>300</v>
      </c>
      <c r="AV166" s="19">
        <v>0</v>
      </c>
      <c r="AW166" s="19">
        <v>0</v>
      </c>
      <c r="AX166" s="16">
        <f t="shared" si="153"/>
        <v>0</v>
      </c>
      <c r="AY166" s="16">
        <f t="shared" si="154"/>
        <v>0</v>
      </c>
      <c r="AZ166" s="18">
        <f t="shared" si="171"/>
        <v>100</v>
      </c>
      <c r="BA166" s="16">
        <f t="shared" si="172"/>
        <v>300</v>
      </c>
      <c r="BB166" s="19">
        <v>20</v>
      </c>
      <c r="BC166" s="19">
        <v>0</v>
      </c>
      <c r="BD166" s="16">
        <f t="shared" si="173"/>
        <v>0</v>
      </c>
      <c r="BE166" s="16">
        <f t="shared" si="174"/>
        <v>60</v>
      </c>
      <c r="BF166" s="18">
        <f t="shared" si="175"/>
        <v>80</v>
      </c>
      <c r="BG166" s="16">
        <f t="shared" si="176"/>
        <v>240</v>
      </c>
      <c r="BH166" s="19">
        <v>0</v>
      </c>
      <c r="BI166" s="19">
        <v>0</v>
      </c>
      <c r="BJ166" s="16">
        <f t="shared" si="177"/>
        <v>0</v>
      </c>
      <c r="BK166" s="16">
        <f t="shared" si="178"/>
        <v>0</v>
      </c>
      <c r="BL166" s="18">
        <f t="shared" si="179"/>
        <v>80</v>
      </c>
      <c r="BM166" s="16">
        <f t="shared" si="180"/>
        <v>240</v>
      </c>
      <c r="BN166" s="19">
        <v>0</v>
      </c>
      <c r="BO166" s="19">
        <v>0</v>
      </c>
      <c r="BP166" s="16">
        <f t="shared" si="181"/>
        <v>0</v>
      </c>
      <c r="BQ166" s="16">
        <f t="shared" si="182"/>
        <v>0</v>
      </c>
      <c r="BR166" s="18">
        <f t="shared" si="183"/>
        <v>80</v>
      </c>
      <c r="BS166" s="16">
        <f t="shared" si="184"/>
        <v>240</v>
      </c>
      <c r="BT166" s="19">
        <v>0</v>
      </c>
      <c r="BU166" s="19">
        <v>0</v>
      </c>
      <c r="BV166" s="16">
        <f t="shared" si="185"/>
        <v>0</v>
      </c>
      <c r="BW166" s="16">
        <f t="shared" si="186"/>
        <v>0</v>
      </c>
      <c r="BX166" s="18">
        <f t="shared" si="187"/>
        <v>80</v>
      </c>
      <c r="BY166" s="16">
        <f t="shared" si="188"/>
        <v>240</v>
      </c>
      <c r="BZ166" s="19">
        <v>0</v>
      </c>
      <c r="CA166" s="19">
        <v>0</v>
      </c>
      <c r="CB166" s="16">
        <f t="shared" si="189"/>
        <v>0</v>
      </c>
      <c r="CC166" s="16">
        <f t="shared" si="190"/>
        <v>0</v>
      </c>
      <c r="CD166" s="20">
        <f t="shared" si="191"/>
        <v>80</v>
      </c>
      <c r="CE166" s="21">
        <f t="shared" si="168"/>
        <v>240</v>
      </c>
    </row>
    <row r="167" spans="1:85" x14ac:dyDescent="0.25">
      <c r="B167" s="70">
        <v>145</v>
      </c>
      <c r="C167" s="82" t="s">
        <v>338</v>
      </c>
      <c r="D167" s="83" t="s">
        <v>339</v>
      </c>
      <c r="E167" s="84"/>
      <c r="F167" s="84"/>
      <c r="G167" s="84"/>
      <c r="H167" s="85">
        <v>180</v>
      </c>
      <c r="I167" s="30">
        <v>0.52</v>
      </c>
      <c r="J167" s="40">
        <v>180</v>
      </c>
      <c r="K167" s="16">
        <f t="shared" si="167"/>
        <v>93.600000000000009</v>
      </c>
      <c r="L167" s="19">
        <v>0</v>
      </c>
      <c r="M167" s="19">
        <v>0</v>
      </c>
      <c r="N167" s="16">
        <f t="shared" si="169"/>
        <v>0</v>
      </c>
      <c r="O167" s="16">
        <f t="shared" si="170"/>
        <v>0</v>
      </c>
      <c r="P167" s="18">
        <f t="shared" si="155"/>
        <v>180</v>
      </c>
      <c r="Q167" s="16">
        <f t="shared" si="156"/>
        <v>93.600000000000009</v>
      </c>
      <c r="R167" s="19">
        <v>0</v>
      </c>
      <c r="S167" s="18">
        <v>0</v>
      </c>
      <c r="T167" s="16">
        <f t="shared" si="157"/>
        <v>0</v>
      </c>
      <c r="U167" s="16">
        <f t="shared" si="158"/>
        <v>0</v>
      </c>
      <c r="V167" s="18">
        <f t="shared" si="159"/>
        <v>180</v>
      </c>
      <c r="W167" s="16">
        <f t="shared" si="160"/>
        <v>93.600000000000009</v>
      </c>
      <c r="X167" s="19">
        <v>0</v>
      </c>
      <c r="Y167" s="19">
        <v>0</v>
      </c>
      <c r="Z167" s="16">
        <f t="shared" si="161"/>
        <v>0</v>
      </c>
      <c r="AA167" s="16">
        <f t="shared" si="162"/>
        <v>0</v>
      </c>
      <c r="AB167" s="18">
        <f t="shared" si="163"/>
        <v>180</v>
      </c>
      <c r="AC167" s="16">
        <f t="shared" si="164"/>
        <v>93.600000000000009</v>
      </c>
      <c r="AD167" s="19">
        <v>0</v>
      </c>
      <c r="AE167" s="19">
        <v>0</v>
      </c>
      <c r="AF167" s="16">
        <f t="shared" si="165"/>
        <v>0</v>
      </c>
      <c r="AG167" s="16">
        <f t="shared" si="166"/>
        <v>0</v>
      </c>
      <c r="AH167" s="18">
        <f t="shared" si="143"/>
        <v>180</v>
      </c>
      <c r="AI167" s="16">
        <f t="shared" si="144"/>
        <v>93.600000000000009</v>
      </c>
      <c r="AJ167" s="19">
        <v>10</v>
      </c>
      <c r="AK167" s="19">
        <v>0</v>
      </c>
      <c r="AL167" s="16">
        <f t="shared" si="145"/>
        <v>0</v>
      </c>
      <c r="AM167" s="16">
        <f t="shared" si="146"/>
        <v>5.2</v>
      </c>
      <c r="AN167" s="18">
        <f t="shared" si="147"/>
        <v>170</v>
      </c>
      <c r="AO167" s="16">
        <f t="shared" si="148"/>
        <v>88.4</v>
      </c>
      <c r="AP167" s="19">
        <v>0</v>
      </c>
      <c r="AQ167" s="19">
        <v>0</v>
      </c>
      <c r="AR167" s="16">
        <f t="shared" si="149"/>
        <v>0</v>
      </c>
      <c r="AS167" s="16">
        <f t="shared" si="150"/>
        <v>0</v>
      </c>
      <c r="AT167" s="18">
        <f t="shared" si="151"/>
        <v>170</v>
      </c>
      <c r="AU167" s="16">
        <f t="shared" si="152"/>
        <v>88.4</v>
      </c>
      <c r="AV167" s="19">
        <v>0</v>
      </c>
      <c r="AW167" s="19">
        <v>0</v>
      </c>
      <c r="AX167" s="16">
        <f t="shared" si="153"/>
        <v>0</v>
      </c>
      <c r="AY167" s="16">
        <f t="shared" si="154"/>
        <v>0</v>
      </c>
      <c r="AZ167" s="18">
        <f t="shared" si="171"/>
        <v>170</v>
      </c>
      <c r="BA167" s="16">
        <f t="shared" si="172"/>
        <v>88.4</v>
      </c>
      <c r="BB167" s="19">
        <v>0</v>
      </c>
      <c r="BC167" s="19">
        <v>0</v>
      </c>
      <c r="BD167" s="16">
        <f t="shared" si="173"/>
        <v>0</v>
      </c>
      <c r="BE167" s="16">
        <f t="shared" si="174"/>
        <v>0</v>
      </c>
      <c r="BF167" s="18">
        <f t="shared" si="175"/>
        <v>170</v>
      </c>
      <c r="BG167" s="16">
        <f t="shared" si="176"/>
        <v>88.4</v>
      </c>
      <c r="BH167" s="19">
        <v>0</v>
      </c>
      <c r="BI167" s="19">
        <v>0</v>
      </c>
      <c r="BJ167" s="16">
        <f t="shared" si="177"/>
        <v>0</v>
      </c>
      <c r="BK167" s="16">
        <f t="shared" si="178"/>
        <v>0</v>
      </c>
      <c r="BL167" s="18">
        <f t="shared" si="179"/>
        <v>170</v>
      </c>
      <c r="BM167" s="16">
        <f t="shared" si="180"/>
        <v>88.4</v>
      </c>
      <c r="BN167" s="19">
        <v>0</v>
      </c>
      <c r="BO167" s="19">
        <v>0</v>
      </c>
      <c r="BP167" s="16">
        <f t="shared" si="181"/>
        <v>0</v>
      </c>
      <c r="BQ167" s="16">
        <f t="shared" si="182"/>
        <v>0</v>
      </c>
      <c r="BR167" s="18">
        <f t="shared" si="183"/>
        <v>170</v>
      </c>
      <c r="BS167" s="16">
        <f t="shared" si="184"/>
        <v>88.4</v>
      </c>
      <c r="BT167" s="19">
        <v>0</v>
      </c>
      <c r="BU167" s="19">
        <v>0</v>
      </c>
      <c r="BV167" s="16">
        <f t="shared" si="185"/>
        <v>0</v>
      </c>
      <c r="BW167" s="16">
        <f t="shared" si="186"/>
        <v>0</v>
      </c>
      <c r="BX167" s="18">
        <f t="shared" si="187"/>
        <v>170</v>
      </c>
      <c r="BY167" s="16">
        <f t="shared" si="188"/>
        <v>88.4</v>
      </c>
      <c r="BZ167" s="19">
        <v>0</v>
      </c>
      <c r="CA167" s="19">
        <v>0</v>
      </c>
      <c r="CB167" s="16">
        <f t="shared" si="189"/>
        <v>0</v>
      </c>
      <c r="CC167" s="16">
        <f t="shared" si="190"/>
        <v>0</v>
      </c>
      <c r="CD167" s="20">
        <f t="shared" si="191"/>
        <v>170</v>
      </c>
      <c r="CE167" s="21">
        <f t="shared" si="168"/>
        <v>88.4</v>
      </c>
    </row>
    <row r="168" spans="1:85" x14ac:dyDescent="0.25">
      <c r="B168" s="70">
        <v>146</v>
      </c>
      <c r="C168" s="89" t="s">
        <v>382</v>
      </c>
      <c r="D168" s="90" t="s">
        <v>383</v>
      </c>
      <c r="E168" s="84"/>
      <c r="F168" s="84"/>
      <c r="G168" s="84"/>
      <c r="H168" s="85">
        <v>0</v>
      </c>
      <c r="I168" s="30">
        <v>80</v>
      </c>
      <c r="J168" s="40">
        <v>0</v>
      </c>
      <c r="K168" s="16">
        <f t="shared" si="167"/>
        <v>0</v>
      </c>
      <c r="L168" s="19">
        <v>0</v>
      </c>
      <c r="M168" s="19">
        <v>0</v>
      </c>
      <c r="N168" s="16">
        <f t="shared" si="169"/>
        <v>0</v>
      </c>
      <c r="O168" s="16">
        <f t="shared" si="170"/>
        <v>0</v>
      </c>
      <c r="P168" s="18">
        <f t="shared" si="155"/>
        <v>0</v>
      </c>
      <c r="Q168" s="16">
        <f t="shared" si="156"/>
        <v>0</v>
      </c>
      <c r="R168" s="19">
        <v>0</v>
      </c>
      <c r="S168" s="18">
        <v>0</v>
      </c>
      <c r="T168" s="16">
        <f t="shared" si="157"/>
        <v>0</v>
      </c>
      <c r="U168" s="16">
        <f t="shared" si="158"/>
        <v>0</v>
      </c>
      <c r="V168" s="18">
        <f t="shared" si="159"/>
        <v>0</v>
      </c>
      <c r="W168" s="16">
        <f t="shared" si="160"/>
        <v>0</v>
      </c>
      <c r="X168" s="19">
        <v>0</v>
      </c>
      <c r="Y168" s="19">
        <v>0</v>
      </c>
      <c r="Z168" s="16">
        <f t="shared" si="161"/>
        <v>0</v>
      </c>
      <c r="AA168" s="16">
        <f t="shared" si="162"/>
        <v>0</v>
      </c>
      <c r="AB168" s="18">
        <f t="shared" si="163"/>
        <v>0</v>
      </c>
      <c r="AC168" s="16">
        <f t="shared" si="164"/>
        <v>0</v>
      </c>
      <c r="AD168" s="19">
        <v>0</v>
      </c>
      <c r="AE168" s="19">
        <v>0</v>
      </c>
      <c r="AF168" s="16">
        <f t="shared" si="165"/>
        <v>0</v>
      </c>
      <c r="AG168" s="16">
        <f t="shared" si="166"/>
        <v>0</v>
      </c>
      <c r="AH168" s="18">
        <f t="shared" si="143"/>
        <v>0</v>
      </c>
      <c r="AI168" s="16">
        <f t="shared" si="144"/>
        <v>0</v>
      </c>
      <c r="AJ168" s="19">
        <v>0</v>
      </c>
      <c r="AK168" s="19">
        <v>0</v>
      </c>
      <c r="AL168" s="16">
        <f t="shared" si="145"/>
        <v>0</v>
      </c>
      <c r="AM168" s="16">
        <f t="shared" si="146"/>
        <v>0</v>
      </c>
      <c r="AN168" s="18">
        <f t="shared" si="147"/>
        <v>0</v>
      </c>
      <c r="AO168" s="16">
        <f t="shared" si="148"/>
        <v>0</v>
      </c>
      <c r="AP168" s="19">
        <v>0</v>
      </c>
      <c r="AQ168" s="19">
        <v>0</v>
      </c>
      <c r="AR168" s="16">
        <f t="shared" si="149"/>
        <v>0</v>
      </c>
      <c r="AS168" s="16">
        <f t="shared" si="150"/>
        <v>0</v>
      </c>
      <c r="AT168" s="18">
        <f t="shared" si="151"/>
        <v>0</v>
      </c>
      <c r="AU168" s="16">
        <f t="shared" si="152"/>
        <v>0</v>
      </c>
      <c r="AV168" s="19">
        <v>0</v>
      </c>
      <c r="AW168" s="19">
        <v>0</v>
      </c>
      <c r="AX168" s="16">
        <f t="shared" si="153"/>
        <v>0</v>
      </c>
      <c r="AY168" s="16">
        <f t="shared" si="154"/>
        <v>0</v>
      </c>
      <c r="AZ168" s="18">
        <f t="shared" si="171"/>
        <v>0</v>
      </c>
      <c r="BA168" s="16">
        <f t="shared" si="172"/>
        <v>0</v>
      </c>
      <c r="BB168" s="19">
        <v>0</v>
      </c>
      <c r="BC168" s="19">
        <v>0</v>
      </c>
      <c r="BD168" s="16">
        <f t="shared" si="173"/>
        <v>0</v>
      </c>
      <c r="BE168" s="16">
        <f t="shared" si="174"/>
        <v>0</v>
      </c>
      <c r="BF168" s="18">
        <f t="shared" si="175"/>
        <v>0</v>
      </c>
      <c r="BG168" s="16">
        <f t="shared" si="176"/>
        <v>0</v>
      </c>
      <c r="BH168" s="19">
        <v>0</v>
      </c>
      <c r="BI168" s="19">
        <v>0</v>
      </c>
      <c r="BJ168" s="16">
        <f t="shared" si="177"/>
        <v>0</v>
      </c>
      <c r="BK168" s="16">
        <f t="shared" si="178"/>
        <v>0</v>
      </c>
      <c r="BL168" s="18">
        <f t="shared" si="179"/>
        <v>0</v>
      </c>
      <c r="BM168" s="16">
        <f t="shared" si="180"/>
        <v>0</v>
      </c>
      <c r="BN168" s="19">
        <v>0</v>
      </c>
      <c r="BO168" s="19">
        <v>0</v>
      </c>
      <c r="BP168" s="16">
        <f t="shared" si="181"/>
        <v>0</v>
      </c>
      <c r="BQ168" s="16">
        <f t="shared" si="182"/>
        <v>0</v>
      </c>
      <c r="BR168" s="18">
        <f t="shared" si="183"/>
        <v>0</v>
      </c>
      <c r="BS168" s="16">
        <f t="shared" si="184"/>
        <v>0</v>
      </c>
      <c r="BT168" s="19">
        <v>0</v>
      </c>
      <c r="BU168" s="19">
        <v>0</v>
      </c>
      <c r="BV168" s="16">
        <f t="shared" si="185"/>
        <v>0</v>
      </c>
      <c r="BW168" s="16">
        <f t="shared" si="186"/>
        <v>0</v>
      </c>
      <c r="BX168" s="18">
        <f t="shared" si="187"/>
        <v>0</v>
      </c>
      <c r="BY168" s="16">
        <f t="shared" si="188"/>
        <v>0</v>
      </c>
      <c r="BZ168" s="19">
        <v>0</v>
      </c>
      <c r="CA168" s="19">
        <v>0</v>
      </c>
      <c r="CB168" s="16">
        <f t="shared" si="189"/>
        <v>0</v>
      </c>
      <c r="CC168" s="16">
        <f t="shared" si="190"/>
        <v>0</v>
      </c>
      <c r="CD168" s="20">
        <f t="shared" si="191"/>
        <v>0</v>
      </c>
      <c r="CE168" s="21">
        <f t="shared" si="168"/>
        <v>0</v>
      </c>
    </row>
    <row r="169" spans="1:85" ht="21.75" customHeight="1" x14ac:dyDescent="0.25">
      <c r="A169" s="23"/>
      <c r="B169" s="70">
        <v>147</v>
      </c>
      <c r="C169" s="86" t="s">
        <v>252</v>
      </c>
      <c r="D169" s="13" t="s">
        <v>253</v>
      </c>
      <c r="E169" s="23"/>
      <c r="F169" s="23"/>
      <c r="G169" s="23"/>
      <c r="H169" s="17">
        <v>10</v>
      </c>
      <c r="I169" s="30">
        <v>9.5</v>
      </c>
      <c r="J169" s="17">
        <v>10</v>
      </c>
      <c r="K169" s="16">
        <f t="shared" si="167"/>
        <v>95</v>
      </c>
      <c r="L169" s="19">
        <v>0</v>
      </c>
      <c r="M169" s="19">
        <v>0</v>
      </c>
      <c r="N169" s="16">
        <f t="shared" si="169"/>
        <v>0</v>
      </c>
      <c r="O169" s="16">
        <f t="shared" si="170"/>
        <v>0</v>
      </c>
      <c r="P169" s="18">
        <f t="shared" si="155"/>
        <v>10</v>
      </c>
      <c r="Q169" s="16">
        <f t="shared" si="156"/>
        <v>95</v>
      </c>
      <c r="R169" s="19">
        <v>0</v>
      </c>
      <c r="S169" s="18">
        <v>0</v>
      </c>
      <c r="T169" s="16">
        <f t="shared" si="157"/>
        <v>0</v>
      </c>
      <c r="U169" s="16">
        <f t="shared" si="158"/>
        <v>0</v>
      </c>
      <c r="V169" s="18">
        <f t="shared" si="159"/>
        <v>10</v>
      </c>
      <c r="W169" s="16">
        <f t="shared" si="160"/>
        <v>95</v>
      </c>
      <c r="X169" s="19">
        <v>0</v>
      </c>
      <c r="Y169" s="19">
        <v>0</v>
      </c>
      <c r="Z169" s="16">
        <f t="shared" si="161"/>
        <v>0</v>
      </c>
      <c r="AA169" s="16">
        <f t="shared" si="162"/>
        <v>0</v>
      </c>
      <c r="AB169" s="18">
        <f t="shared" si="163"/>
        <v>10</v>
      </c>
      <c r="AC169" s="16">
        <f t="shared" si="164"/>
        <v>95</v>
      </c>
      <c r="AD169" s="19">
        <v>0</v>
      </c>
      <c r="AE169" s="19">
        <v>0</v>
      </c>
      <c r="AF169" s="16">
        <f t="shared" si="165"/>
        <v>0</v>
      </c>
      <c r="AG169" s="16">
        <f t="shared" si="166"/>
        <v>0</v>
      </c>
      <c r="AH169" s="18">
        <f t="shared" si="143"/>
        <v>10</v>
      </c>
      <c r="AI169" s="16">
        <f t="shared" si="144"/>
        <v>95</v>
      </c>
      <c r="AJ169" s="19">
        <v>0</v>
      </c>
      <c r="AK169" s="19">
        <v>0</v>
      </c>
      <c r="AL169" s="16">
        <f t="shared" si="145"/>
        <v>0</v>
      </c>
      <c r="AM169" s="16">
        <f t="shared" si="146"/>
        <v>0</v>
      </c>
      <c r="AN169" s="18">
        <f t="shared" si="147"/>
        <v>10</v>
      </c>
      <c r="AO169" s="16">
        <f t="shared" si="148"/>
        <v>95</v>
      </c>
      <c r="AP169" s="19">
        <v>0</v>
      </c>
      <c r="AQ169" s="19">
        <v>0</v>
      </c>
      <c r="AR169" s="16">
        <f t="shared" si="149"/>
        <v>0</v>
      </c>
      <c r="AS169" s="16">
        <f t="shared" si="150"/>
        <v>0</v>
      </c>
      <c r="AT169" s="18">
        <f t="shared" si="151"/>
        <v>10</v>
      </c>
      <c r="AU169" s="16">
        <f t="shared" si="152"/>
        <v>95</v>
      </c>
      <c r="AV169" s="19">
        <v>0</v>
      </c>
      <c r="AW169" s="19">
        <v>0</v>
      </c>
      <c r="AX169" s="16">
        <f t="shared" si="153"/>
        <v>0</v>
      </c>
      <c r="AY169" s="16">
        <f t="shared" si="154"/>
        <v>0</v>
      </c>
      <c r="AZ169" s="18">
        <f t="shared" si="171"/>
        <v>10</v>
      </c>
      <c r="BA169" s="16">
        <f t="shared" si="172"/>
        <v>95</v>
      </c>
      <c r="BB169" s="19">
        <v>0</v>
      </c>
      <c r="BC169" s="19">
        <v>0</v>
      </c>
      <c r="BD169" s="16">
        <f t="shared" si="173"/>
        <v>0</v>
      </c>
      <c r="BE169" s="16">
        <f t="shared" si="174"/>
        <v>0</v>
      </c>
      <c r="BF169" s="18">
        <f t="shared" si="175"/>
        <v>10</v>
      </c>
      <c r="BG169" s="16">
        <f t="shared" si="176"/>
        <v>95</v>
      </c>
      <c r="BH169" s="19">
        <v>0</v>
      </c>
      <c r="BI169" s="19">
        <v>0</v>
      </c>
      <c r="BJ169" s="16">
        <f t="shared" si="177"/>
        <v>0</v>
      </c>
      <c r="BK169" s="16">
        <f t="shared" si="178"/>
        <v>0</v>
      </c>
      <c r="BL169" s="18">
        <f t="shared" si="179"/>
        <v>10</v>
      </c>
      <c r="BM169" s="16">
        <f t="shared" si="180"/>
        <v>95</v>
      </c>
      <c r="BN169" s="19">
        <v>0</v>
      </c>
      <c r="BO169" s="19">
        <v>0</v>
      </c>
      <c r="BP169" s="16">
        <f t="shared" si="181"/>
        <v>0</v>
      </c>
      <c r="BQ169" s="16">
        <f t="shared" si="182"/>
        <v>0</v>
      </c>
      <c r="BR169" s="18">
        <f t="shared" si="183"/>
        <v>10</v>
      </c>
      <c r="BS169" s="16">
        <f t="shared" si="184"/>
        <v>95</v>
      </c>
      <c r="BT169" s="19">
        <v>0</v>
      </c>
      <c r="BU169" s="19">
        <v>0</v>
      </c>
      <c r="BV169" s="16">
        <f t="shared" si="185"/>
        <v>0</v>
      </c>
      <c r="BW169" s="16">
        <f t="shared" si="186"/>
        <v>0</v>
      </c>
      <c r="BX169" s="18">
        <f t="shared" si="187"/>
        <v>10</v>
      </c>
      <c r="BY169" s="16">
        <f t="shared" si="188"/>
        <v>95</v>
      </c>
      <c r="BZ169" s="19">
        <v>0</v>
      </c>
      <c r="CA169" s="19">
        <v>0</v>
      </c>
      <c r="CB169" s="16">
        <f t="shared" si="189"/>
        <v>0</v>
      </c>
      <c r="CC169" s="16">
        <f t="shared" si="190"/>
        <v>0</v>
      </c>
      <c r="CD169" s="20">
        <f t="shared" si="191"/>
        <v>10</v>
      </c>
      <c r="CE169" s="21">
        <f t="shared" si="168"/>
        <v>95</v>
      </c>
    </row>
    <row r="170" spans="1:85" s="37" customFormat="1" x14ac:dyDescent="0.25">
      <c r="A170" s="23"/>
      <c r="B170" s="70">
        <v>148</v>
      </c>
      <c r="C170" s="174" t="s">
        <v>254</v>
      </c>
      <c r="D170" s="13" t="s">
        <v>255</v>
      </c>
      <c r="E170" s="23"/>
      <c r="F170" s="23"/>
      <c r="G170" s="23"/>
      <c r="H170" s="17">
        <v>17</v>
      </c>
      <c r="I170" s="30">
        <v>1.45</v>
      </c>
      <c r="J170" s="17">
        <v>17</v>
      </c>
      <c r="K170" s="16">
        <f t="shared" si="167"/>
        <v>24.65</v>
      </c>
      <c r="L170" s="19">
        <v>12</v>
      </c>
      <c r="M170" s="19">
        <v>0</v>
      </c>
      <c r="N170" s="16">
        <f t="shared" si="169"/>
        <v>0</v>
      </c>
      <c r="O170" s="16">
        <f t="shared" si="170"/>
        <v>17.399999999999999</v>
      </c>
      <c r="P170" s="18">
        <f t="shared" si="155"/>
        <v>5</v>
      </c>
      <c r="Q170" s="16">
        <f t="shared" si="156"/>
        <v>7.25</v>
      </c>
      <c r="R170" s="19">
        <v>0</v>
      </c>
      <c r="S170" s="18">
        <v>0</v>
      </c>
      <c r="T170" s="16">
        <f t="shared" si="157"/>
        <v>0</v>
      </c>
      <c r="U170" s="16">
        <f t="shared" si="158"/>
        <v>0</v>
      </c>
      <c r="V170" s="18">
        <f t="shared" si="159"/>
        <v>5</v>
      </c>
      <c r="W170" s="16">
        <f t="shared" si="160"/>
        <v>7.25</v>
      </c>
      <c r="X170" s="19">
        <v>0</v>
      </c>
      <c r="Y170" s="19">
        <v>0</v>
      </c>
      <c r="Z170" s="16">
        <f t="shared" si="161"/>
        <v>0</v>
      </c>
      <c r="AA170" s="16">
        <f t="shared" si="162"/>
        <v>0</v>
      </c>
      <c r="AB170" s="18">
        <f t="shared" si="163"/>
        <v>5</v>
      </c>
      <c r="AC170" s="16">
        <f t="shared" si="164"/>
        <v>7.25</v>
      </c>
      <c r="AD170" s="19">
        <v>0</v>
      </c>
      <c r="AE170" s="19">
        <v>0</v>
      </c>
      <c r="AF170" s="16">
        <f t="shared" si="165"/>
        <v>0</v>
      </c>
      <c r="AG170" s="16">
        <f t="shared" si="166"/>
        <v>0</v>
      </c>
      <c r="AH170" s="18">
        <f t="shared" si="143"/>
        <v>5</v>
      </c>
      <c r="AI170" s="16">
        <f t="shared" si="144"/>
        <v>7.25</v>
      </c>
      <c r="AJ170" s="19">
        <v>5</v>
      </c>
      <c r="AK170" s="19">
        <v>0</v>
      </c>
      <c r="AL170" s="16">
        <f t="shared" si="145"/>
        <v>0</v>
      </c>
      <c r="AM170" s="16">
        <f t="shared" si="146"/>
        <v>7.25</v>
      </c>
      <c r="AN170" s="18">
        <f t="shared" si="147"/>
        <v>0</v>
      </c>
      <c r="AO170" s="16">
        <f t="shared" si="148"/>
        <v>0</v>
      </c>
      <c r="AP170" s="19">
        <v>0</v>
      </c>
      <c r="AQ170" s="19">
        <v>0</v>
      </c>
      <c r="AR170" s="16">
        <f t="shared" si="149"/>
        <v>0</v>
      </c>
      <c r="AS170" s="16">
        <f t="shared" si="150"/>
        <v>0</v>
      </c>
      <c r="AT170" s="18">
        <f t="shared" si="151"/>
        <v>0</v>
      </c>
      <c r="AU170" s="16">
        <f t="shared" si="152"/>
        <v>0</v>
      </c>
      <c r="AV170" s="19">
        <v>0</v>
      </c>
      <c r="AW170" s="19">
        <v>0</v>
      </c>
      <c r="AX170" s="16">
        <f t="shared" si="153"/>
        <v>0</v>
      </c>
      <c r="AY170" s="16">
        <f t="shared" si="154"/>
        <v>0</v>
      </c>
      <c r="AZ170" s="18">
        <f t="shared" si="171"/>
        <v>0</v>
      </c>
      <c r="BA170" s="16">
        <f t="shared" si="172"/>
        <v>0</v>
      </c>
      <c r="BB170" s="19">
        <v>0</v>
      </c>
      <c r="BC170" s="19">
        <v>0</v>
      </c>
      <c r="BD170" s="16">
        <f t="shared" si="173"/>
        <v>0</v>
      </c>
      <c r="BE170" s="16">
        <f t="shared" si="174"/>
        <v>0</v>
      </c>
      <c r="BF170" s="18">
        <f t="shared" si="175"/>
        <v>0</v>
      </c>
      <c r="BG170" s="16">
        <f t="shared" si="176"/>
        <v>0</v>
      </c>
      <c r="BH170" s="19">
        <v>0</v>
      </c>
      <c r="BI170" s="19">
        <v>0</v>
      </c>
      <c r="BJ170" s="16">
        <f t="shared" si="177"/>
        <v>0</v>
      </c>
      <c r="BK170" s="16">
        <f t="shared" si="178"/>
        <v>0</v>
      </c>
      <c r="BL170" s="18">
        <f t="shared" si="179"/>
        <v>0</v>
      </c>
      <c r="BM170" s="16">
        <f t="shared" si="180"/>
        <v>0</v>
      </c>
      <c r="BN170" s="19">
        <v>0</v>
      </c>
      <c r="BO170" s="19">
        <v>0</v>
      </c>
      <c r="BP170" s="16">
        <f t="shared" si="181"/>
        <v>0</v>
      </c>
      <c r="BQ170" s="16">
        <f t="shared" si="182"/>
        <v>0</v>
      </c>
      <c r="BR170" s="18">
        <f t="shared" si="183"/>
        <v>0</v>
      </c>
      <c r="BS170" s="16">
        <f t="shared" si="184"/>
        <v>0</v>
      </c>
      <c r="BT170" s="19">
        <v>0</v>
      </c>
      <c r="BU170" s="19">
        <v>0</v>
      </c>
      <c r="BV170" s="16">
        <f t="shared" si="185"/>
        <v>0</v>
      </c>
      <c r="BW170" s="16">
        <f t="shared" si="186"/>
        <v>0</v>
      </c>
      <c r="BX170" s="18">
        <f t="shared" si="187"/>
        <v>0</v>
      </c>
      <c r="BY170" s="16">
        <f t="shared" si="188"/>
        <v>0</v>
      </c>
      <c r="BZ170" s="19">
        <v>0</v>
      </c>
      <c r="CA170" s="19">
        <v>0</v>
      </c>
      <c r="CB170" s="16">
        <f t="shared" si="189"/>
        <v>0</v>
      </c>
      <c r="CC170" s="16">
        <f t="shared" si="190"/>
        <v>0</v>
      </c>
      <c r="CD170" s="20">
        <f t="shared" si="191"/>
        <v>0</v>
      </c>
      <c r="CE170" s="21">
        <f t="shared" si="168"/>
        <v>0</v>
      </c>
    </row>
    <row r="171" spans="1:85" s="37" customFormat="1" x14ac:dyDescent="0.25">
      <c r="A171" s="23"/>
      <c r="B171" s="70">
        <v>149</v>
      </c>
      <c r="C171" s="181"/>
      <c r="D171" s="13" t="s">
        <v>255</v>
      </c>
      <c r="E171" s="23"/>
      <c r="F171" s="23"/>
      <c r="G171" s="23"/>
      <c r="H171" s="17">
        <v>24</v>
      </c>
      <c r="I171" s="30">
        <v>2.65</v>
      </c>
      <c r="J171" s="17">
        <v>24</v>
      </c>
      <c r="K171" s="16">
        <f t="shared" si="167"/>
        <v>63.599999999999994</v>
      </c>
      <c r="L171" s="19">
        <v>0</v>
      </c>
      <c r="M171" s="19">
        <v>0</v>
      </c>
      <c r="N171" s="16">
        <f t="shared" si="169"/>
        <v>0</v>
      </c>
      <c r="O171" s="16">
        <f t="shared" si="170"/>
        <v>0</v>
      </c>
      <c r="P171" s="18">
        <f t="shared" si="155"/>
        <v>24</v>
      </c>
      <c r="Q171" s="16">
        <f t="shared" si="156"/>
        <v>63.599999999999994</v>
      </c>
      <c r="R171" s="19">
        <v>0</v>
      </c>
      <c r="S171" s="18">
        <v>0</v>
      </c>
      <c r="T171" s="16">
        <f t="shared" si="157"/>
        <v>0</v>
      </c>
      <c r="U171" s="16">
        <f t="shared" si="158"/>
        <v>0</v>
      </c>
      <c r="V171" s="18">
        <f t="shared" si="159"/>
        <v>24</v>
      </c>
      <c r="W171" s="16">
        <f t="shared" si="160"/>
        <v>63.599999999999994</v>
      </c>
      <c r="X171" s="19">
        <v>0</v>
      </c>
      <c r="Y171" s="19">
        <v>0</v>
      </c>
      <c r="Z171" s="16">
        <f t="shared" si="161"/>
        <v>0</v>
      </c>
      <c r="AA171" s="16">
        <f t="shared" si="162"/>
        <v>0</v>
      </c>
      <c r="AB171" s="18">
        <f t="shared" si="163"/>
        <v>24</v>
      </c>
      <c r="AC171" s="16">
        <f t="shared" si="164"/>
        <v>63.599999999999994</v>
      </c>
      <c r="AD171" s="19">
        <v>0</v>
      </c>
      <c r="AE171" s="19">
        <v>0</v>
      </c>
      <c r="AF171" s="16">
        <f t="shared" si="165"/>
        <v>0</v>
      </c>
      <c r="AG171" s="16">
        <f t="shared" si="166"/>
        <v>0</v>
      </c>
      <c r="AH171" s="18">
        <f t="shared" si="143"/>
        <v>24</v>
      </c>
      <c r="AI171" s="16">
        <f t="shared" si="144"/>
        <v>63.599999999999994</v>
      </c>
      <c r="AJ171" s="19">
        <v>15</v>
      </c>
      <c r="AK171" s="19">
        <v>0</v>
      </c>
      <c r="AL171" s="16">
        <f t="shared" si="145"/>
        <v>0</v>
      </c>
      <c r="AM171" s="16">
        <f t="shared" si="146"/>
        <v>39.75</v>
      </c>
      <c r="AN171" s="18">
        <f t="shared" si="147"/>
        <v>9</v>
      </c>
      <c r="AO171" s="16">
        <f t="shared" si="148"/>
        <v>23.849999999999998</v>
      </c>
      <c r="AP171" s="19">
        <v>0</v>
      </c>
      <c r="AQ171" s="19">
        <v>0</v>
      </c>
      <c r="AR171" s="16">
        <f t="shared" si="149"/>
        <v>0</v>
      </c>
      <c r="AS171" s="16">
        <f t="shared" si="150"/>
        <v>0</v>
      </c>
      <c r="AT171" s="18">
        <f t="shared" si="151"/>
        <v>9</v>
      </c>
      <c r="AU171" s="16">
        <f t="shared" si="152"/>
        <v>23.849999999999998</v>
      </c>
      <c r="AV171" s="19">
        <v>0</v>
      </c>
      <c r="AW171" s="19">
        <v>0</v>
      </c>
      <c r="AX171" s="16">
        <f t="shared" si="153"/>
        <v>0</v>
      </c>
      <c r="AY171" s="16">
        <f t="shared" si="154"/>
        <v>0</v>
      </c>
      <c r="AZ171" s="18">
        <f t="shared" si="171"/>
        <v>9</v>
      </c>
      <c r="BA171" s="16">
        <f t="shared" si="172"/>
        <v>23.849999999999998</v>
      </c>
      <c r="BB171" s="19">
        <v>0</v>
      </c>
      <c r="BC171" s="19">
        <v>0</v>
      </c>
      <c r="BD171" s="16">
        <f t="shared" si="173"/>
        <v>0</v>
      </c>
      <c r="BE171" s="16">
        <f t="shared" si="174"/>
        <v>0</v>
      </c>
      <c r="BF171" s="18">
        <f t="shared" si="175"/>
        <v>9</v>
      </c>
      <c r="BG171" s="16">
        <f t="shared" si="176"/>
        <v>23.849999999999998</v>
      </c>
      <c r="BH171" s="19">
        <v>0</v>
      </c>
      <c r="BI171" s="19">
        <v>0</v>
      </c>
      <c r="BJ171" s="16">
        <f t="shared" si="177"/>
        <v>0</v>
      </c>
      <c r="BK171" s="16">
        <f t="shared" si="178"/>
        <v>0</v>
      </c>
      <c r="BL171" s="18">
        <f t="shared" si="179"/>
        <v>9</v>
      </c>
      <c r="BM171" s="16">
        <f t="shared" si="180"/>
        <v>23.849999999999998</v>
      </c>
      <c r="BN171" s="19">
        <v>0</v>
      </c>
      <c r="BO171" s="19">
        <v>0</v>
      </c>
      <c r="BP171" s="16">
        <f t="shared" si="181"/>
        <v>0</v>
      </c>
      <c r="BQ171" s="16">
        <f t="shared" si="182"/>
        <v>0</v>
      </c>
      <c r="BR171" s="18">
        <f t="shared" si="183"/>
        <v>9</v>
      </c>
      <c r="BS171" s="16">
        <f t="shared" si="184"/>
        <v>23.849999999999998</v>
      </c>
      <c r="BT171" s="19">
        <v>0</v>
      </c>
      <c r="BU171" s="19">
        <v>0</v>
      </c>
      <c r="BV171" s="16">
        <f t="shared" si="185"/>
        <v>0</v>
      </c>
      <c r="BW171" s="16">
        <f t="shared" si="186"/>
        <v>0</v>
      </c>
      <c r="BX171" s="18">
        <f t="shared" si="187"/>
        <v>9</v>
      </c>
      <c r="BY171" s="16">
        <f t="shared" si="188"/>
        <v>23.849999999999998</v>
      </c>
      <c r="BZ171" s="19">
        <v>0</v>
      </c>
      <c r="CA171" s="19">
        <v>0</v>
      </c>
      <c r="CB171" s="16">
        <f t="shared" si="189"/>
        <v>0</v>
      </c>
      <c r="CC171" s="16">
        <f t="shared" si="190"/>
        <v>0</v>
      </c>
      <c r="CD171" s="20">
        <f t="shared" si="191"/>
        <v>9</v>
      </c>
      <c r="CE171" s="21">
        <f t="shared" si="168"/>
        <v>23.849999999999998</v>
      </c>
    </row>
    <row r="172" spans="1:85" s="37" customFormat="1" x14ac:dyDescent="0.25">
      <c r="A172" s="23"/>
      <c r="B172" s="70"/>
      <c r="C172" s="175"/>
      <c r="D172" s="13" t="s">
        <v>255</v>
      </c>
      <c r="E172" s="23"/>
      <c r="F172" s="23"/>
      <c r="G172" s="23"/>
      <c r="H172" s="17"/>
      <c r="I172" s="30">
        <v>2.73</v>
      </c>
      <c r="J172" s="17"/>
      <c r="K172" s="16"/>
      <c r="L172" s="19"/>
      <c r="M172" s="19"/>
      <c r="N172" s="16"/>
      <c r="O172" s="16"/>
      <c r="P172" s="18"/>
      <c r="Q172" s="16"/>
      <c r="R172" s="19"/>
      <c r="S172" s="18"/>
      <c r="T172" s="16"/>
      <c r="U172" s="16"/>
      <c r="V172" s="18"/>
      <c r="W172" s="16"/>
      <c r="X172" s="19"/>
      <c r="Y172" s="19"/>
      <c r="Z172" s="16"/>
      <c r="AA172" s="16"/>
      <c r="AB172" s="18">
        <f t="shared" si="163"/>
        <v>0</v>
      </c>
      <c r="AC172" s="16">
        <f t="shared" si="164"/>
        <v>0</v>
      </c>
      <c r="AD172" s="19">
        <v>0</v>
      </c>
      <c r="AE172" s="19">
        <v>0</v>
      </c>
      <c r="AF172" s="16">
        <v>0</v>
      </c>
      <c r="AG172" s="16">
        <v>0</v>
      </c>
      <c r="AH172" s="18">
        <f t="shared" si="143"/>
        <v>0</v>
      </c>
      <c r="AI172" s="16">
        <f t="shared" si="144"/>
        <v>0</v>
      </c>
      <c r="AJ172" s="19">
        <v>0</v>
      </c>
      <c r="AK172" s="19">
        <v>21</v>
      </c>
      <c r="AL172" s="16">
        <f t="shared" si="145"/>
        <v>57.33</v>
      </c>
      <c r="AM172" s="16">
        <f t="shared" si="146"/>
        <v>0</v>
      </c>
      <c r="AN172" s="18">
        <f t="shared" si="147"/>
        <v>21</v>
      </c>
      <c r="AO172" s="16">
        <f t="shared" si="148"/>
        <v>57.33</v>
      </c>
      <c r="AP172" s="19">
        <v>0</v>
      </c>
      <c r="AQ172" s="19">
        <v>0</v>
      </c>
      <c r="AR172" s="16">
        <f t="shared" si="149"/>
        <v>0</v>
      </c>
      <c r="AS172" s="16">
        <f t="shared" si="150"/>
        <v>0</v>
      </c>
      <c r="AT172" s="18">
        <f t="shared" si="151"/>
        <v>21</v>
      </c>
      <c r="AU172" s="16">
        <f t="shared" si="152"/>
        <v>57.33</v>
      </c>
      <c r="AV172" s="19">
        <v>0</v>
      </c>
      <c r="AW172" s="19">
        <v>0</v>
      </c>
      <c r="AX172" s="16">
        <f t="shared" si="153"/>
        <v>0</v>
      </c>
      <c r="AY172" s="16">
        <f t="shared" si="154"/>
        <v>0</v>
      </c>
      <c r="AZ172" s="18">
        <f t="shared" si="171"/>
        <v>21</v>
      </c>
      <c r="BA172" s="16">
        <f t="shared" si="172"/>
        <v>57.33</v>
      </c>
      <c r="BB172" s="19">
        <v>0</v>
      </c>
      <c r="BC172" s="19">
        <v>0</v>
      </c>
      <c r="BD172" s="16">
        <f t="shared" si="173"/>
        <v>0</v>
      </c>
      <c r="BE172" s="16">
        <f t="shared" si="174"/>
        <v>0</v>
      </c>
      <c r="BF172" s="18">
        <f t="shared" si="175"/>
        <v>21</v>
      </c>
      <c r="BG172" s="16">
        <f t="shared" si="176"/>
        <v>57.33</v>
      </c>
      <c r="BH172" s="19">
        <v>0</v>
      </c>
      <c r="BI172" s="19">
        <v>0</v>
      </c>
      <c r="BJ172" s="16"/>
      <c r="BK172" s="16"/>
      <c r="BL172" s="18"/>
      <c r="BM172" s="16"/>
      <c r="BN172" s="19"/>
      <c r="BO172" s="19"/>
      <c r="BP172" s="16"/>
      <c r="BQ172" s="16"/>
      <c r="BR172" s="18"/>
      <c r="BS172" s="16"/>
      <c r="BT172" s="19"/>
      <c r="BU172" s="19"/>
      <c r="BV172" s="16"/>
      <c r="BW172" s="16"/>
      <c r="BX172" s="18"/>
      <c r="BY172" s="16"/>
      <c r="BZ172" s="19"/>
      <c r="CA172" s="19"/>
      <c r="CB172" s="16"/>
      <c r="CC172" s="16"/>
      <c r="CD172" s="20"/>
      <c r="CE172" s="21"/>
    </row>
    <row r="173" spans="1:85" x14ac:dyDescent="0.25">
      <c r="A173" s="23">
        <v>107</v>
      </c>
      <c r="B173" s="70">
        <v>150</v>
      </c>
      <c r="C173" s="79" t="s">
        <v>256</v>
      </c>
      <c r="D173" s="35" t="s">
        <v>257</v>
      </c>
      <c r="E173" s="23">
        <v>30</v>
      </c>
      <c r="F173" s="23">
        <v>40</v>
      </c>
      <c r="G173" s="23">
        <v>60</v>
      </c>
      <c r="H173" s="34">
        <v>108</v>
      </c>
      <c r="I173" s="30">
        <v>0.48</v>
      </c>
      <c r="J173" s="34">
        <v>108</v>
      </c>
      <c r="K173" s="16">
        <f t="shared" si="167"/>
        <v>51.839999999999996</v>
      </c>
      <c r="L173" s="19">
        <v>1</v>
      </c>
      <c r="M173" s="19">
        <v>0</v>
      </c>
      <c r="N173" s="16">
        <f t="shared" si="169"/>
        <v>0</v>
      </c>
      <c r="O173" s="16">
        <f t="shared" si="170"/>
        <v>0.48</v>
      </c>
      <c r="P173" s="18">
        <f t="shared" si="155"/>
        <v>107</v>
      </c>
      <c r="Q173" s="16">
        <f t="shared" si="156"/>
        <v>51.36</v>
      </c>
      <c r="R173" s="19">
        <v>0</v>
      </c>
      <c r="S173" s="18">
        <v>0</v>
      </c>
      <c r="T173" s="16">
        <f t="shared" si="157"/>
        <v>0</v>
      </c>
      <c r="U173" s="16">
        <f t="shared" si="158"/>
        <v>0</v>
      </c>
      <c r="V173" s="18">
        <f t="shared" si="159"/>
        <v>107</v>
      </c>
      <c r="W173" s="16">
        <f t="shared" si="160"/>
        <v>51.36</v>
      </c>
      <c r="X173" s="19">
        <v>0</v>
      </c>
      <c r="Y173" s="19">
        <v>0</v>
      </c>
      <c r="Z173" s="16">
        <f t="shared" si="161"/>
        <v>0</v>
      </c>
      <c r="AA173" s="16">
        <f t="shared" si="162"/>
        <v>0</v>
      </c>
      <c r="AB173" s="18">
        <f t="shared" si="163"/>
        <v>107</v>
      </c>
      <c r="AC173" s="16">
        <f t="shared" si="164"/>
        <v>51.36</v>
      </c>
      <c r="AD173" s="19">
        <v>0</v>
      </c>
      <c r="AE173" s="19">
        <v>0</v>
      </c>
      <c r="AF173" s="16">
        <f t="shared" si="165"/>
        <v>0</v>
      </c>
      <c r="AG173" s="16">
        <f t="shared" si="166"/>
        <v>0</v>
      </c>
      <c r="AH173" s="18">
        <f t="shared" si="143"/>
        <v>107</v>
      </c>
      <c r="AI173" s="16">
        <f t="shared" si="144"/>
        <v>51.36</v>
      </c>
      <c r="AJ173" s="19">
        <v>0</v>
      </c>
      <c r="AK173" s="19">
        <v>0</v>
      </c>
      <c r="AL173" s="16">
        <f t="shared" si="145"/>
        <v>0</v>
      </c>
      <c r="AM173" s="16">
        <f t="shared" si="146"/>
        <v>0</v>
      </c>
      <c r="AN173" s="18">
        <f t="shared" si="147"/>
        <v>107</v>
      </c>
      <c r="AO173" s="16">
        <f t="shared" si="148"/>
        <v>51.36</v>
      </c>
      <c r="AP173" s="19">
        <v>0</v>
      </c>
      <c r="AQ173" s="19">
        <v>0</v>
      </c>
      <c r="AR173" s="16">
        <f t="shared" si="149"/>
        <v>0</v>
      </c>
      <c r="AS173" s="16">
        <f t="shared" si="150"/>
        <v>0</v>
      </c>
      <c r="AT173" s="18">
        <f t="shared" si="151"/>
        <v>107</v>
      </c>
      <c r="AU173" s="16">
        <f t="shared" si="152"/>
        <v>51.36</v>
      </c>
      <c r="AV173" s="19">
        <v>0</v>
      </c>
      <c r="AW173" s="19">
        <v>0</v>
      </c>
      <c r="AX173" s="16">
        <f t="shared" si="153"/>
        <v>0</v>
      </c>
      <c r="AY173" s="16">
        <f t="shared" si="154"/>
        <v>0</v>
      </c>
      <c r="AZ173" s="18">
        <f t="shared" si="171"/>
        <v>107</v>
      </c>
      <c r="BA173" s="16">
        <f t="shared" si="172"/>
        <v>51.36</v>
      </c>
      <c r="BB173" s="19">
        <v>0</v>
      </c>
      <c r="BC173" s="19">
        <v>0</v>
      </c>
      <c r="BD173" s="16">
        <f t="shared" si="173"/>
        <v>0</v>
      </c>
      <c r="BE173" s="16">
        <f t="shared" si="174"/>
        <v>0</v>
      </c>
      <c r="BF173" s="18">
        <f t="shared" si="175"/>
        <v>107</v>
      </c>
      <c r="BG173" s="16">
        <f t="shared" si="176"/>
        <v>51.36</v>
      </c>
      <c r="BH173" s="19">
        <v>0</v>
      </c>
      <c r="BI173" s="19">
        <v>0</v>
      </c>
      <c r="BJ173" s="16">
        <f t="shared" si="177"/>
        <v>0</v>
      </c>
      <c r="BK173" s="16">
        <f t="shared" si="178"/>
        <v>0</v>
      </c>
      <c r="BL173" s="18">
        <f t="shared" si="179"/>
        <v>107</v>
      </c>
      <c r="BM173" s="16">
        <f t="shared" si="180"/>
        <v>51.36</v>
      </c>
      <c r="BN173" s="19">
        <v>0</v>
      </c>
      <c r="BO173" s="19">
        <v>0</v>
      </c>
      <c r="BP173" s="16">
        <f t="shared" si="181"/>
        <v>0</v>
      </c>
      <c r="BQ173" s="16">
        <f t="shared" si="182"/>
        <v>0</v>
      </c>
      <c r="BR173" s="18">
        <f t="shared" si="183"/>
        <v>107</v>
      </c>
      <c r="BS173" s="16">
        <f t="shared" si="184"/>
        <v>51.36</v>
      </c>
      <c r="BT173" s="19">
        <v>0</v>
      </c>
      <c r="BU173" s="19">
        <v>0</v>
      </c>
      <c r="BV173" s="16">
        <f t="shared" si="185"/>
        <v>0</v>
      </c>
      <c r="BW173" s="16">
        <f t="shared" si="186"/>
        <v>0</v>
      </c>
      <c r="BX173" s="18">
        <f t="shared" si="187"/>
        <v>107</v>
      </c>
      <c r="BY173" s="16">
        <f t="shared" si="188"/>
        <v>51.36</v>
      </c>
      <c r="BZ173" s="19">
        <v>0</v>
      </c>
      <c r="CA173" s="19">
        <v>0</v>
      </c>
      <c r="CB173" s="16">
        <f t="shared" si="189"/>
        <v>0</v>
      </c>
      <c r="CC173" s="16">
        <f t="shared" si="190"/>
        <v>0</v>
      </c>
      <c r="CD173" s="20">
        <f t="shared" si="191"/>
        <v>107</v>
      </c>
      <c r="CE173" s="21">
        <f t="shared" si="168"/>
        <v>51.36</v>
      </c>
      <c r="CG173" s="1" t="s">
        <v>455</v>
      </c>
    </row>
    <row r="174" spans="1:85" s="78" customFormat="1" x14ac:dyDescent="0.25">
      <c r="A174" s="76">
        <v>108</v>
      </c>
      <c r="B174" s="70">
        <v>151</v>
      </c>
      <c r="C174" s="92" t="s">
        <v>258</v>
      </c>
      <c r="D174" s="93" t="s">
        <v>259</v>
      </c>
      <c r="E174" s="94">
        <v>50</v>
      </c>
      <c r="F174" s="94">
        <v>100</v>
      </c>
      <c r="G174" s="94">
        <v>150</v>
      </c>
      <c r="H174" s="95">
        <v>127</v>
      </c>
      <c r="I174" s="96">
        <v>5.3</v>
      </c>
      <c r="J174" s="77">
        <v>127</v>
      </c>
      <c r="K174" s="16">
        <f t="shared" si="167"/>
        <v>673.1</v>
      </c>
      <c r="L174" s="19">
        <v>0</v>
      </c>
      <c r="M174" s="19">
        <v>0</v>
      </c>
      <c r="N174" s="16">
        <f t="shared" si="169"/>
        <v>0</v>
      </c>
      <c r="O174" s="16">
        <f t="shared" si="170"/>
        <v>0</v>
      </c>
      <c r="P174" s="18">
        <f t="shared" si="155"/>
        <v>127</v>
      </c>
      <c r="Q174" s="16">
        <f t="shared" si="156"/>
        <v>673.1</v>
      </c>
      <c r="R174" s="19">
        <v>0</v>
      </c>
      <c r="S174" s="18">
        <v>0</v>
      </c>
      <c r="T174" s="16">
        <f t="shared" si="157"/>
        <v>0</v>
      </c>
      <c r="U174" s="16">
        <f t="shared" si="158"/>
        <v>0</v>
      </c>
      <c r="V174" s="18">
        <f t="shared" si="159"/>
        <v>127</v>
      </c>
      <c r="W174" s="16">
        <f t="shared" si="160"/>
        <v>673.1</v>
      </c>
      <c r="X174" s="19">
        <v>0</v>
      </c>
      <c r="Y174" s="19">
        <v>0</v>
      </c>
      <c r="Z174" s="16">
        <f t="shared" si="161"/>
        <v>0</v>
      </c>
      <c r="AA174" s="16">
        <f t="shared" si="162"/>
        <v>0</v>
      </c>
      <c r="AB174" s="18">
        <f t="shared" si="163"/>
        <v>127</v>
      </c>
      <c r="AC174" s="16">
        <f t="shared" si="164"/>
        <v>673.1</v>
      </c>
      <c r="AD174" s="19">
        <v>0</v>
      </c>
      <c r="AE174" s="19">
        <v>0</v>
      </c>
      <c r="AF174" s="16">
        <f t="shared" si="165"/>
        <v>0</v>
      </c>
      <c r="AG174" s="16">
        <f t="shared" si="166"/>
        <v>0</v>
      </c>
      <c r="AH174" s="18">
        <f t="shared" si="143"/>
        <v>127</v>
      </c>
      <c r="AI174" s="16">
        <f t="shared" si="144"/>
        <v>673.1</v>
      </c>
      <c r="AJ174" s="19">
        <v>0</v>
      </c>
      <c r="AK174" s="19">
        <v>0</v>
      </c>
      <c r="AL174" s="16">
        <f t="shared" si="145"/>
        <v>0</v>
      </c>
      <c r="AM174" s="16">
        <f t="shared" si="146"/>
        <v>0</v>
      </c>
      <c r="AN174" s="18">
        <f t="shared" si="147"/>
        <v>127</v>
      </c>
      <c r="AO174" s="16">
        <f t="shared" si="148"/>
        <v>673.1</v>
      </c>
      <c r="AP174" s="19">
        <v>0</v>
      </c>
      <c r="AQ174" s="19">
        <v>0</v>
      </c>
      <c r="AR174" s="16">
        <f t="shared" si="149"/>
        <v>0</v>
      </c>
      <c r="AS174" s="16">
        <f t="shared" si="150"/>
        <v>0</v>
      </c>
      <c r="AT174" s="18">
        <f t="shared" si="151"/>
        <v>127</v>
      </c>
      <c r="AU174" s="16">
        <f t="shared" si="152"/>
        <v>673.1</v>
      </c>
      <c r="AV174" s="19">
        <v>0</v>
      </c>
      <c r="AW174" s="19">
        <v>0</v>
      </c>
      <c r="AX174" s="16">
        <f t="shared" si="153"/>
        <v>0</v>
      </c>
      <c r="AY174" s="16">
        <f t="shared" si="154"/>
        <v>0</v>
      </c>
      <c r="AZ174" s="18">
        <f t="shared" si="171"/>
        <v>127</v>
      </c>
      <c r="BA174" s="16">
        <f t="shared" si="172"/>
        <v>673.1</v>
      </c>
      <c r="BB174" s="19">
        <v>0</v>
      </c>
      <c r="BC174" s="19">
        <v>0</v>
      </c>
      <c r="BD174" s="16">
        <f t="shared" si="173"/>
        <v>0</v>
      </c>
      <c r="BE174" s="16">
        <f t="shared" si="174"/>
        <v>0</v>
      </c>
      <c r="BF174" s="18">
        <f t="shared" si="175"/>
        <v>127</v>
      </c>
      <c r="BG174" s="16">
        <f t="shared" si="176"/>
        <v>673.1</v>
      </c>
      <c r="BH174" s="19">
        <v>0</v>
      </c>
      <c r="BI174" s="19">
        <v>0</v>
      </c>
      <c r="BJ174" s="16">
        <f t="shared" si="177"/>
        <v>0</v>
      </c>
      <c r="BK174" s="16">
        <f t="shared" si="178"/>
        <v>0</v>
      </c>
      <c r="BL174" s="18">
        <f t="shared" si="179"/>
        <v>127</v>
      </c>
      <c r="BM174" s="16">
        <f t="shared" si="180"/>
        <v>673.1</v>
      </c>
      <c r="BN174" s="19">
        <v>0</v>
      </c>
      <c r="BO174" s="19">
        <v>0</v>
      </c>
      <c r="BP174" s="16">
        <f t="shared" si="181"/>
        <v>0</v>
      </c>
      <c r="BQ174" s="16">
        <f t="shared" si="182"/>
        <v>0</v>
      </c>
      <c r="BR174" s="18">
        <f t="shared" si="183"/>
        <v>127</v>
      </c>
      <c r="BS174" s="16">
        <f t="shared" si="184"/>
        <v>673.1</v>
      </c>
      <c r="BT174" s="19">
        <v>0</v>
      </c>
      <c r="BU174" s="19">
        <v>0</v>
      </c>
      <c r="BV174" s="16">
        <f t="shared" si="185"/>
        <v>0</v>
      </c>
      <c r="BW174" s="16">
        <f t="shared" si="186"/>
        <v>0</v>
      </c>
      <c r="BX174" s="18">
        <f t="shared" si="187"/>
        <v>127</v>
      </c>
      <c r="BY174" s="16">
        <f t="shared" si="188"/>
        <v>673.1</v>
      </c>
      <c r="BZ174" s="19">
        <v>0</v>
      </c>
      <c r="CA174" s="19">
        <v>0</v>
      </c>
      <c r="CB174" s="16">
        <f t="shared" si="189"/>
        <v>0</v>
      </c>
      <c r="CC174" s="16">
        <f t="shared" si="190"/>
        <v>0</v>
      </c>
      <c r="CD174" s="20">
        <f t="shared" si="191"/>
        <v>127</v>
      </c>
      <c r="CE174" s="21">
        <f t="shared" si="168"/>
        <v>673.1</v>
      </c>
      <c r="CG174" s="78" t="s">
        <v>455</v>
      </c>
    </row>
    <row r="175" spans="1:85" x14ac:dyDescent="0.25">
      <c r="A175" s="23"/>
      <c r="B175" s="70">
        <v>152</v>
      </c>
      <c r="C175" s="174" t="s">
        <v>260</v>
      </c>
      <c r="D175" s="13" t="s">
        <v>389</v>
      </c>
      <c r="E175" s="80"/>
      <c r="F175" s="80"/>
      <c r="G175" s="80"/>
      <c r="H175" s="17">
        <v>13</v>
      </c>
      <c r="I175" s="30">
        <v>4.7</v>
      </c>
      <c r="J175" s="17">
        <v>13</v>
      </c>
      <c r="K175" s="16">
        <f t="shared" si="167"/>
        <v>61.1</v>
      </c>
      <c r="L175" s="19">
        <v>0</v>
      </c>
      <c r="M175" s="19">
        <v>0</v>
      </c>
      <c r="N175" s="16">
        <f t="shared" si="169"/>
        <v>0</v>
      </c>
      <c r="O175" s="16">
        <f t="shared" si="170"/>
        <v>0</v>
      </c>
      <c r="P175" s="18">
        <f t="shared" si="155"/>
        <v>13</v>
      </c>
      <c r="Q175" s="16">
        <f t="shared" si="156"/>
        <v>61.1</v>
      </c>
      <c r="R175" s="19">
        <v>0</v>
      </c>
      <c r="S175" s="18">
        <v>0</v>
      </c>
      <c r="T175" s="16">
        <f t="shared" si="157"/>
        <v>0</v>
      </c>
      <c r="U175" s="16">
        <f t="shared" si="158"/>
        <v>0</v>
      </c>
      <c r="V175" s="18">
        <f t="shared" si="159"/>
        <v>13</v>
      </c>
      <c r="W175" s="16">
        <f t="shared" si="160"/>
        <v>61.1</v>
      </c>
      <c r="X175" s="19">
        <v>0</v>
      </c>
      <c r="Y175" s="19">
        <v>0</v>
      </c>
      <c r="Z175" s="16">
        <f t="shared" si="161"/>
        <v>0</v>
      </c>
      <c r="AA175" s="16">
        <f t="shared" si="162"/>
        <v>0</v>
      </c>
      <c r="AB175" s="18">
        <f t="shared" si="163"/>
        <v>13</v>
      </c>
      <c r="AC175" s="16">
        <f t="shared" si="164"/>
        <v>61.1</v>
      </c>
      <c r="AD175" s="19">
        <v>0</v>
      </c>
      <c r="AE175" s="19">
        <v>0</v>
      </c>
      <c r="AF175" s="16">
        <f t="shared" si="165"/>
        <v>0</v>
      </c>
      <c r="AG175" s="16">
        <f t="shared" si="166"/>
        <v>0</v>
      </c>
      <c r="AH175" s="18">
        <f t="shared" si="143"/>
        <v>13</v>
      </c>
      <c r="AI175" s="16">
        <f t="shared" si="144"/>
        <v>61.1</v>
      </c>
      <c r="AJ175" s="19">
        <v>0</v>
      </c>
      <c r="AK175" s="19">
        <v>0</v>
      </c>
      <c r="AL175" s="16">
        <f t="shared" si="145"/>
        <v>0</v>
      </c>
      <c r="AM175" s="16">
        <f t="shared" si="146"/>
        <v>0</v>
      </c>
      <c r="AN175" s="18">
        <f t="shared" si="147"/>
        <v>13</v>
      </c>
      <c r="AO175" s="16">
        <f t="shared" si="148"/>
        <v>61.1</v>
      </c>
      <c r="AP175" s="19">
        <v>0</v>
      </c>
      <c r="AQ175" s="19">
        <v>0</v>
      </c>
      <c r="AR175" s="16">
        <f t="shared" si="149"/>
        <v>0</v>
      </c>
      <c r="AS175" s="16">
        <f t="shared" si="150"/>
        <v>0</v>
      </c>
      <c r="AT175" s="18">
        <f t="shared" si="151"/>
        <v>13</v>
      </c>
      <c r="AU175" s="16">
        <f t="shared" si="152"/>
        <v>61.1</v>
      </c>
      <c r="AV175" s="19">
        <v>0</v>
      </c>
      <c r="AW175" s="19">
        <v>0</v>
      </c>
      <c r="AX175" s="16">
        <f t="shared" si="153"/>
        <v>0</v>
      </c>
      <c r="AY175" s="16">
        <f t="shared" si="154"/>
        <v>0</v>
      </c>
      <c r="AZ175" s="18">
        <f t="shared" si="171"/>
        <v>13</v>
      </c>
      <c r="BA175" s="16">
        <f t="shared" si="172"/>
        <v>61.1</v>
      </c>
      <c r="BB175" s="19">
        <v>0</v>
      </c>
      <c r="BC175" s="19">
        <v>0</v>
      </c>
      <c r="BD175" s="16">
        <f t="shared" si="173"/>
        <v>0</v>
      </c>
      <c r="BE175" s="16">
        <f t="shared" si="174"/>
        <v>0</v>
      </c>
      <c r="BF175" s="18">
        <f t="shared" si="175"/>
        <v>13</v>
      </c>
      <c r="BG175" s="16">
        <f t="shared" si="176"/>
        <v>61.1</v>
      </c>
      <c r="BH175" s="19">
        <v>0</v>
      </c>
      <c r="BI175" s="19">
        <v>0</v>
      </c>
      <c r="BJ175" s="16">
        <f t="shared" si="177"/>
        <v>0</v>
      </c>
      <c r="BK175" s="16">
        <f t="shared" si="178"/>
        <v>0</v>
      </c>
      <c r="BL175" s="18">
        <f t="shared" si="179"/>
        <v>13</v>
      </c>
      <c r="BM175" s="16">
        <f t="shared" si="180"/>
        <v>61.1</v>
      </c>
      <c r="BN175" s="19">
        <v>0</v>
      </c>
      <c r="BO175" s="19">
        <v>0</v>
      </c>
      <c r="BP175" s="16">
        <f t="shared" si="181"/>
        <v>0</v>
      </c>
      <c r="BQ175" s="16">
        <f t="shared" si="182"/>
        <v>0</v>
      </c>
      <c r="BR175" s="18">
        <f t="shared" si="183"/>
        <v>13</v>
      </c>
      <c r="BS175" s="16">
        <f t="shared" si="184"/>
        <v>61.1</v>
      </c>
      <c r="BT175" s="19">
        <v>0</v>
      </c>
      <c r="BU175" s="19">
        <v>0</v>
      </c>
      <c r="BV175" s="16">
        <f t="shared" si="185"/>
        <v>0</v>
      </c>
      <c r="BW175" s="16">
        <f t="shared" si="186"/>
        <v>0</v>
      </c>
      <c r="BX175" s="18">
        <f t="shared" si="187"/>
        <v>13</v>
      </c>
      <c r="BY175" s="16">
        <f t="shared" si="188"/>
        <v>61.1</v>
      </c>
      <c r="BZ175" s="19">
        <v>0</v>
      </c>
      <c r="CA175" s="19">
        <v>0</v>
      </c>
      <c r="CB175" s="16">
        <f t="shared" si="189"/>
        <v>0</v>
      </c>
      <c r="CC175" s="16">
        <f t="shared" si="190"/>
        <v>0</v>
      </c>
      <c r="CD175" s="20">
        <f t="shared" si="191"/>
        <v>13</v>
      </c>
      <c r="CE175" s="21">
        <f t="shared" si="168"/>
        <v>61.1</v>
      </c>
      <c r="CG175" s="1" t="s">
        <v>455</v>
      </c>
    </row>
    <row r="176" spans="1:85" x14ac:dyDescent="0.25">
      <c r="A176" s="23"/>
      <c r="B176" s="70">
        <v>153</v>
      </c>
      <c r="C176" s="175"/>
      <c r="D176" s="13" t="s">
        <v>261</v>
      </c>
      <c r="E176" s="80"/>
      <c r="F176" s="80"/>
      <c r="G176" s="80"/>
      <c r="H176" s="17">
        <v>30</v>
      </c>
      <c r="I176" s="30">
        <v>7.2</v>
      </c>
      <c r="J176" s="17">
        <v>30</v>
      </c>
      <c r="K176" s="16">
        <f t="shared" si="167"/>
        <v>216</v>
      </c>
      <c r="L176" s="19">
        <v>0</v>
      </c>
      <c r="M176" s="19">
        <v>0</v>
      </c>
      <c r="N176" s="16">
        <f t="shared" si="169"/>
        <v>0</v>
      </c>
      <c r="O176" s="16">
        <f t="shared" si="170"/>
        <v>0</v>
      </c>
      <c r="P176" s="18">
        <f t="shared" si="155"/>
        <v>30</v>
      </c>
      <c r="Q176" s="16">
        <f t="shared" si="156"/>
        <v>216</v>
      </c>
      <c r="R176" s="19">
        <v>0</v>
      </c>
      <c r="S176" s="18">
        <v>0</v>
      </c>
      <c r="T176" s="16">
        <f t="shared" si="157"/>
        <v>0</v>
      </c>
      <c r="U176" s="16">
        <f t="shared" si="158"/>
        <v>0</v>
      </c>
      <c r="V176" s="18">
        <f t="shared" si="159"/>
        <v>30</v>
      </c>
      <c r="W176" s="16">
        <f t="shared" si="160"/>
        <v>216</v>
      </c>
      <c r="X176" s="19">
        <v>0</v>
      </c>
      <c r="Y176" s="19">
        <v>0</v>
      </c>
      <c r="Z176" s="16">
        <f t="shared" si="161"/>
        <v>0</v>
      </c>
      <c r="AA176" s="16">
        <f t="shared" si="162"/>
        <v>0</v>
      </c>
      <c r="AB176" s="18">
        <f t="shared" si="163"/>
        <v>30</v>
      </c>
      <c r="AC176" s="16">
        <f t="shared" si="164"/>
        <v>216</v>
      </c>
      <c r="AD176" s="19">
        <v>0</v>
      </c>
      <c r="AE176" s="19">
        <v>0</v>
      </c>
      <c r="AF176" s="16">
        <f t="shared" si="165"/>
        <v>0</v>
      </c>
      <c r="AG176" s="16">
        <f t="shared" si="166"/>
        <v>0</v>
      </c>
      <c r="AH176" s="18">
        <f t="shared" si="143"/>
        <v>30</v>
      </c>
      <c r="AI176" s="16">
        <f t="shared" si="144"/>
        <v>216</v>
      </c>
      <c r="AJ176" s="19">
        <v>0</v>
      </c>
      <c r="AK176" s="19">
        <v>0</v>
      </c>
      <c r="AL176" s="16">
        <f t="shared" si="145"/>
        <v>0</v>
      </c>
      <c r="AM176" s="16">
        <f t="shared" si="146"/>
        <v>0</v>
      </c>
      <c r="AN176" s="18">
        <f t="shared" si="147"/>
        <v>30</v>
      </c>
      <c r="AO176" s="16">
        <f t="shared" si="148"/>
        <v>216</v>
      </c>
      <c r="AP176" s="19">
        <v>0</v>
      </c>
      <c r="AQ176" s="19">
        <v>0</v>
      </c>
      <c r="AR176" s="16">
        <f t="shared" si="149"/>
        <v>0</v>
      </c>
      <c r="AS176" s="16">
        <f t="shared" si="150"/>
        <v>0</v>
      </c>
      <c r="AT176" s="18">
        <f t="shared" si="151"/>
        <v>30</v>
      </c>
      <c r="AU176" s="16">
        <f t="shared" si="152"/>
        <v>216</v>
      </c>
      <c r="AV176" s="19">
        <v>0</v>
      </c>
      <c r="AW176" s="19">
        <v>0</v>
      </c>
      <c r="AX176" s="16">
        <f t="shared" si="153"/>
        <v>0</v>
      </c>
      <c r="AY176" s="16">
        <f t="shared" si="154"/>
        <v>0</v>
      </c>
      <c r="AZ176" s="18">
        <f t="shared" si="171"/>
        <v>30</v>
      </c>
      <c r="BA176" s="16">
        <f t="shared" si="172"/>
        <v>216</v>
      </c>
      <c r="BB176" s="19">
        <v>0</v>
      </c>
      <c r="BC176" s="19">
        <v>0</v>
      </c>
      <c r="BD176" s="16">
        <f t="shared" si="173"/>
        <v>0</v>
      </c>
      <c r="BE176" s="16">
        <f t="shared" si="174"/>
        <v>0</v>
      </c>
      <c r="BF176" s="18">
        <f t="shared" si="175"/>
        <v>30</v>
      </c>
      <c r="BG176" s="16">
        <f t="shared" si="176"/>
        <v>216</v>
      </c>
      <c r="BH176" s="19">
        <v>0</v>
      </c>
      <c r="BI176" s="19">
        <v>0</v>
      </c>
      <c r="BJ176" s="16">
        <f t="shared" si="177"/>
        <v>0</v>
      </c>
      <c r="BK176" s="16">
        <f t="shared" si="178"/>
        <v>0</v>
      </c>
      <c r="BL176" s="18">
        <f t="shared" si="179"/>
        <v>30</v>
      </c>
      <c r="BM176" s="16">
        <f t="shared" si="180"/>
        <v>216</v>
      </c>
      <c r="BN176" s="19">
        <v>0</v>
      </c>
      <c r="BO176" s="19">
        <v>0</v>
      </c>
      <c r="BP176" s="16">
        <f t="shared" si="181"/>
        <v>0</v>
      </c>
      <c r="BQ176" s="16">
        <f t="shared" si="182"/>
        <v>0</v>
      </c>
      <c r="BR176" s="18">
        <f t="shared" si="183"/>
        <v>30</v>
      </c>
      <c r="BS176" s="16">
        <f t="shared" si="184"/>
        <v>216</v>
      </c>
      <c r="BT176" s="19">
        <v>0</v>
      </c>
      <c r="BU176" s="19">
        <v>0</v>
      </c>
      <c r="BV176" s="16">
        <f t="shared" si="185"/>
        <v>0</v>
      </c>
      <c r="BW176" s="16">
        <f t="shared" si="186"/>
        <v>0</v>
      </c>
      <c r="BX176" s="18">
        <f t="shared" si="187"/>
        <v>30</v>
      </c>
      <c r="BY176" s="16">
        <f t="shared" si="188"/>
        <v>216</v>
      </c>
      <c r="BZ176" s="19">
        <v>0</v>
      </c>
      <c r="CA176" s="19">
        <v>0</v>
      </c>
      <c r="CB176" s="16">
        <f t="shared" si="189"/>
        <v>0</v>
      </c>
      <c r="CC176" s="16">
        <f t="shared" si="190"/>
        <v>0</v>
      </c>
      <c r="CD176" s="20">
        <f t="shared" si="191"/>
        <v>30</v>
      </c>
      <c r="CE176" s="21">
        <f t="shared" si="168"/>
        <v>216</v>
      </c>
      <c r="CG176" s="1" t="s">
        <v>455</v>
      </c>
    </row>
    <row r="177" spans="1:83" x14ac:dyDescent="0.25">
      <c r="A177" s="23"/>
      <c r="B177" s="70">
        <v>154</v>
      </c>
      <c r="C177" s="174" t="s">
        <v>262</v>
      </c>
      <c r="D177" s="13" t="s">
        <v>263</v>
      </c>
      <c r="E177" s="80"/>
      <c r="F177" s="80"/>
      <c r="G177" s="80"/>
      <c r="H177" s="17">
        <v>9</v>
      </c>
      <c r="I177" s="30">
        <v>5.4</v>
      </c>
      <c r="J177" s="17">
        <v>9</v>
      </c>
      <c r="K177" s="16">
        <f t="shared" si="167"/>
        <v>48.6</v>
      </c>
      <c r="L177" s="19">
        <v>5</v>
      </c>
      <c r="M177" s="19">
        <v>0</v>
      </c>
      <c r="N177" s="16">
        <f t="shared" si="169"/>
        <v>0</v>
      </c>
      <c r="O177" s="16">
        <f t="shared" si="170"/>
        <v>27</v>
      </c>
      <c r="P177" s="18">
        <f t="shared" si="155"/>
        <v>4</v>
      </c>
      <c r="Q177" s="16">
        <f t="shared" si="156"/>
        <v>21.6</v>
      </c>
      <c r="R177" s="19">
        <v>0</v>
      </c>
      <c r="S177" s="18">
        <v>0</v>
      </c>
      <c r="T177" s="16">
        <f t="shared" si="157"/>
        <v>0</v>
      </c>
      <c r="U177" s="16">
        <f t="shared" si="158"/>
        <v>0</v>
      </c>
      <c r="V177" s="18">
        <f t="shared" si="159"/>
        <v>4</v>
      </c>
      <c r="W177" s="16">
        <f t="shared" si="160"/>
        <v>21.6</v>
      </c>
      <c r="X177" s="19">
        <v>4</v>
      </c>
      <c r="Y177" s="19">
        <v>0</v>
      </c>
      <c r="Z177" s="16">
        <f t="shared" si="161"/>
        <v>0</v>
      </c>
      <c r="AA177" s="16">
        <f t="shared" si="162"/>
        <v>21.6</v>
      </c>
      <c r="AB177" s="18">
        <f t="shared" si="163"/>
        <v>0</v>
      </c>
      <c r="AC177" s="16">
        <f t="shared" si="164"/>
        <v>0</v>
      </c>
      <c r="AD177" s="19">
        <v>0</v>
      </c>
      <c r="AE177" s="19">
        <v>0</v>
      </c>
      <c r="AF177" s="16">
        <f t="shared" si="165"/>
        <v>0</v>
      </c>
      <c r="AG177" s="16">
        <f t="shared" si="166"/>
        <v>0</v>
      </c>
      <c r="AH177" s="18">
        <f t="shared" si="143"/>
        <v>0</v>
      </c>
      <c r="AI177" s="16">
        <f t="shared" si="144"/>
        <v>0</v>
      </c>
      <c r="AJ177" s="19">
        <v>0</v>
      </c>
      <c r="AK177" s="19">
        <v>0</v>
      </c>
      <c r="AL177" s="16">
        <f t="shared" si="145"/>
        <v>0</v>
      </c>
      <c r="AM177" s="16">
        <f t="shared" si="146"/>
        <v>0</v>
      </c>
      <c r="AN177" s="18">
        <f t="shared" si="147"/>
        <v>0</v>
      </c>
      <c r="AO177" s="16">
        <f t="shared" si="148"/>
        <v>0</v>
      </c>
      <c r="AP177" s="19">
        <v>0</v>
      </c>
      <c r="AQ177" s="19">
        <v>0</v>
      </c>
      <c r="AR177" s="16">
        <f t="shared" si="149"/>
        <v>0</v>
      </c>
      <c r="AS177" s="16">
        <f t="shared" si="150"/>
        <v>0</v>
      </c>
      <c r="AT177" s="18">
        <f t="shared" si="151"/>
        <v>0</v>
      </c>
      <c r="AU177" s="16">
        <f t="shared" si="152"/>
        <v>0</v>
      </c>
      <c r="AV177" s="19">
        <v>0</v>
      </c>
      <c r="AW177" s="19">
        <v>0</v>
      </c>
      <c r="AX177" s="16">
        <f t="shared" si="153"/>
        <v>0</v>
      </c>
      <c r="AY177" s="16">
        <f t="shared" si="154"/>
        <v>0</v>
      </c>
      <c r="AZ177" s="18">
        <f t="shared" si="171"/>
        <v>0</v>
      </c>
      <c r="BA177" s="16">
        <f t="shared" si="172"/>
        <v>0</v>
      </c>
      <c r="BB177" s="19">
        <v>0</v>
      </c>
      <c r="BC177" s="19">
        <v>0</v>
      </c>
      <c r="BD177" s="16">
        <f t="shared" si="173"/>
        <v>0</v>
      </c>
      <c r="BE177" s="16">
        <f t="shared" si="174"/>
        <v>0</v>
      </c>
      <c r="BF177" s="18">
        <f t="shared" si="175"/>
        <v>0</v>
      </c>
      <c r="BG177" s="16">
        <f t="shared" si="176"/>
        <v>0</v>
      </c>
      <c r="BH177" s="19">
        <v>0</v>
      </c>
      <c r="BI177" s="19">
        <v>0</v>
      </c>
      <c r="BJ177" s="16">
        <f t="shared" si="177"/>
        <v>0</v>
      </c>
      <c r="BK177" s="16">
        <f t="shared" si="178"/>
        <v>0</v>
      </c>
      <c r="BL177" s="18">
        <f t="shared" si="179"/>
        <v>0</v>
      </c>
      <c r="BM177" s="16">
        <f t="shared" si="180"/>
        <v>0</v>
      </c>
      <c r="BN177" s="19">
        <v>0</v>
      </c>
      <c r="BO177" s="19">
        <v>0</v>
      </c>
      <c r="BP177" s="16">
        <f t="shared" si="181"/>
        <v>0</v>
      </c>
      <c r="BQ177" s="16">
        <f t="shared" si="182"/>
        <v>0</v>
      </c>
      <c r="BR177" s="18">
        <f t="shared" si="183"/>
        <v>0</v>
      </c>
      <c r="BS177" s="16">
        <f t="shared" si="184"/>
        <v>0</v>
      </c>
      <c r="BT177" s="19">
        <v>0</v>
      </c>
      <c r="BU177" s="19">
        <v>0</v>
      </c>
      <c r="BV177" s="16">
        <f t="shared" si="185"/>
        <v>0</v>
      </c>
      <c r="BW177" s="16">
        <f t="shared" si="186"/>
        <v>0</v>
      </c>
      <c r="BX177" s="18">
        <f t="shared" si="187"/>
        <v>0</v>
      </c>
      <c r="BY177" s="16">
        <f t="shared" si="188"/>
        <v>0</v>
      </c>
      <c r="BZ177" s="19">
        <v>0</v>
      </c>
      <c r="CA177" s="19">
        <v>0</v>
      </c>
      <c r="CB177" s="16">
        <f t="shared" si="189"/>
        <v>0</v>
      </c>
      <c r="CC177" s="16">
        <f t="shared" si="190"/>
        <v>0</v>
      </c>
      <c r="CD177" s="20">
        <f t="shared" si="191"/>
        <v>0</v>
      </c>
      <c r="CE177" s="21">
        <f t="shared" si="168"/>
        <v>0</v>
      </c>
    </row>
    <row r="178" spans="1:83" x14ac:dyDescent="0.25">
      <c r="A178" s="23"/>
      <c r="B178" s="70">
        <v>155</v>
      </c>
      <c r="C178" s="175"/>
      <c r="D178" s="13" t="s">
        <v>264</v>
      </c>
      <c r="E178" s="80"/>
      <c r="F178" s="80"/>
      <c r="G178" s="80"/>
      <c r="H178" s="17">
        <v>32</v>
      </c>
      <c r="I178" s="30">
        <v>4.9000000000000004</v>
      </c>
      <c r="J178" s="17">
        <v>32</v>
      </c>
      <c r="K178" s="16">
        <f t="shared" si="167"/>
        <v>156.80000000000001</v>
      </c>
      <c r="L178" s="19">
        <v>0</v>
      </c>
      <c r="M178" s="19">
        <v>0</v>
      </c>
      <c r="N178" s="16">
        <f t="shared" si="169"/>
        <v>0</v>
      </c>
      <c r="O178" s="16">
        <f t="shared" si="170"/>
        <v>0</v>
      </c>
      <c r="P178" s="18">
        <f t="shared" si="155"/>
        <v>32</v>
      </c>
      <c r="Q178" s="16">
        <f t="shared" si="156"/>
        <v>156.80000000000001</v>
      </c>
      <c r="R178" s="19">
        <v>0</v>
      </c>
      <c r="S178" s="18">
        <v>0</v>
      </c>
      <c r="T178" s="16">
        <f t="shared" si="157"/>
        <v>0</v>
      </c>
      <c r="U178" s="16">
        <f t="shared" si="158"/>
        <v>0</v>
      </c>
      <c r="V178" s="18">
        <f t="shared" si="159"/>
        <v>32</v>
      </c>
      <c r="W178" s="16">
        <f t="shared" si="160"/>
        <v>156.80000000000001</v>
      </c>
      <c r="X178" s="19">
        <v>1</v>
      </c>
      <c r="Y178" s="19">
        <v>0</v>
      </c>
      <c r="Z178" s="16">
        <f t="shared" si="161"/>
        <v>0</v>
      </c>
      <c r="AA178" s="16">
        <f t="shared" si="162"/>
        <v>4.9000000000000004</v>
      </c>
      <c r="AB178" s="18">
        <f t="shared" si="163"/>
        <v>31</v>
      </c>
      <c r="AC178" s="16">
        <f t="shared" si="164"/>
        <v>151.9</v>
      </c>
      <c r="AD178" s="19">
        <v>1</v>
      </c>
      <c r="AE178" s="19">
        <v>0</v>
      </c>
      <c r="AF178" s="16">
        <f t="shared" si="165"/>
        <v>0</v>
      </c>
      <c r="AG178" s="16">
        <f t="shared" si="166"/>
        <v>4.9000000000000004</v>
      </c>
      <c r="AH178" s="18">
        <f t="shared" si="143"/>
        <v>30</v>
      </c>
      <c r="AI178" s="16">
        <f t="shared" si="144"/>
        <v>147</v>
      </c>
      <c r="AJ178" s="19">
        <v>0</v>
      </c>
      <c r="AK178" s="19">
        <v>0</v>
      </c>
      <c r="AL178" s="16">
        <f t="shared" si="145"/>
        <v>0</v>
      </c>
      <c r="AM178" s="16">
        <f t="shared" si="146"/>
        <v>0</v>
      </c>
      <c r="AN178" s="18">
        <f t="shared" si="147"/>
        <v>30</v>
      </c>
      <c r="AO178" s="16">
        <f t="shared" si="148"/>
        <v>147</v>
      </c>
      <c r="AP178" s="19">
        <v>1</v>
      </c>
      <c r="AQ178" s="19">
        <v>0</v>
      </c>
      <c r="AR178" s="16">
        <f t="shared" si="149"/>
        <v>0</v>
      </c>
      <c r="AS178" s="16">
        <f t="shared" si="150"/>
        <v>4.9000000000000004</v>
      </c>
      <c r="AT178" s="18">
        <f t="shared" si="151"/>
        <v>29</v>
      </c>
      <c r="AU178" s="16">
        <f t="shared" si="152"/>
        <v>142.10000000000002</v>
      </c>
      <c r="AV178" s="19">
        <v>3</v>
      </c>
      <c r="AW178" s="19">
        <v>0</v>
      </c>
      <c r="AX178" s="16">
        <f t="shared" si="153"/>
        <v>0</v>
      </c>
      <c r="AY178" s="16">
        <f t="shared" si="154"/>
        <v>14.700000000000001</v>
      </c>
      <c r="AZ178" s="18">
        <f t="shared" si="171"/>
        <v>26</v>
      </c>
      <c r="BA178" s="16">
        <f t="shared" si="172"/>
        <v>127.4</v>
      </c>
      <c r="BB178" s="19">
        <v>0</v>
      </c>
      <c r="BC178" s="19">
        <v>0</v>
      </c>
      <c r="BD178" s="16">
        <f t="shared" si="173"/>
        <v>0</v>
      </c>
      <c r="BE178" s="16">
        <f t="shared" si="174"/>
        <v>0</v>
      </c>
      <c r="BF178" s="18">
        <f t="shared" si="175"/>
        <v>26</v>
      </c>
      <c r="BG178" s="16">
        <f t="shared" si="176"/>
        <v>127.4</v>
      </c>
      <c r="BH178" s="19">
        <v>0</v>
      </c>
      <c r="BI178" s="19">
        <v>0</v>
      </c>
      <c r="BJ178" s="16">
        <f t="shared" si="177"/>
        <v>0</v>
      </c>
      <c r="BK178" s="16">
        <f t="shared" si="178"/>
        <v>0</v>
      </c>
      <c r="BL178" s="18">
        <f t="shared" si="179"/>
        <v>26</v>
      </c>
      <c r="BM178" s="16">
        <f t="shared" si="180"/>
        <v>127.4</v>
      </c>
      <c r="BN178" s="19">
        <v>0</v>
      </c>
      <c r="BO178" s="19">
        <v>0</v>
      </c>
      <c r="BP178" s="16">
        <f t="shared" si="181"/>
        <v>0</v>
      </c>
      <c r="BQ178" s="16">
        <f t="shared" si="182"/>
        <v>0</v>
      </c>
      <c r="BR178" s="18">
        <f t="shared" si="183"/>
        <v>26</v>
      </c>
      <c r="BS178" s="16">
        <f t="shared" si="184"/>
        <v>127.4</v>
      </c>
      <c r="BT178" s="19">
        <v>0</v>
      </c>
      <c r="BU178" s="19">
        <v>0</v>
      </c>
      <c r="BV178" s="16">
        <f t="shared" si="185"/>
        <v>0</v>
      </c>
      <c r="BW178" s="16">
        <f t="shared" si="186"/>
        <v>0</v>
      </c>
      <c r="BX178" s="18">
        <f t="shared" si="187"/>
        <v>26</v>
      </c>
      <c r="BY178" s="16">
        <f t="shared" si="188"/>
        <v>127.4</v>
      </c>
      <c r="BZ178" s="19">
        <v>0</v>
      </c>
      <c r="CA178" s="19">
        <v>0</v>
      </c>
      <c r="CB178" s="16">
        <f t="shared" si="189"/>
        <v>0</v>
      </c>
      <c r="CC178" s="16">
        <f t="shared" si="190"/>
        <v>0</v>
      </c>
      <c r="CD178" s="20">
        <f t="shared" si="191"/>
        <v>26</v>
      </c>
      <c r="CE178" s="21">
        <f t="shared" si="168"/>
        <v>127.4</v>
      </c>
    </row>
    <row r="179" spans="1:83" x14ac:dyDescent="0.25">
      <c r="A179" s="23"/>
      <c r="B179" s="70">
        <v>156</v>
      </c>
      <c r="C179" s="170" t="s">
        <v>265</v>
      </c>
      <c r="D179" s="13" t="s">
        <v>390</v>
      </c>
      <c r="E179" s="22"/>
      <c r="F179" s="22"/>
      <c r="G179" s="22"/>
      <c r="H179" s="17">
        <v>19</v>
      </c>
      <c r="I179" s="30">
        <v>6</v>
      </c>
      <c r="J179" s="17">
        <v>19</v>
      </c>
      <c r="K179" s="16">
        <f t="shared" si="167"/>
        <v>114</v>
      </c>
      <c r="L179" s="19">
        <v>9</v>
      </c>
      <c r="M179" s="19">
        <v>0</v>
      </c>
      <c r="N179" s="16">
        <f t="shared" si="169"/>
        <v>0</v>
      </c>
      <c r="O179" s="16">
        <f t="shared" si="170"/>
        <v>54</v>
      </c>
      <c r="P179" s="18">
        <f t="shared" si="155"/>
        <v>10</v>
      </c>
      <c r="Q179" s="16">
        <f t="shared" si="156"/>
        <v>60</v>
      </c>
      <c r="R179" s="19">
        <v>0</v>
      </c>
      <c r="S179" s="18">
        <v>0</v>
      </c>
      <c r="T179" s="16">
        <f t="shared" si="157"/>
        <v>0</v>
      </c>
      <c r="U179" s="16">
        <f t="shared" si="158"/>
        <v>0</v>
      </c>
      <c r="V179" s="18">
        <f t="shared" si="159"/>
        <v>10</v>
      </c>
      <c r="W179" s="16">
        <f t="shared" si="160"/>
        <v>60</v>
      </c>
      <c r="X179" s="19">
        <v>0</v>
      </c>
      <c r="Y179" s="19">
        <v>0</v>
      </c>
      <c r="Z179" s="16">
        <f t="shared" si="161"/>
        <v>0</v>
      </c>
      <c r="AA179" s="16">
        <f t="shared" si="162"/>
        <v>0</v>
      </c>
      <c r="AB179" s="18">
        <f t="shared" si="163"/>
        <v>10</v>
      </c>
      <c r="AC179" s="16">
        <f t="shared" si="164"/>
        <v>60</v>
      </c>
      <c r="AD179" s="19">
        <v>4</v>
      </c>
      <c r="AE179" s="19">
        <v>0</v>
      </c>
      <c r="AF179" s="16">
        <f t="shared" si="165"/>
        <v>0</v>
      </c>
      <c r="AG179" s="16">
        <f t="shared" si="166"/>
        <v>24</v>
      </c>
      <c r="AH179" s="18">
        <f t="shared" si="143"/>
        <v>6</v>
      </c>
      <c r="AI179" s="16">
        <f t="shared" si="144"/>
        <v>36</v>
      </c>
      <c r="AJ179" s="19">
        <v>3</v>
      </c>
      <c r="AK179" s="19">
        <v>0</v>
      </c>
      <c r="AL179" s="16">
        <f t="shared" si="145"/>
        <v>0</v>
      </c>
      <c r="AM179" s="16">
        <f t="shared" si="146"/>
        <v>18</v>
      </c>
      <c r="AN179" s="18">
        <f t="shared" si="147"/>
        <v>3</v>
      </c>
      <c r="AO179" s="16">
        <f t="shared" si="148"/>
        <v>18</v>
      </c>
      <c r="AP179" s="19">
        <v>2</v>
      </c>
      <c r="AQ179" s="19">
        <v>0</v>
      </c>
      <c r="AR179" s="16">
        <f t="shared" si="149"/>
        <v>0</v>
      </c>
      <c r="AS179" s="16">
        <f t="shared" si="150"/>
        <v>12</v>
      </c>
      <c r="AT179" s="18">
        <f t="shared" si="151"/>
        <v>1</v>
      </c>
      <c r="AU179" s="16">
        <f t="shared" si="152"/>
        <v>6</v>
      </c>
      <c r="AV179" s="19">
        <v>0</v>
      </c>
      <c r="AW179" s="19">
        <v>0</v>
      </c>
      <c r="AX179" s="16">
        <f t="shared" si="153"/>
        <v>0</v>
      </c>
      <c r="AY179" s="16">
        <f t="shared" si="154"/>
        <v>0</v>
      </c>
      <c r="AZ179" s="18">
        <f t="shared" si="171"/>
        <v>1</v>
      </c>
      <c r="BA179" s="16">
        <f t="shared" si="172"/>
        <v>6</v>
      </c>
      <c r="BB179" s="19">
        <v>0</v>
      </c>
      <c r="BC179" s="19">
        <v>0</v>
      </c>
      <c r="BD179" s="16">
        <f t="shared" si="173"/>
        <v>0</v>
      </c>
      <c r="BE179" s="16">
        <f t="shared" si="174"/>
        <v>0</v>
      </c>
      <c r="BF179" s="18">
        <f t="shared" si="175"/>
        <v>1</v>
      </c>
      <c r="BG179" s="16">
        <f t="shared" si="176"/>
        <v>6</v>
      </c>
      <c r="BH179" s="19">
        <v>0</v>
      </c>
      <c r="BI179" s="19">
        <v>0</v>
      </c>
      <c r="BJ179" s="16">
        <f t="shared" si="177"/>
        <v>0</v>
      </c>
      <c r="BK179" s="16">
        <f t="shared" si="178"/>
        <v>0</v>
      </c>
      <c r="BL179" s="18">
        <f t="shared" si="179"/>
        <v>1</v>
      </c>
      <c r="BM179" s="16">
        <f t="shared" si="180"/>
        <v>6</v>
      </c>
      <c r="BN179" s="19">
        <v>0</v>
      </c>
      <c r="BO179" s="19">
        <v>0</v>
      </c>
      <c r="BP179" s="16">
        <f t="shared" si="181"/>
        <v>0</v>
      </c>
      <c r="BQ179" s="16">
        <f t="shared" si="182"/>
        <v>0</v>
      </c>
      <c r="BR179" s="18">
        <f t="shared" si="183"/>
        <v>1</v>
      </c>
      <c r="BS179" s="16">
        <f t="shared" si="184"/>
        <v>6</v>
      </c>
      <c r="BT179" s="19">
        <v>0</v>
      </c>
      <c r="BU179" s="19">
        <v>0</v>
      </c>
      <c r="BV179" s="16">
        <f t="shared" si="185"/>
        <v>0</v>
      </c>
      <c r="BW179" s="16">
        <f t="shared" si="186"/>
        <v>0</v>
      </c>
      <c r="BX179" s="18">
        <f t="shared" si="187"/>
        <v>1</v>
      </c>
      <c r="BY179" s="16">
        <f t="shared" si="188"/>
        <v>6</v>
      </c>
      <c r="BZ179" s="19">
        <v>0</v>
      </c>
      <c r="CA179" s="19">
        <v>0</v>
      </c>
      <c r="CB179" s="16">
        <f t="shared" si="189"/>
        <v>0</v>
      </c>
      <c r="CC179" s="16">
        <f t="shared" si="190"/>
        <v>0</v>
      </c>
      <c r="CD179" s="20">
        <f t="shared" si="191"/>
        <v>1</v>
      </c>
      <c r="CE179" s="21">
        <f t="shared" si="168"/>
        <v>6</v>
      </c>
    </row>
    <row r="180" spans="1:83" x14ac:dyDescent="0.25">
      <c r="A180" s="23"/>
      <c r="B180" s="70"/>
      <c r="C180" s="171"/>
      <c r="D180" s="13" t="s">
        <v>404</v>
      </c>
      <c r="E180" s="22"/>
      <c r="F180" s="22"/>
      <c r="G180" s="22"/>
      <c r="H180" s="17"/>
      <c r="I180" s="30">
        <v>6.5</v>
      </c>
      <c r="J180" s="17">
        <v>0</v>
      </c>
      <c r="K180" s="16">
        <f t="shared" si="167"/>
        <v>0</v>
      </c>
      <c r="L180" s="19"/>
      <c r="M180" s="19"/>
      <c r="N180" s="16"/>
      <c r="O180" s="16"/>
      <c r="P180" s="18"/>
      <c r="Q180" s="16"/>
      <c r="R180" s="19"/>
      <c r="S180" s="18"/>
      <c r="T180" s="16"/>
      <c r="U180" s="16"/>
      <c r="V180" s="18"/>
      <c r="W180" s="16"/>
      <c r="X180" s="19"/>
      <c r="Y180" s="19"/>
      <c r="Z180" s="16"/>
      <c r="AA180" s="16"/>
      <c r="AB180" s="18">
        <v>0</v>
      </c>
      <c r="AC180" s="16">
        <f t="shared" si="164"/>
        <v>0</v>
      </c>
      <c r="AD180" s="19">
        <v>0</v>
      </c>
      <c r="AE180" s="19">
        <v>0</v>
      </c>
      <c r="AF180" s="16">
        <f t="shared" si="165"/>
        <v>0</v>
      </c>
      <c r="AG180" s="16">
        <f t="shared" si="166"/>
        <v>0</v>
      </c>
      <c r="AH180" s="18">
        <f t="shared" si="143"/>
        <v>0</v>
      </c>
      <c r="AI180" s="16">
        <f t="shared" si="144"/>
        <v>0</v>
      </c>
      <c r="AJ180" s="19">
        <v>0</v>
      </c>
      <c r="AK180" s="19">
        <v>20</v>
      </c>
      <c r="AL180" s="16">
        <f t="shared" si="145"/>
        <v>130</v>
      </c>
      <c r="AM180" s="16">
        <f t="shared" si="146"/>
        <v>0</v>
      </c>
      <c r="AN180" s="18">
        <f t="shared" si="147"/>
        <v>20</v>
      </c>
      <c r="AO180" s="16">
        <f t="shared" si="148"/>
        <v>130</v>
      </c>
      <c r="AP180" s="19">
        <v>0</v>
      </c>
      <c r="AQ180" s="19">
        <v>0</v>
      </c>
      <c r="AR180" s="16">
        <f t="shared" si="149"/>
        <v>0</v>
      </c>
      <c r="AS180" s="16">
        <f t="shared" si="150"/>
        <v>0</v>
      </c>
      <c r="AT180" s="18">
        <f t="shared" si="151"/>
        <v>20</v>
      </c>
      <c r="AU180" s="16">
        <f t="shared" si="152"/>
        <v>130</v>
      </c>
      <c r="AV180" s="19">
        <v>0</v>
      </c>
      <c r="AW180" s="19">
        <v>0</v>
      </c>
      <c r="AX180" s="16">
        <f t="shared" si="153"/>
        <v>0</v>
      </c>
      <c r="AY180" s="16">
        <f t="shared" si="154"/>
        <v>0</v>
      </c>
      <c r="AZ180" s="18">
        <f t="shared" si="171"/>
        <v>20</v>
      </c>
      <c r="BA180" s="16"/>
      <c r="BB180" s="19">
        <v>0</v>
      </c>
      <c r="BC180" s="19">
        <v>0</v>
      </c>
      <c r="BD180" s="16">
        <f t="shared" si="173"/>
        <v>0</v>
      </c>
      <c r="BE180" s="16">
        <f t="shared" si="174"/>
        <v>0</v>
      </c>
      <c r="BF180" s="18">
        <f t="shared" si="175"/>
        <v>20</v>
      </c>
      <c r="BG180" s="16">
        <f t="shared" si="176"/>
        <v>130</v>
      </c>
      <c r="BH180" s="19">
        <v>0</v>
      </c>
      <c r="BI180" s="19">
        <v>0</v>
      </c>
      <c r="BJ180" s="16">
        <f t="shared" si="177"/>
        <v>0</v>
      </c>
      <c r="BK180" s="16"/>
      <c r="BL180" s="18"/>
      <c r="BM180" s="16"/>
      <c r="BN180" s="19"/>
      <c r="BO180" s="19"/>
      <c r="BP180" s="16"/>
      <c r="BQ180" s="16"/>
      <c r="BR180" s="18"/>
      <c r="BS180" s="16"/>
      <c r="BT180" s="19"/>
      <c r="BU180" s="19"/>
      <c r="BV180" s="16"/>
      <c r="BW180" s="16"/>
      <c r="BX180" s="18"/>
      <c r="BY180" s="16"/>
      <c r="BZ180" s="19"/>
      <c r="CA180" s="19"/>
      <c r="CB180" s="16"/>
      <c r="CC180" s="16"/>
      <c r="CD180" s="20"/>
      <c r="CE180" s="21"/>
    </row>
    <row r="181" spans="1:83" s="49" customFormat="1" x14ac:dyDescent="0.25">
      <c r="A181" s="17"/>
      <c r="B181" s="70">
        <v>157</v>
      </c>
      <c r="C181" s="178" t="s">
        <v>267</v>
      </c>
      <c r="D181" s="87" t="s">
        <v>268</v>
      </c>
      <c r="E181" s="17">
        <v>5</v>
      </c>
      <c r="F181" s="17">
        <v>10</v>
      </c>
      <c r="G181" s="17">
        <v>20</v>
      </c>
      <c r="H181" s="17">
        <v>3</v>
      </c>
      <c r="I181" s="30">
        <v>6.4</v>
      </c>
      <c r="J181" s="17">
        <v>3</v>
      </c>
      <c r="K181" s="16">
        <f t="shared" si="167"/>
        <v>19.200000000000003</v>
      </c>
      <c r="L181" s="19">
        <v>3</v>
      </c>
      <c r="M181" s="19">
        <v>0</v>
      </c>
      <c r="N181" s="16">
        <f t="shared" si="169"/>
        <v>0</v>
      </c>
      <c r="O181" s="16">
        <f t="shared" si="170"/>
        <v>19.200000000000003</v>
      </c>
      <c r="P181" s="18">
        <f t="shared" si="155"/>
        <v>0</v>
      </c>
      <c r="Q181" s="16">
        <f t="shared" si="156"/>
        <v>0</v>
      </c>
      <c r="R181" s="19">
        <v>0</v>
      </c>
      <c r="S181" s="18">
        <v>0</v>
      </c>
      <c r="T181" s="16">
        <f t="shared" si="157"/>
        <v>0</v>
      </c>
      <c r="U181" s="16">
        <f t="shared" si="158"/>
        <v>0</v>
      </c>
      <c r="V181" s="18">
        <f t="shared" si="159"/>
        <v>0</v>
      </c>
      <c r="W181" s="16">
        <f t="shared" si="160"/>
        <v>0</v>
      </c>
      <c r="X181" s="19">
        <v>0</v>
      </c>
      <c r="Y181" s="19">
        <v>0</v>
      </c>
      <c r="Z181" s="16">
        <f t="shared" si="161"/>
        <v>0</v>
      </c>
      <c r="AA181" s="16">
        <f t="shared" si="162"/>
        <v>0</v>
      </c>
      <c r="AB181" s="18">
        <f t="shared" si="163"/>
        <v>0</v>
      </c>
      <c r="AC181" s="16">
        <f t="shared" si="164"/>
        <v>0</v>
      </c>
      <c r="AD181" s="19">
        <v>0</v>
      </c>
      <c r="AE181" s="19">
        <v>0</v>
      </c>
      <c r="AF181" s="16">
        <f t="shared" si="165"/>
        <v>0</v>
      </c>
      <c r="AG181" s="16">
        <f t="shared" si="166"/>
        <v>0</v>
      </c>
      <c r="AH181" s="18">
        <f t="shared" si="143"/>
        <v>0</v>
      </c>
      <c r="AI181" s="16">
        <f t="shared" si="144"/>
        <v>0</v>
      </c>
      <c r="AJ181" s="19">
        <v>0</v>
      </c>
      <c r="AK181" s="19">
        <v>0</v>
      </c>
      <c r="AL181" s="16">
        <f t="shared" si="145"/>
        <v>0</v>
      </c>
      <c r="AM181" s="16">
        <f t="shared" si="146"/>
        <v>0</v>
      </c>
      <c r="AN181" s="18">
        <f t="shared" si="147"/>
        <v>0</v>
      </c>
      <c r="AO181" s="16">
        <f t="shared" si="148"/>
        <v>0</v>
      </c>
      <c r="AP181" s="19">
        <v>0</v>
      </c>
      <c r="AQ181" s="19">
        <v>0</v>
      </c>
      <c r="AR181" s="16">
        <f t="shared" si="149"/>
        <v>0</v>
      </c>
      <c r="AS181" s="16">
        <f t="shared" si="150"/>
        <v>0</v>
      </c>
      <c r="AT181" s="18">
        <f t="shared" si="151"/>
        <v>0</v>
      </c>
      <c r="AU181" s="16">
        <f t="shared" si="152"/>
        <v>0</v>
      </c>
      <c r="AV181" s="19">
        <v>0</v>
      </c>
      <c r="AW181" s="19">
        <v>0</v>
      </c>
      <c r="AX181" s="16">
        <f t="shared" si="153"/>
        <v>0</v>
      </c>
      <c r="AY181" s="16">
        <f t="shared" si="154"/>
        <v>0</v>
      </c>
      <c r="AZ181" s="18">
        <f t="shared" si="171"/>
        <v>0</v>
      </c>
      <c r="BA181" s="16">
        <f t="shared" si="172"/>
        <v>0</v>
      </c>
      <c r="BB181" s="19">
        <v>0</v>
      </c>
      <c r="BC181" s="19">
        <v>0</v>
      </c>
      <c r="BD181" s="16">
        <f t="shared" si="173"/>
        <v>0</v>
      </c>
      <c r="BE181" s="16">
        <f t="shared" si="174"/>
        <v>0</v>
      </c>
      <c r="BF181" s="18">
        <f t="shared" si="175"/>
        <v>0</v>
      </c>
      <c r="BG181" s="16">
        <f t="shared" si="176"/>
        <v>0</v>
      </c>
      <c r="BH181" s="19">
        <v>0</v>
      </c>
      <c r="BI181" s="19">
        <v>0</v>
      </c>
      <c r="BJ181" s="16">
        <f t="shared" si="177"/>
        <v>0</v>
      </c>
      <c r="BK181" s="16">
        <f t="shared" si="178"/>
        <v>0</v>
      </c>
      <c r="BL181" s="18">
        <f t="shared" si="179"/>
        <v>0</v>
      </c>
      <c r="BM181" s="16">
        <f t="shared" si="180"/>
        <v>0</v>
      </c>
      <c r="BN181" s="19">
        <v>0</v>
      </c>
      <c r="BO181" s="19">
        <v>0</v>
      </c>
      <c r="BP181" s="16">
        <f t="shared" si="181"/>
        <v>0</v>
      </c>
      <c r="BQ181" s="16">
        <f t="shared" si="182"/>
        <v>0</v>
      </c>
      <c r="BR181" s="18">
        <f t="shared" si="183"/>
        <v>0</v>
      </c>
      <c r="BS181" s="16">
        <f t="shared" si="184"/>
        <v>0</v>
      </c>
      <c r="BT181" s="19">
        <v>0</v>
      </c>
      <c r="BU181" s="19">
        <v>0</v>
      </c>
      <c r="BV181" s="16">
        <f t="shared" si="185"/>
        <v>0</v>
      </c>
      <c r="BW181" s="16">
        <f t="shared" si="186"/>
        <v>0</v>
      </c>
      <c r="BX181" s="18">
        <f t="shared" si="187"/>
        <v>0</v>
      </c>
      <c r="BY181" s="16">
        <f t="shared" si="188"/>
        <v>0</v>
      </c>
      <c r="BZ181" s="19">
        <v>0</v>
      </c>
      <c r="CA181" s="19">
        <v>0</v>
      </c>
      <c r="CB181" s="16">
        <f t="shared" si="189"/>
        <v>0</v>
      </c>
      <c r="CC181" s="16">
        <f t="shared" si="190"/>
        <v>0</v>
      </c>
      <c r="CD181" s="20">
        <f t="shared" si="191"/>
        <v>0</v>
      </c>
      <c r="CE181" s="21">
        <f t="shared" si="168"/>
        <v>0</v>
      </c>
    </row>
    <row r="182" spans="1:83" s="49" customFormat="1" x14ac:dyDescent="0.25">
      <c r="A182" s="17"/>
      <c r="B182" s="70">
        <v>158</v>
      </c>
      <c r="C182" s="179"/>
      <c r="D182" s="87" t="s">
        <v>330</v>
      </c>
      <c r="E182" s="14"/>
      <c r="F182" s="14"/>
      <c r="G182" s="14"/>
      <c r="H182" s="17">
        <v>30</v>
      </c>
      <c r="I182" s="30">
        <v>6.7</v>
      </c>
      <c r="J182" s="17">
        <v>30</v>
      </c>
      <c r="K182" s="16">
        <f t="shared" si="167"/>
        <v>201</v>
      </c>
      <c r="L182" s="19">
        <v>17</v>
      </c>
      <c r="M182" s="19">
        <v>0</v>
      </c>
      <c r="N182" s="16">
        <f t="shared" si="169"/>
        <v>0</v>
      </c>
      <c r="O182" s="16">
        <f t="shared" si="170"/>
        <v>113.9</v>
      </c>
      <c r="P182" s="18">
        <f t="shared" si="155"/>
        <v>13</v>
      </c>
      <c r="Q182" s="16">
        <f t="shared" si="156"/>
        <v>87.100000000000009</v>
      </c>
      <c r="R182" s="19">
        <v>3</v>
      </c>
      <c r="S182" s="18">
        <v>0</v>
      </c>
      <c r="T182" s="16">
        <f t="shared" si="157"/>
        <v>0</v>
      </c>
      <c r="U182" s="16">
        <f t="shared" si="158"/>
        <v>20.100000000000001</v>
      </c>
      <c r="V182" s="18">
        <f t="shared" si="159"/>
        <v>10</v>
      </c>
      <c r="W182" s="16">
        <f t="shared" si="160"/>
        <v>67</v>
      </c>
      <c r="X182" s="19">
        <v>8</v>
      </c>
      <c r="Y182" s="19">
        <v>0</v>
      </c>
      <c r="Z182" s="16">
        <f t="shared" si="161"/>
        <v>0</v>
      </c>
      <c r="AA182" s="16">
        <f t="shared" si="162"/>
        <v>53.6</v>
      </c>
      <c r="AB182" s="18">
        <f t="shared" si="163"/>
        <v>2</v>
      </c>
      <c r="AC182" s="16">
        <f t="shared" si="164"/>
        <v>13.4</v>
      </c>
      <c r="AD182" s="19">
        <v>2</v>
      </c>
      <c r="AE182" s="19">
        <v>0</v>
      </c>
      <c r="AF182" s="16">
        <f t="shared" si="165"/>
        <v>0</v>
      </c>
      <c r="AG182" s="16">
        <f t="shared" si="166"/>
        <v>13.4</v>
      </c>
      <c r="AH182" s="18">
        <f t="shared" si="143"/>
        <v>0</v>
      </c>
      <c r="AI182" s="16">
        <f t="shared" si="144"/>
        <v>0</v>
      </c>
      <c r="AJ182" s="19">
        <v>0</v>
      </c>
      <c r="AK182" s="19">
        <v>0</v>
      </c>
      <c r="AL182" s="16">
        <f t="shared" si="145"/>
        <v>0</v>
      </c>
      <c r="AM182" s="16">
        <f t="shared" si="146"/>
        <v>0</v>
      </c>
      <c r="AN182" s="18">
        <f t="shared" si="147"/>
        <v>0</v>
      </c>
      <c r="AO182" s="16">
        <f t="shared" si="148"/>
        <v>0</v>
      </c>
      <c r="AP182" s="19">
        <v>0</v>
      </c>
      <c r="AQ182" s="19">
        <v>0</v>
      </c>
      <c r="AR182" s="16">
        <f t="shared" si="149"/>
        <v>0</v>
      </c>
      <c r="AS182" s="16">
        <f t="shared" si="150"/>
        <v>0</v>
      </c>
      <c r="AT182" s="18">
        <f t="shared" si="151"/>
        <v>0</v>
      </c>
      <c r="AU182" s="16">
        <f t="shared" si="152"/>
        <v>0</v>
      </c>
      <c r="AV182" s="19">
        <v>0</v>
      </c>
      <c r="AW182" s="19">
        <v>0</v>
      </c>
      <c r="AX182" s="16">
        <f t="shared" si="153"/>
        <v>0</v>
      </c>
      <c r="AY182" s="16">
        <f t="shared" si="154"/>
        <v>0</v>
      </c>
      <c r="AZ182" s="18">
        <f t="shared" si="171"/>
        <v>0</v>
      </c>
      <c r="BA182" s="16">
        <f t="shared" si="172"/>
        <v>0</v>
      </c>
      <c r="BB182" s="19">
        <v>0</v>
      </c>
      <c r="BC182" s="19">
        <v>0</v>
      </c>
      <c r="BD182" s="16">
        <f t="shared" si="173"/>
        <v>0</v>
      </c>
      <c r="BE182" s="16">
        <f t="shared" si="174"/>
        <v>0</v>
      </c>
      <c r="BF182" s="18">
        <f t="shared" si="175"/>
        <v>0</v>
      </c>
      <c r="BG182" s="16">
        <f t="shared" si="176"/>
        <v>0</v>
      </c>
      <c r="BH182" s="19">
        <v>0</v>
      </c>
      <c r="BI182" s="19">
        <v>0</v>
      </c>
      <c r="BJ182" s="16">
        <f t="shared" si="177"/>
        <v>0</v>
      </c>
      <c r="BK182" s="16">
        <f t="shared" si="178"/>
        <v>0</v>
      </c>
      <c r="BL182" s="18">
        <f t="shared" si="179"/>
        <v>0</v>
      </c>
      <c r="BM182" s="16">
        <f t="shared" si="180"/>
        <v>0</v>
      </c>
      <c r="BN182" s="19">
        <v>0</v>
      </c>
      <c r="BO182" s="19">
        <v>0</v>
      </c>
      <c r="BP182" s="16">
        <f t="shared" si="181"/>
        <v>0</v>
      </c>
      <c r="BQ182" s="16">
        <f t="shared" si="182"/>
        <v>0</v>
      </c>
      <c r="BR182" s="18">
        <f t="shared" si="183"/>
        <v>0</v>
      </c>
      <c r="BS182" s="16">
        <f t="shared" si="184"/>
        <v>0</v>
      </c>
      <c r="BT182" s="19">
        <v>0</v>
      </c>
      <c r="BU182" s="19">
        <v>0</v>
      </c>
      <c r="BV182" s="16">
        <f t="shared" si="185"/>
        <v>0</v>
      </c>
      <c r="BW182" s="16">
        <f t="shared" si="186"/>
        <v>0</v>
      </c>
      <c r="BX182" s="18">
        <f t="shared" si="187"/>
        <v>0</v>
      </c>
      <c r="BY182" s="16">
        <f t="shared" si="188"/>
        <v>0</v>
      </c>
      <c r="BZ182" s="19">
        <v>0</v>
      </c>
      <c r="CA182" s="19">
        <v>0</v>
      </c>
      <c r="CB182" s="16">
        <f t="shared" si="189"/>
        <v>0</v>
      </c>
      <c r="CC182" s="16">
        <f t="shared" si="190"/>
        <v>0</v>
      </c>
      <c r="CD182" s="20">
        <f t="shared" si="191"/>
        <v>0</v>
      </c>
      <c r="CE182" s="21">
        <f t="shared" si="168"/>
        <v>0</v>
      </c>
    </row>
    <row r="183" spans="1:83" s="49" customFormat="1" x14ac:dyDescent="0.25">
      <c r="A183" s="17"/>
      <c r="B183" s="70"/>
      <c r="C183" s="180"/>
      <c r="D183" s="87" t="s">
        <v>330</v>
      </c>
      <c r="E183" s="102"/>
      <c r="F183" s="102"/>
      <c r="G183" s="102"/>
      <c r="H183" s="17"/>
      <c r="I183" s="30">
        <v>7</v>
      </c>
      <c r="J183" s="17"/>
      <c r="K183" s="16"/>
      <c r="L183" s="19"/>
      <c r="M183" s="19"/>
      <c r="N183" s="16"/>
      <c r="O183" s="16"/>
      <c r="P183" s="18"/>
      <c r="Q183" s="16"/>
      <c r="R183" s="19"/>
      <c r="S183" s="18"/>
      <c r="T183" s="16"/>
      <c r="U183" s="16"/>
      <c r="V183" s="18"/>
      <c r="W183" s="16"/>
      <c r="X183" s="19"/>
      <c r="Y183" s="19"/>
      <c r="Z183" s="16"/>
      <c r="AA183" s="16"/>
      <c r="AB183" s="18">
        <f t="shared" si="163"/>
        <v>0</v>
      </c>
      <c r="AC183" s="16">
        <f t="shared" si="164"/>
        <v>0</v>
      </c>
      <c r="AD183" s="19">
        <v>0</v>
      </c>
      <c r="AE183" s="19">
        <v>0</v>
      </c>
      <c r="AF183" s="16">
        <f t="shared" si="165"/>
        <v>0</v>
      </c>
      <c r="AG183" s="16">
        <f t="shared" si="166"/>
        <v>0</v>
      </c>
      <c r="AH183" s="18">
        <f t="shared" si="143"/>
        <v>0</v>
      </c>
      <c r="AI183" s="16">
        <f t="shared" si="144"/>
        <v>0</v>
      </c>
      <c r="AJ183" s="19">
        <v>0</v>
      </c>
      <c r="AK183" s="19">
        <v>20</v>
      </c>
      <c r="AL183" s="16">
        <f t="shared" si="145"/>
        <v>140</v>
      </c>
      <c r="AM183" s="16">
        <f t="shared" si="146"/>
        <v>0</v>
      </c>
      <c r="AN183" s="18">
        <f t="shared" si="147"/>
        <v>20</v>
      </c>
      <c r="AO183" s="16">
        <f t="shared" si="148"/>
        <v>140</v>
      </c>
      <c r="AP183" s="19">
        <v>0</v>
      </c>
      <c r="AQ183" s="19">
        <v>0</v>
      </c>
      <c r="AR183" s="16">
        <f t="shared" si="149"/>
        <v>0</v>
      </c>
      <c r="AS183" s="16">
        <f t="shared" si="150"/>
        <v>0</v>
      </c>
      <c r="AT183" s="18">
        <f t="shared" si="151"/>
        <v>20</v>
      </c>
      <c r="AU183" s="16">
        <f t="shared" si="152"/>
        <v>140</v>
      </c>
      <c r="AV183" s="19">
        <v>3</v>
      </c>
      <c r="AW183" s="19">
        <v>0</v>
      </c>
      <c r="AX183" s="16">
        <f t="shared" si="153"/>
        <v>0</v>
      </c>
      <c r="AY183" s="16">
        <f t="shared" si="154"/>
        <v>21</v>
      </c>
      <c r="AZ183" s="18">
        <f t="shared" si="171"/>
        <v>17</v>
      </c>
      <c r="BA183" s="16"/>
      <c r="BB183" s="19">
        <v>2</v>
      </c>
      <c r="BC183" s="19">
        <v>0</v>
      </c>
      <c r="BD183" s="16"/>
      <c r="BE183" s="16">
        <f t="shared" si="174"/>
        <v>14</v>
      </c>
      <c r="BF183" s="18">
        <f t="shared" si="175"/>
        <v>15</v>
      </c>
      <c r="BG183" s="16">
        <f t="shared" si="176"/>
        <v>105</v>
      </c>
      <c r="BH183" s="19">
        <v>0</v>
      </c>
      <c r="BI183" s="19">
        <v>0</v>
      </c>
      <c r="BJ183" s="16"/>
      <c r="BK183" s="16"/>
      <c r="BL183" s="18"/>
      <c r="BM183" s="16"/>
      <c r="BN183" s="19"/>
      <c r="BO183" s="19"/>
      <c r="BP183" s="16"/>
      <c r="BQ183" s="16"/>
      <c r="BR183" s="18"/>
      <c r="BS183" s="16"/>
      <c r="BT183" s="19"/>
      <c r="BU183" s="19"/>
      <c r="BV183" s="16"/>
      <c r="BW183" s="16"/>
      <c r="BX183" s="18"/>
      <c r="BY183" s="16"/>
      <c r="BZ183" s="19"/>
      <c r="CA183" s="19"/>
      <c r="CB183" s="16"/>
      <c r="CC183" s="16"/>
      <c r="CD183" s="20"/>
      <c r="CE183" s="21"/>
    </row>
    <row r="184" spans="1:83" x14ac:dyDescent="0.25">
      <c r="A184" s="23"/>
      <c r="B184" s="70">
        <v>159</v>
      </c>
      <c r="C184" s="86" t="s">
        <v>269</v>
      </c>
      <c r="D184" s="13" t="s">
        <v>270</v>
      </c>
      <c r="E184" s="22"/>
      <c r="F184" s="22"/>
      <c r="G184" s="22"/>
      <c r="H184" s="17">
        <v>56</v>
      </c>
      <c r="I184" s="30">
        <v>9.9</v>
      </c>
      <c r="J184" s="17">
        <v>56</v>
      </c>
      <c r="K184" s="16">
        <f t="shared" si="167"/>
        <v>554.4</v>
      </c>
      <c r="L184" s="19">
        <v>9</v>
      </c>
      <c r="M184" s="19">
        <v>0</v>
      </c>
      <c r="N184" s="16">
        <f t="shared" si="169"/>
        <v>0</v>
      </c>
      <c r="O184" s="16">
        <f t="shared" si="170"/>
        <v>89.100000000000009</v>
      </c>
      <c r="P184" s="18">
        <f t="shared" si="155"/>
        <v>47</v>
      </c>
      <c r="Q184" s="16">
        <f t="shared" si="156"/>
        <v>465.3</v>
      </c>
      <c r="R184" s="19">
        <v>2</v>
      </c>
      <c r="S184" s="18">
        <v>0</v>
      </c>
      <c r="T184" s="16">
        <f t="shared" si="157"/>
        <v>0</v>
      </c>
      <c r="U184" s="16">
        <f t="shared" si="158"/>
        <v>19.8</v>
      </c>
      <c r="V184" s="18">
        <f t="shared" si="159"/>
        <v>45</v>
      </c>
      <c r="W184" s="16">
        <f t="shared" si="160"/>
        <v>445.5</v>
      </c>
      <c r="X184" s="19">
        <v>3</v>
      </c>
      <c r="Y184" s="19">
        <v>0</v>
      </c>
      <c r="Z184" s="16">
        <f t="shared" si="161"/>
        <v>0</v>
      </c>
      <c r="AA184" s="16">
        <f t="shared" si="162"/>
        <v>29.700000000000003</v>
      </c>
      <c r="AB184" s="18">
        <f t="shared" si="163"/>
        <v>42</v>
      </c>
      <c r="AC184" s="16">
        <f t="shared" si="164"/>
        <v>415.8</v>
      </c>
      <c r="AD184" s="19">
        <v>6</v>
      </c>
      <c r="AE184" s="19">
        <v>0</v>
      </c>
      <c r="AF184" s="16">
        <f t="shared" si="165"/>
        <v>0</v>
      </c>
      <c r="AG184" s="16">
        <f t="shared" si="166"/>
        <v>59.400000000000006</v>
      </c>
      <c r="AH184" s="18">
        <f t="shared" si="143"/>
        <v>36</v>
      </c>
      <c r="AI184" s="16">
        <f t="shared" si="144"/>
        <v>356.40000000000003</v>
      </c>
      <c r="AJ184" s="19">
        <v>0</v>
      </c>
      <c r="AK184" s="19">
        <v>0</v>
      </c>
      <c r="AL184" s="16">
        <f t="shared" si="145"/>
        <v>0</v>
      </c>
      <c r="AM184" s="16">
        <f t="shared" si="146"/>
        <v>0</v>
      </c>
      <c r="AN184" s="18">
        <f t="shared" si="147"/>
        <v>36</v>
      </c>
      <c r="AO184" s="16">
        <f t="shared" si="148"/>
        <v>356.40000000000003</v>
      </c>
      <c r="AP184" s="19">
        <v>0</v>
      </c>
      <c r="AQ184" s="19">
        <v>0</v>
      </c>
      <c r="AR184" s="16">
        <f t="shared" si="149"/>
        <v>0</v>
      </c>
      <c r="AS184" s="16">
        <f t="shared" si="150"/>
        <v>0</v>
      </c>
      <c r="AT184" s="18">
        <f t="shared" si="151"/>
        <v>36</v>
      </c>
      <c r="AU184" s="16">
        <f t="shared" si="152"/>
        <v>356.40000000000003</v>
      </c>
      <c r="AV184" s="19">
        <v>0</v>
      </c>
      <c r="AW184" s="19">
        <v>0</v>
      </c>
      <c r="AX184" s="16">
        <f t="shared" si="153"/>
        <v>0</v>
      </c>
      <c r="AY184" s="16">
        <f t="shared" si="154"/>
        <v>0</v>
      </c>
      <c r="AZ184" s="18">
        <f t="shared" si="171"/>
        <v>36</v>
      </c>
      <c r="BA184" s="16">
        <f t="shared" si="172"/>
        <v>356.40000000000003</v>
      </c>
      <c r="BB184" s="19">
        <v>0</v>
      </c>
      <c r="BC184" s="19">
        <v>0</v>
      </c>
      <c r="BD184" s="16">
        <f t="shared" si="173"/>
        <v>0</v>
      </c>
      <c r="BE184" s="16">
        <f t="shared" si="174"/>
        <v>0</v>
      </c>
      <c r="BF184" s="18">
        <f t="shared" si="175"/>
        <v>36</v>
      </c>
      <c r="BG184" s="16">
        <f t="shared" si="176"/>
        <v>356.40000000000003</v>
      </c>
      <c r="BH184" s="19">
        <v>0</v>
      </c>
      <c r="BI184" s="19">
        <v>0</v>
      </c>
      <c r="BJ184" s="16">
        <f t="shared" si="177"/>
        <v>0</v>
      </c>
      <c r="BK184" s="16">
        <f t="shared" si="178"/>
        <v>0</v>
      </c>
      <c r="BL184" s="18">
        <f t="shared" si="179"/>
        <v>36</v>
      </c>
      <c r="BM184" s="16">
        <f t="shared" si="180"/>
        <v>356.40000000000003</v>
      </c>
      <c r="BN184" s="19">
        <v>0</v>
      </c>
      <c r="BO184" s="19">
        <v>0</v>
      </c>
      <c r="BP184" s="16">
        <f t="shared" si="181"/>
        <v>0</v>
      </c>
      <c r="BQ184" s="16">
        <f t="shared" si="182"/>
        <v>0</v>
      </c>
      <c r="BR184" s="18">
        <f t="shared" si="183"/>
        <v>36</v>
      </c>
      <c r="BS184" s="16">
        <f t="shared" si="184"/>
        <v>356.40000000000003</v>
      </c>
      <c r="BT184" s="19">
        <v>0</v>
      </c>
      <c r="BU184" s="19">
        <v>0</v>
      </c>
      <c r="BV184" s="16">
        <f t="shared" si="185"/>
        <v>0</v>
      </c>
      <c r="BW184" s="16">
        <f t="shared" si="186"/>
        <v>0</v>
      </c>
      <c r="BX184" s="18">
        <f t="shared" si="187"/>
        <v>36</v>
      </c>
      <c r="BY184" s="16">
        <f t="shared" si="188"/>
        <v>356.40000000000003</v>
      </c>
      <c r="BZ184" s="19">
        <v>0</v>
      </c>
      <c r="CA184" s="19">
        <v>0</v>
      </c>
      <c r="CB184" s="16">
        <f t="shared" si="189"/>
        <v>0</v>
      </c>
      <c r="CC184" s="16">
        <f t="shared" si="190"/>
        <v>0</v>
      </c>
      <c r="CD184" s="20">
        <f t="shared" si="191"/>
        <v>36</v>
      </c>
      <c r="CE184" s="21">
        <f t="shared" si="168"/>
        <v>356.40000000000003</v>
      </c>
    </row>
    <row r="185" spans="1:83" x14ac:dyDescent="0.25">
      <c r="B185" s="70">
        <v>160</v>
      </c>
      <c r="C185" s="172" t="s">
        <v>272</v>
      </c>
      <c r="D185" s="91" t="s">
        <v>273</v>
      </c>
      <c r="E185" s="23">
        <v>30</v>
      </c>
      <c r="F185" s="23">
        <v>40</v>
      </c>
      <c r="G185" s="23">
        <v>60</v>
      </c>
      <c r="H185" s="40">
        <v>23</v>
      </c>
      <c r="I185" s="30">
        <v>2.8</v>
      </c>
      <c r="J185" s="40">
        <v>23</v>
      </c>
      <c r="K185" s="16">
        <f t="shared" si="167"/>
        <v>64.399999999999991</v>
      </c>
      <c r="L185" s="19">
        <v>0</v>
      </c>
      <c r="M185" s="19">
        <v>0</v>
      </c>
      <c r="N185" s="16">
        <f t="shared" si="169"/>
        <v>0</v>
      </c>
      <c r="O185" s="16">
        <f t="shared" si="170"/>
        <v>0</v>
      </c>
      <c r="P185" s="18">
        <f t="shared" si="155"/>
        <v>23</v>
      </c>
      <c r="Q185" s="16">
        <f t="shared" si="156"/>
        <v>64.399999999999991</v>
      </c>
      <c r="R185" s="19">
        <v>0</v>
      </c>
      <c r="S185" s="18">
        <v>0</v>
      </c>
      <c r="T185" s="16">
        <f t="shared" si="157"/>
        <v>0</v>
      </c>
      <c r="U185" s="16">
        <f t="shared" si="158"/>
        <v>0</v>
      </c>
      <c r="V185" s="18">
        <f t="shared" si="159"/>
        <v>23</v>
      </c>
      <c r="W185" s="16">
        <f t="shared" si="160"/>
        <v>64.399999999999991</v>
      </c>
      <c r="X185" s="19">
        <v>0</v>
      </c>
      <c r="Y185" s="19">
        <v>0</v>
      </c>
      <c r="Z185" s="16">
        <f t="shared" si="161"/>
        <v>0</v>
      </c>
      <c r="AA185" s="16">
        <f t="shared" si="162"/>
        <v>0</v>
      </c>
      <c r="AB185" s="18">
        <f t="shared" si="163"/>
        <v>23</v>
      </c>
      <c r="AC185" s="16">
        <f t="shared" si="164"/>
        <v>64.399999999999991</v>
      </c>
      <c r="AD185" s="19">
        <v>0</v>
      </c>
      <c r="AE185" s="19">
        <v>0</v>
      </c>
      <c r="AF185" s="16">
        <f t="shared" si="165"/>
        <v>0</v>
      </c>
      <c r="AG185" s="16">
        <f t="shared" si="166"/>
        <v>0</v>
      </c>
      <c r="AH185" s="18">
        <f t="shared" si="143"/>
        <v>23</v>
      </c>
      <c r="AI185" s="16">
        <f t="shared" si="144"/>
        <v>64.399999999999991</v>
      </c>
      <c r="AJ185" s="19">
        <v>0</v>
      </c>
      <c r="AK185" s="19">
        <v>0</v>
      </c>
      <c r="AL185" s="16">
        <f t="shared" si="145"/>
        <v>0</v>
      </c>
      <c r="AM185" s="16">
        <f t="shared" si="146"/>
        <v>0</v>
      </c>
      <c r="AN185" s="18">
        <f t="shared" si="147"/>
        <v>23</v>
      </c>
      <c r="AO185" s="16">
        <f t="shared" si="148"/>
        <v>64.399999999999991</v>
      </c>
      <c r="AP185" s="19">
        <v>0</v>
      </c>
      <c r="AQ185" s="19">
        <v>0</v>
      </c>
      <c r="AR185" s="16">
        <f t="shared" si="149"/>
        <v>0</v>
      </c>
      <c r="AS185" s="16">
        <f t="shared" si="150"/>
        <v>0</v>
      </c>
      <c r="AT185" s="18">
        <f t="shared" si="151"/>
        <v>23</v>
      </c>
      <c r="AU185" s="16">
        <f t="shared" si="152"/>
        <v>64.399999999999991</v>
      </c>
      <c r="AV185" s="19">
        <v>0</v>
      </c>
      <c r="AW185" s="19">
        <v>0</v>
      </c>
      <c r="AX185" s="16">
        <f t="shared" si="153"/>
        <v>0</v>
      </c>
      <c r="AY185" s="16">
        <f t="shared" si="154"/>
        <v>0</v>
      </c>
      <c r="AZ185" s="18">
        <f t="shared" si="171"/>
        <v>23</v>
      </c>
      <c r="BA185" s="16">
        <f t="shared" si="172"/>
        <v>64.399999999999991</v>
      </c>
      <c r="BB185" s="19">
        <v>0</v>
      </c>
      <c r="BC185" s="19">
        <v>0</v>
      </c>
      <c r="BD185" s="16">
        <f t="shared" si="173"/>
        <v>0</v>
      </c>
      <c r="BE185" s="16">
        <f t="shared" si="174"/>
        <v>0</v>
      </c>
      <c r="BF185" s="18">
        <f t="shared" si="175"/>
        <v>23</v>
      </c>
      <c r="BG185" s="16">
        <f t="shared" si="176"/>
        <v>64.399999999999991</v>
      </c>
      <c r="BH185" s="19">
        <v>0</v>
      </c>
      <c r="BI185" s="19">
        <v>0</v>
      </c>
      <c r="BJ185" s="16">
        <f t="shared" si="177"/>
        <v>0</v>
      </c>
      <c r="BK185" s="16">
        <f t="shared" si="178"/>
        <v>0</v>
      </c>
      <c r="BL185" s="18">
        <f t="shared" si="179"/>
        <v>23</v>
      </c>
      <c r="BM185" s="16">
        <f t="shared" si="180"/>
        <v>64.399999999999991</v>
      </c>
      <c r="BN185" s="19">
        <v>0</v>
      </c>
      <c r="BO185" s="19">
        <v>0</v>
      </c>
      <c r="BP185" s="16">
        <f t="shared" si="181"/>
        <v>0</v>
      </c>
      <c r="BQ185" s="16">
        <f t="shared" si="182"/>
        <v>0</v>
      </c>
      <c r="BR185" s="18">
        <f t="shared" si="183"/>
        <v>23</v>
      </c>
      <c r="BS185" s="16">
        <f t="shared" si="184"/>
        <v>64.399999999999991</v>
      </c>
      <c r="BT185" s="19">
        <v>0</v>
      </c>
      <c r="BU185" s="19">
        <v>0</v>
      </c>
      <c r="BV185" s="16">
        <f t="shared" si="185"/>
        <v>0</v>
      </c>
      <c r="BW185" s="16">
        <f t="shared" si="186"/>
        <v>0</v>
      </c>
      <c r="BX185" s="18">
        <f t="shared" si="187"/>
        <v>23</v>
      </c>
      <c r="BY185" s="16">
        <f t="shared" si="188"/>
        <v>64.399999999999991</v>
      </c>
      <c r="BZ185" s="19">
        <v>0</v>
      </c>
      <c r="CA185" s="19">
        <v>0</v>
      </c>
      <c r="CB185" s="16">
        <f t="shared" si="189"/>
        <v>0</v>
      </c>
      <c r="CC185" s="16">
        <f t="shared" si="190"/>
        <v>0</v>
      </c>
      <c r="CD185" s="20">
        <f t="shared" si="191"/>
        <v>23</v>
      </c>
      <c r="CE185" s="21">
        <f t="shared" si="168"/>
        <v>64.399999999999991</v>
      </c>
    </row>
    <row r="186" spans="1:83" x14ac:dyDescent="0.25">
      <c r="B186" s="70">
        <v>161</v>
      </c>
      <c r="C186" s="173"/>
      <c r="D186" s="91" t="s">
        <v>368</v>
      </c>
      <c r="E186" s="23"/>
      <c r="F186" s="23"/>
      <c r="G186" s="23"/>
      <c r="H186" s="40">
        <v>220</v>
      </c>
      <c r="I186" s="30">
        <v>2.8</v>
      </c>
      <c r="J186" s="40">
        <v>220</v>
      </c>
      <c r="K186" s="16">
        <f t="shared" si="167"/>
        <v>616</v>
      </c>
      <c r="L186" s="19">
        <v>52</v>
      </c>
      <c r="M186" s="19">
        <v>0</v>
      </c>
      <c r="N186" s="16">
        <f t="shared" si="169"/>
        <v>0</v>
      </c>
      <c r="O186" s="16">
        <f t="shared" si="170"/>
        <v>145.6</v>
      </c>
      <c r="P186" s="18">
        <f t="shared" si="155"/>
        <v>168</v>
      </c>
      <c r="Q186" s="16">
        <f t="shared" si="156"/>
        <v>470.4</v>
      </c>
      <c r="R186" s="19">
        <v>0</v>
      </c>
      <c r="S186" s="18">
        <v>0</v>
      </c>
      <c r="T186" s="16">
        <f t="shared" si="157"/>
        <v>0</v>
      </c>
      <c r="U186" s="16">
        <f t="shared" si="158"/>
        <v>0</v>
      </c>
      <c r="V186" s="18">
        <f t="shared" si="159"/>
        <v>168</v>
      </c>
      <c r="W186" s="16">
        <f t="shared" si="160"/>
        <v>470.4</v>
      </c>
      <c r="X186" s="19">
        <v>0</v>
      </c>
      <c r="Y186" s="19">
        <v>0</v>
      </c>
      <c r="Z186" s="16">
        <f t="shared" si="161"/>
        <v>0</v>
      </c>
      <c r="AA186" s="16">
        <f t="shared" si="162"/>
        <v>0</v>
      </c>
      <c r="AB186" s="18">
        <f t="shared" si="163"/>
        <v>168</v>
      </c>
      <c r="AC186" s="16">
        <f t="shared" si="164"/>
        <v>470.4</v>
      </c>
      <c r="AD186" s="19">
        <v>0</v>
      </c>
      <c r="AE186" s="19">
        <v>0</v>
      </c>
      <c r="AF186" s="16">
        <f t="shared" si="165"/>
        <v>0</v>
      </c>
      <c r="AG186" s="16">
        <f t="shared" si="166"/>
        <v>0</v>
      </c>
      <c r="AH186" s="18">
        <f t="shared" si="143"/>
        <v>168</v>
      </c>
      <c r="AI186" s="16">
        <f t="shared" si="144"/>
        <v>470.4</v>
      </c>
      <c r="AJ186" s="19">
        <v>15</v>
      </c>
      <c r="AK186" s="19">
        <v>0</v>
      </c>
      <c r="AL186" s="16">
        <f t="shared" si="145"/>
        <v>0</v>
      </c>
      <c r="AM186" s="16">
        <f t="shared" si="146"/>
        <v>42</v>
      </c>
      <c r="AN186" s="18">
        <f t="shared" si="147"/>
        <v>153</v>
      </c>
      <c r="AO186" s="16">
        <f t="shared" si="148"/>
        <v>428.4</v>
      </c>
      <c r="AP186" s="19">
        <v>0</v>
      </c>
      <c r="AQ186" s="19">
        <v>0</v>
      </c>
      <c r="AR186" s="16">
        <f t="shared" si="149"/>
        <v>0</v>
      </c>
      <c r="AS186" s="16">
        <f t="shared" si="150"/>
        <v>0</v>
      </c>
      <c r="AT186" s="18">
        <f t="shared" si="151"/>
        <v>153</v>
      </c>
      <c r="AU186" s="16">
        <f t="shared" si="152"/>
        <v>428.4</v>
      </c>
      <c r="AV186" s="19">
        <v>0</v>
      </c>
      <c r="AW186" s="19">
        <v>0</v>
      </c>
      <c r="AX186" s="16">
        <f t="shared" si="153"/>
        <v>0</v>
      </c>
      <c r="AY186" s="16">
        <f t="shared" si="154"/>
        <v>0</v>
      </c>
      <c r="AZ186" s="18">
        <f t="shared" si="171"/>
        <v>153</v>
      </c>
      <c r="BA186" s="16">
        <f t="shared" si="172"/>
        <v>428.4</v>
      </c>
      <c r="BB186" s="19">
        <v>0</v>
      </c>
      <c r="BC186" s="19">
        <v>0</v>
      </c>
      <c r="BD186" s="16">
        <f t="shared" si="173"/>
        <v>0</v>
      </c>
      <c r="BE186" s="16">
        <f t="shared" si="174"/>
        <v>0</v>
      </c>
      <c r="BF186" s="18">
        <f t="shared" si="175"/>
        <v>153</v>
      </c>
      <c r="BG186" s="16">
        <f t="shared" si="176"/>
        <v>428.4</v>
      </c>
      <c r="BH186" s="19">
        <v>0</v>
      </c>
      <c r="BI186" s="19">
        <v>0</v>
      </c>
      <c r="BJ186" s="16">
        <f t="shared" si="177"/>
        <v>0</v>
      </c>
      <c r="BK186" s="16">
        <f t="shared" si="178"/>
        <v>0</v>
      </c>
      <c r="BL186" s="18">
        <f t="shared" si="179"/>
        <v>153</v>
      </c>
      <c r="BM186" s="16">
        <f t="shared" si="180"/>
        <v>428.4</v>
      </c>
      <c r="BN186" s="19">
        <v>0</v>
      </c>
      <c r="BO186" s="19">
        <v>0</v>
      </c>
      <c r="BP186" s="16">
        <f t="shared" si="181"/>
        <v>0</v>
      </c>
      <c r="BQ186" s="16">
        <f t="shared" si="182"/>
        <v>0</v>
      </c>
      <c r="BR186" s="18">
        <f t="shared" si="183"/>
        <v>153</v>
      </c>
      <c r="BS186" s="16">
        <f t="shared" si="184"/>
        <v>428.4</v>
      </c>
      <c r="BT186" s="19">
        <v>0</v>
      </c>
      <c r="BU186" s="19">
        <v>0</v>
      </c>
      <c r="BV186" s="16">
        <f t="shared" si="185"/>
        <v>0</v>
      </c>
      <c r="BW186" s="16">
        <f t="shared" si="186"/>
        <v>0</v>
      </c>
      <c r="BX186" s="18">
        <f t="shared" si="187"/>
        <v>153</v>
      </c>
      <c r="BY186" s="16">
        <f t="shared" si="188"/>
        <v>428.4</v>
      </c>
      <c r="BZ186" s="19">
        <v>0</v>
      </c>
      <c r="CA186" s="19">
        <v>0</v>
      </c>
      <c r="CB186" s="16">
        <f t="shared" si="189"/>
        <v>0</v>
      </c>
      <c r="CC186" s="16">
        <f t="shared" si="190"/>
        <v>0</v>
      </c>
      <c r="CD186" s="20">
        <f t="shared" si="191"/>
        <v>153</v>
      </c>
      <c r="CE186" s="21">
        <f t="shared" si="168"/>
        <v>428.4</v>
      </c>
    </row>
    <row r="187" spans="1:83" ht="20.25" customHeight="1" x14ac:dyDescent="0.25">
      <c r="A187" s="23"/>
      <c r="B187" s="70">
        <v>162</v>
      </c>
      <c r="C187" s="174" t="s">
        <v>274</v>
      </c>
      <c r="D187" s="13" t="s">
        <v>391</v>
      </c>
      <c r="E187" s="80"/>
      <c r="F187" s="80"/>
      <c r="G187" s="80"/>
      <c r="H187" s="17">
        <v>2</v>
      </c>
      <c r="I187" s="30">
        <v>18.5</v>
      </c>
      <c r="J187" s="17">
        <v>2</v>
      </c>
      <c r="K187" s="16">
        <f t="shared" si="167"/>
        <v>37</v>
      </c>
      <c r="L187" s="19">
        <v>0</v>
      </c>
      <c r="M187" s="19">
        <v>0</v>
      </c>
      <c r="N187" s="16">
        <f t="shared" si="169"/>
        <v>0</v>
      </c>
      <c r="O187" s="16">
        <f t="shared" si="170"/>
        <v>0</v>
      </c>
      <c r="P187" s="18">
        <f t="shared" si="155"/>
        <v>2</v>
      </c>
      <c r="Q187" s="16">
        <f t="shared" si="156"/>
        <v>37</v>
      </c>
      <c r="R187" s="19">
        <v>0</v>
      </c>
      <c r="S187" s="18">
        <v>0</v>
      </c>
      <c r="T187" s="16">
        <f t="shared" si="157"/>
        <v>0</v>
      </c>
      <c r="U187" s="16">
        <f t="shared" si="158"/>
        <v>0</v>
      </c>
      <c r="V187" s="18">
        <f t="shared" si="159"/>
        <v>2</v>
      </c>
      <c r="W187" s="16">
        <f t="shared" si="160"/>
        <v>37</v>
      </c>
      <c r="X187" s="19">
        <v>1</v>
      </c>
      <c r="Y187" s="19">
        <v>0</v>
      </c>
      <c r="Z187" s="16">
        <f t="shared" si="161"/>
        <v>0</v>
      </c>
      <c r="AA187" s="16">
        <f t="shared" si="162"/>
        <v>18.5</v>
      </c>
      <c r="AB187" s="18">
        <f t="shared" si="163"/>
        <v>1</v>
      </c>
      <c r="AC187" s="16">
        <f t="shared" si="164"/>
        <v>18.5</v>
      </c>
      <c r="AD187" s="19">
        <v>0</v>
      </c>
      <c r="AE187" s="19">
        <v>0</v>
      </c>
      <c r="AF187" s="16">
        <f t="shared" si="165"/>
        <v>0</v>
      </c>
      <c r="AG187" s="16">
        <f t="shared" si="166"/>
        <v>0</v>
      </c>
      <c r="AH187" s="18">
        <f t="shared" si="143"/>
        <v>1</v>
      </c>
      <c r="AI187" s="16">
        <f t="shared" si="144"/>
        <v>18.5</v>
      </c>
      <c r="AJ187" s="19">
        <v>0</v>
      </c>
      <c r="AK187" s="19">
        <v>0</v>
      </c>
      <c r="AL187" s="16">
        <f t="shared" si="145"/>
        <v>0</v>
      </c>
      <c r="AM187" s="16">
        <f t="shared" si="146"/>
        <v>0</v>
      </c>
      <c r="AN187" s="18">
        <f t="shared" si="147"/>
        <v>1</v>
      </c>
      <c r="AO187" s="16">
        <f t="shared" si="148"/>
        <v>18.5</v>
      </c>
      <c r="AP187" s="19">
        <v>1</v>
      </c>
      <c r="AQ187" s="19">
        <v>0</v>
      </c>
      <c r="AR187" s="16">
        <f t="shared" si="149"/>
        <v>0</v>
      </c>
      <c r="AS187" s="16">
        <f t="shared" si="150"/>
        <v>18.5</v>
      </c>
      <c r="AT187" s="18">
        <f t="shared" si="151"/>
        <v>0</v>
      </c>
      <c r="AU187" s="16">
        <f t="shared" si="152"/>
        <v>0</v>
      </c>
      <c r="AV187" s="19">
        <v>0</v>
      </c>
      <c r="AW187" s="19">
        <v>0</v>
      </c>
      <c r="AX187" s="16">
        <f t="shared" si="153"/>
        <v>0</v>
      </c>
      <c r="AY187" s="16">
        <f t="shared" si="154"/>
        <v>0</v>
      </c>
      <c r="AZ187" s="18">
        <f t="shared" si="171"/>
        <v>0</v>
      </c>
      <c r="BA187" s="16">
        <f t="shared" si="172"/>
        <v>0</v>
      </c>
      <c r="BB187" s="19">
        <v>0</v>
      </c>
      <c r="BC187" s="19">
        <v>0</v>
      </c>
      <c r="BD187" s="16">
        <f t="shared" si="173"/>
        <v>0</v>
      </c>
      <c r="BE187" s="16">
        <f t="shared" si="174"/>
        <v>0</v>
      </c>
      <c r="BF187" s="18">
        <f t="shared" si="175"/>
        <v>0</v>
      </c>
      <c r="BG187" s="16">
        <f t="shared" si="176"/>
        <v>0</v>
      </c>
      <c r="BH187" s="19">
        <v>0</v>
      </c>
      <c r="BI187" s="19">
        <v>0</v>
      </c>
      <c r="BJ187" s="16">
        <f t="shared" si="177"/>
        <v>0</v>
      </c>
      <c r="BK187" s="16">
        <f t="shared" si="178"/>
        <v>0</v>
      </c>
      <c r="BL187" s="18">
        <f t="shared" si="179"/>
        <v>0</v>
      </c>
      <c r="BM187" s="16">
        <f t="shared" si="180"/>
        <v>0</v>
      </c>
      <c r="BN187" s="19">
        <v>0</v>
      </c>
      <c r="BO187" s="19">
        <v>0</v>
      </c>
      <c r="BP187" s="16">
        <f t="shared" si="181"/>
        <v>0</v>
      </c>
      <c r="BQ187" s="16">
        <f t="shared" si="182"/>
        <v>0</v>
      </c>
      <c r="BR187" s="18">
        <f t="shared" si="183"/>
        <v>0</v>
      </c>
      <c r="BS187" s="16">
        <f t="shared" si="184"/>
        <v>0</v>
      </c>
      <c r="BT187" s="19">
        <v>0</v>
      </c>
      <c r="BU187" s="19">
        <v>0</v>
      </c>
      <c r="BV187" s="16">
        <f t="shared" si="185"/>
        <v>0</v>
      </c>
      <c r="BW187" s="16">
        <f t="shared" si="186"/>
        <v>0</v>
      </c>
      <c r="BX187" s="18">
        <f t="shared" si="187"/>
        <v>0</v>
      </c>
      <c r="BY187" s="16">
        <f t="shared" si="188"/>
        <v>0</v>
      </c>
      <c r="BZ187" s="19">
        <v>0</v>
      </c>
      <c r="CA187" s="19">
        <v>0</v>
      </c>
      <c r="CB187" s="16">
        <f t="shared" si="189"/>
        <v>0</v>
      </c>
      <c r="CC187" s="16">
        <f t="shared" si="190"/>
        <v>0</v>
      </c>
      <c r="CD187" s="20">
        <f t="shared" si="191"/>
        <v>0</v>
      </c>
      <c r="CE187" s="21">
        <f t="shared" si="168"/>
        <v>0</v>
      </c>
    </row>
    <row r="188" spans="1:83" ht="20.25" customHeight="1" x14ac:dyDescent="0.25">
      <c r="A188" s="23"/>
      <c r="B188" s="70">
        <v>163</v>
      </c>
      <c r="C188" s="181"/>
      <c r="D188" s="13" t="s">
        <v>275</v>
      </c>
      <c r="E188" s="80"/>
      <c r="F188" s="80"/>
      <c r="G188" s="80"/>
      <c r="H188" s="17">
        <v>0</v>
      </c>
      <c r="I188" s="30">
        <v>25</v>
      </c>
      <c r="J188" s="17">
        <v>0</v>
      </c>
      <c r="K188" s="16">
        <f t="shared" si="167"/>
        <v>0</v>
      </c>
      <c r="L188" s="19">
        <v>0</v>
      </c>
      <c r="M188" s="19">
        <v>3</v>
      </c>
      <c r="N188" s="16">
        <f t="shared" si="169"/>
        <v>75</v>
      </c>
      <c r="O188" s="16">
        <f t="shared" si="170"/>
        <v>0</v>
      </c>
      <c r="P188" s="18">
        <f t="shared" si="155"/>
        <v>3</v>
      </c>
      <c r="Q188" s="16">
        <f t="shared" si="156"/>
        <v>75</v>
      </c>
      <c r="R188" s="19">
        <v>0</v>
      </c>
      <c r="S188" s="18">
        <v>0</v>
      </c>
      <c r="T188" s="16">
        <f t="shared" si="157"/>
        <v>0</v>
      </c>
      <c r="U188" s="16">
        <f t="shared" si="158"/>
        <v>0</v>
      </c>
      <c r="V188" s="18">
        <f t="shared" si="159"/>
        <v>3</v>
      </c>
      <c r="W188" s="16">
        <f t="shared" si="160"/>
        <v>75</v>
      </c>
      <c r="X188" s="19">
        <v>0</v>
      </c>
      <c r="Y188" s="19">
        <v>0</v>
      </c>
      <c r="Z188" s="16">
        <f t="shared" si="161"/>
        <v>0</v>
      </c>
      <c r="AA188" s="16">
        <f t="shared" si="162"/>
        <v>0</v>
      </c>
      <c r="AB188" s="18">
        <f t="shared" si="163"/>
        <v>3</v>
      </c>
      <c r="AC188" s="16">
        <f t="shared" si="164"/>
        <v>75</v>
      </c>
      <c r="AD188" s="19">
        <v>0</v>
      </c>
      <c r="AE188" s="19">
        <v>0</v>
      </c>
      <c r="AF188" s="16">
        <f t="shared" si="165"/>
        <v>0</v>
      </c>
      <c r="AG188" s="16">
        <f t="shared" si="166"/>
        <v>0</v>
      </c>
      <c r="AH188" s="18">
        <f t="shared" si="143"/>
        <v>3</v>
      </c>
      <c r="AI188" s="16">
        <f t="shared" si="144"/>
        <v>75</v>
      </c>
      <c r="AJ188" s="19">
        <v>0</v>
      </c>
      <c r="AK188" s="19">
        <v>0</v>
      </c>
      <c r="AL188" s="16">
        <f t="shared" si="145"/>
        <v>0</v>
      </c>
      <c r="AM188" s="16">
        <f t="shared" si="146"/>
        <v>0</v>
      </c>
      <c r="AN188" s="18">
        <f t="shared" si="147"/>
        <v>3</v>
      </c>
      <c r="AO188" s="16">
        <f t="shared" si="148"/>
        <v>75</v>
      </c>
      <c r="AP188" s="19">
        <v>0</v>
      </c>
      <c r="AQ188" s="19">
        <v>0</v>
      </c>
      <c r="AR188" s="16">
        <f t="shared" si="149"/>
        <v>0</v>
      </c>
      <c r="AS188" s="16">
        <f t="shared" si="150"/>
        <v>0</v>
      </c>
      <c r="AT188" s="18">
        <f t="shared" si="151"/>
        <v>3</v>
      </c>
      <c r="AU188" s="16">
        <f t="shared" si="152"/>
        <v>75</v>
      </c>
      <c r="AV188" s="19">
        <v>1</v>
      </c>
      <c r="AW188" s="19">
        <v>0</v>
      </c>
      <c r="AX188" s="16">
        <f t="shared" si="153"/>
        <v>0</v>
      </c>
      <c r="AY188" s="16">
        <f t="shared" si="154"/>
        <v>25</v>
      </c>
      <c r="AZ188" s="18">
        <f t="shared" si="171"/>
        <v>2</v>
      </c>
      <c r="BA188" s="16">
        <v>0</v>
      </c>
      <c r="BB188" s="19">
        <v>0</v>
      </c>
      <c r="BC188" s="19">
        <v>0</v>
      </c>
      <c r="BD188" s="16">
        <f t="shared" si="173"/>
        <v>0</v>
      </c>
      <c r="BE188" s="16">
        <f t="shared" si="174"/>
        <v>0</v>
      </c>
      <c r="BF188" s="18">
        <f t="shared" si="175"/>
        <v>2</v>
      </c>
      <c r="BG188" s="16">
        <f t="shared" si="176"/>
        <v>50</v>
      </c>
      <c r="BH188" s="19">
        <v>0</v>
      </c>
      <c r="BI188" s="19">
        <v>0</v>
      </c>
      <c r="BJ188" s="16"/>
      <c r="BK188" s="16"/>
      <c r="BL188" s="18"/>
      <c r="BM188" s="16"/>
      <c r="BN188" s="19"/>
      <c r="BO188" s="19"/>
      <c r="BP188" s="16"/>
      <c r="BQ188" s="16"/>
      <c r="BR188" s="18"/>
      <c r="BS188" s="16"/>
      <c r="BT188" s="19"/>
      <c r="BU188" s="19"/>
      <c r="BV188" s="16"/>
      <c r="BW188" s="16"/>
      <c r="BX188" s="18"/>
      <c r="BY188" s="16"/>
      <c r="BZ188" s="19"/>
      <c r="CA188" s="19"/>
      <c r="CB188" s="16"/>
      <c r="CC188" s="16"/>
      <c r="CD188" s="20"/>
      <c r="CE188" s="21"/>
    </row>
    <row r="189" spans="1:83" ht="20.25" customHeight="1" x14ac:dyDescent="0.25">
      <c r="A189" s="23"/>
      <c r="B189" s="70"/>
      <c r="C189" s="175"/>
      <c r="D189" s="13" t="s">
        <v>275</v>
      </c>
      <c r="E189" s="80"/>
      <c r="F189" s="80"/>
      <c r="G189" s="80"/>
      <c r="H189" s="17"/>
      <c r="I189" s="30">
        <v>18</v>
      </c>
      <c r="J189" s="17"/>
      <c r="K189" s="16"/>
      <c r="L189" s="19"/>
      <c r="M189" s="19"/>
      <c r="N189" s="16"/>
      <c r="O189" s="16"/>
      <c r="P189" s="18"/>
      <c r="Q189" s="16"/>
      <c r="R189" s="19"/>
      <c r="S189" s="18"/>
      <c r="T189" s="16"/>
      <c r="U189" s="16"/>
      <c r="V189" s="18"/>
      <c r="W189" s="16"/>
      <c r="X189" s="19"/>
      <c r="Y189" s="19"/>
      <c r="Z189" s="16"/>
      <c r="AA189" s="16"/>
      <c r="AB189" s="18"/>
      <c r="AC189" s="16"/>
      <c r="AD189" s="19"/>
      <c r="AE189" s="19"/>
      <c r="AF189" s="16"/>
      <c r="AG189" s="16"/>
      <c r="AH189" s="18"/>
      <c r="AI189" s="16"/>
      <c r="AJ189" s="19"/>
      <c r="AK189" s="19"/>
      <c r="AL189" s="16"/>
      <c r="AM189" s="16"/>
      <c r="AN189" s="18"/>
      <c r="AO189" s="16"/>
      <c r="AP189" s="19"/>
      <c r="AQ189" s="19"/>
      <c r="AR189" s="16"/>
      <c r="AS189" s="16"/>
      <c r="AT189" s="18"/>
      <c r="AU189" s="16"/>
      <c r="AV189" s="19">
        <v>0</v>
      </c>
      <c r="AW189" s="19"/>
      <c r="AX189" s="16"/>
      <c r="AY189" s="16"/>
      <c r="AZ189" s="18">
        <f t="shared" si="171"/>
        <v>0</v>
      </c>
      <c r="BA189" s="16">
        <v>0</v>
      </c>
      <c r="BB189" s="19">
        <v>0</v>
      </c>
      <c r="BC189" s="19">
        <v>5</v>
      </c>
      <c r="BD189" s="16">
        <f t="shared" si="173"/>
        <v>90</v>
      </c>
      <c r="BE189" s="16">
        <f t="shared" si="174"/>
        <v>0</v>
      </c>
      <c r="BF189" s="18">
        <f t="shared" si="175"/>
        <v>5</v>
      </c>
      <c r="BG189" s="16">
        <f t="shared" si="176"/>
        <v>90</v>
      </c>
      <c r="BH189" s="19">
        <v>0</v>
      </c>
      <c r="BI189" s="19">
        <v>0</v>
      </c>
      <c r="BJ189" s="16"/>
      <c r="BK189" s="16"/>
      <c r="BL189" s="18"/>
      <c r="BM189" s="16"/>
      <c r="BN189" s="19"/>
      <c r="BO189" s="19"/>
      <c r="BP189" s="16"/>
      <c r="BQ189" s="16"/>
      <c r="BR189" s="18"/>
      <c r="BS189" s="16"/>
      <c r="BT189" s="19"/>
      <c r="BU189" s="19"/>
      <c r="BV189" s="16"/>
      <c r="BW189" s="16"/>
      <c r="BX189" s="18"/>
      <c r="BY189" s="16"/>
      <c r="BZ189" s="19"/>
      <c r="CA189" s="19"/>
      <c r="CB189" s="16"/>
      <c r="CC189" s="16"/>
      <c r="CD189" s="20"/>
      <c r="CE189" s="21"/>
    </row>
    <row r="190" spans="1:83" x14ac:dyDescent="0.25">
      <c r="A190" s="23"/>
      <c r="B190" s="70">
        <v>164</v>
      </c>
      <c r="C190" s="170" t="s">
        <v>276</v>
      </c>
      <c r="D190" s="13" t="s">
        <v>277</v>
      </c>
      <c r="E190" s="22"/>
      <c r="F190" s="22"/>
      <c r="G190" s="22"/>
      <c r="H190" s="17">
        <v>11</v>
      </c>
      <c r="I190" s="30">
        <v>1.4</v>
      </c>
      <c r="J190" s="17">
        <v>11</v>
      </c>
      <c r="K190" s="16">
        <f t="shared" si="167"/>
        <v>15.399999999999999</v>
      </c>
      <c r="L190" s="19">
        <v>4</v>
      </c>
      <c r="M190" s="19">
        <v>0</v>
      </c>
      <c r="N190" s="16">
        <f t="shared" si="169"/>
        <v>0</v>
      </c>
      <c r="O190" s="16">
        <f t="shared" si="170"/>
        <v>5.6</v>
      </c>
      <c r="P190" s="18">
        <f t="shared" si="155"/>
        <v>7</v>
      </c>
      <c r="Q190" s="16">
        <f t="shared" si="156"/>
        <v>9.7999999999999989</v>
      </c>
      <c r="R190" s="19">
        <v>1</v>
      </c>
      <c r="S190" s="18">
        <v>0</v>
      </c>
      <c r="T190" s="16">
        <f t="shared" si="157"/>
        <v>0</v>
      </c>
      <c r="U190" s="16">
        <f t="shared" si="158"/>
        <v>1.4</v>
      </c>
      <c r="V190" s="18">
        <f t="shared" si="159"/>
        <v>6</v>
      </c>
      <c r="W190" s="16">
        <f t="shared" si="160"/>
        <v>8.3999999999999986</v>
      </c>
      <c r="X190" s="19">
        <v>1</v>
      </c>
      <c r="Y190" s="19">
        <v>0</v>
      </c>
      <c r="Z190" s="16">
        <f t="shared" si="161"/>
        <v>0</v>
      </c>
      <c r="AA190" s="16">
        <f t="shared" si="162"/>
        <v>1.4</v>
      </c>
      <c r="AB190" s="18">
        <f t="shared" si="163"/>
        <v>5</v>
      </c>
      <c r="AC190" s="16">
        <f t="shared" si="164"/>
        <v>7</v>
      </c>
      <c r="AD190" s="19">
        <v>1</v>
      </c>
      <c r="AE190" s="19">
        <v>0</v>
      </c>
      <c r="AF190" s="16">
        <f t="shared" si="165"/>
        <v>0</v>
      </c>
      <c r="AG190" s="16">
        <f t="shared" si="166"/>
        <v>1.4</v>
      </c>
      <c r="AH190" s="18">
        <f t="shared" si="143"/>
        <v>4</v>
      </c>
      <c r="AI190" s="16">
        <f t="shared" si="144"/>
        <v>5.6</v>
      </c>
      <c r="AJ190" s="19">
        <v>0</v>
      </c>
      <c r="AK190" s="19">
        <v>0</v>
      </c>
      <c r="AL190" s="16">
        <f t="shared" si="145"/>
        <v>0</v>
      </c>
      <c r="AM190" s="16">
        <f t="shared" si="146"/>
        <v>0</v>
      </c>
      <c r="AN190" s="18">
        <f t="shared" si="147"/>
        <v>4</v>
      </c>
      <c r="AO190" s="16">
        <f t="shared" si="148"/>
        <v>5.6</v>
      </c>
      <c r="AP190" s="19">
        <v>0</v>
      </c>
      <c r="AQ190" s="19">
        <v>0</v>
      </c>
      <c r="AR190" s="16">
        <f t="shared" si="149"/>
        <v>0</v>
      </c>
      <c r="AS190" s="16">
        <f t="shared" si="150"/>
        <v>0</v>
      </c>
      <c r="AT190" s="18">
        <f t="shared" si="151"/>
        <v>4</v>
      </c>
      <c r="AU190" s="16">
        <f t="shared" si="152"/>
        <v>5.6</v>
      </c>
      <c r="AV190" s="19">
        <v>3</v>
      </c>
      <c r="AW190" s="19">
        <v>0</v>
      </c>
      <c r="AX190" s="16">
        <f t="shared" si="153"/>
        <v>0</v>
      </c>
      <c r="AY190" s="16">
        <f t="shared" si="154"/>
        <v>4.1999999999999993</v>
      </c>
      <c r="AZ190" s="18">
        <f t="shared" si="171"/>
        <v>1</v>
      </c>
      <c r="BA190" s="16">
        <f t="shared" si="172"/>
        <v>1.4</v>
      </c>
      <c r="BB190" s="19">
        <v>0</v>
      </c>
      <c r="BC190" s="19">
        <v>0</v>
      </c>
      <c r="BD190" s="16">
        <f t="shared" si="173"/>
        <v>0</v>
      </c>
      <c r="BE190" s="16">
        <f t="shared" si="174"/>
        <v>0</v>
      </c>
      <c r="BF190" s="18">
        <f t="shared" si="175"/>
        <v>1</v>
      </c>
      <c r="BG190" s="16">
        <f t="shared" si="176"/>
        <v>1.4</v>
      </c>
      <c r="BH190" s="19">
        <v>0</v>
      </c>
      <c r="BI190" s="19">
        <v>0</v>
      </c>
      <c r="BJ190" s="16">
        <f t="shared" si="177"/>
        <v>0</v>
      </c>
      <c r="BK190" s="16">
        <f t="shared" si="178"/>
        <v>0</v>
      </c>
      <c r="BL190" s="18">
        <f t="shared" si="179"/>
        <v>1</v>
      </c>
      <c r="BM190" s="16">
        <f t="shared" si="180"/>
        <v>1.4</v>
      </c>
      <c r="BN190" s="19">
        <v>0</v>
      </c>
      <c r="BO190" s="19">
        <v>0</v>
      </c>
      <c r="BP190" s="16">
        <f t="shared" si="181"/>
        <v>0</v>
      </c>
      <c r="BQ190" s="16">
        <f t="shared" si="182"/>
        <v>0</v>
      </c>
      <c r="BR190" s="18">
        <f t="shared" si="183"/>
        <v>1</v>
      </c>
      <c r="BS190" s="16">
        <f t="shared" si="184"/>
        <v>1.4</v>
      </c>
      <c r="BT190" s="19">
        <v>0</v>
      </c>
      <c r="BU190" s="19">
        <v>0</v>
      </c>
      <c r="BV190" s="16">
        <f t="shared" si="185"/>
        <v>0</v>
      </c>
      <c r="BW190" s="16">
        <f t="shared" si="186"/>
        <v>0</v>
      </c>
      <c r="BX190" s="18">
        <f t="shared" si="187"/>
        <v>1</v>
      </c>
      <c r="BY190" s="16">
        <f t="shared" si="188"/>
        <v>1.4</v>
      </c>
      <c r="BZ190" s="19">
        <v>0</v>
      </c>
      <c r="CA190" s="19">
        <v>0</v>
      </c>
      <c r="CB190" s="16">
        <f t="shared" si="189"/>
        <v>0</v>
      </c>
      <c r="CC190" s="16">
        <f t="shared" si="190"/>
        <v>0</v>
      </c>
      <c r="CD190" s="20">
        <f t="shared" si="191"/>
        <v>1</v>
      </c>
      <c r="CE190" s="21">
        <f t="shared" si="168"/>
        <v>1.4</v>
      </c>
    </row>
    <row r="191" spans="1:83" x14ac:dyDescent="0.25">
      <c r="A191" s="23"/>
      <c r="B191" s="70"/>
      <c r="C191" s="171"/>
      <c r="D191" s="13" t="s">
        <v>277</v>
      </c>
      <c r="E191" s="22"/>
      <c r="F191" s="22"/>
      <c r="G191" s="22"/>
      <c r="H191" s="17"/>
      <c r="I191" s="30">
        <v>1.76</v>
      </c>
      <c r="J191" s="17"/>
      <c r="K191" s="16"/>
      <c r="L191" s="19"/>
      <c r="M191" s="19"/>
      <c r="N191" s="16"/>
      <c r="O191" s="16"/>
      <c r="P191" s="18"/>
      <c r="Q191" s="16"/>
      <c r="R191" s="19"/>
      <c r="S191" s="18"/>
      <c r="T191" s="16"/>
      <c r="U191" s="16"/>
      <c r="V191" s="18"/>
      <c r="W191" s="16"/>
      <c r="X191" s="19"/>
      <c r="Y191" s="19"/>
      <c r="Z191" s="16"/>
      <c r="AA191" s="16"/>
      <c r="AB191" s="18">
        <v>0</v>
      </c>
      <c r="AC191" s="16">
        <v>0</v>
      </c>
      <c r="AD191" s="19">
        <v>0</v>
      </c>
      <c r="AE191" s="19">
        <v>0</v>
      </c>
      <c r="AF191" s="16">
        <v>0</v>
      </c>
      <c r="AG191" s="16">
        <v>0</v>
      </c>
      <c r="AH191" s="18">
        <f t="shared" si="143"/>
        <v>0</v>
      </c>
      <c r="AI191" s="16">
        <f t="shared" si="144"/>
        <v>0</v>
      </c>
      <c r="AJ191" s="19">
        <v>0</v>
      </c>
      <c r="AK191" s="19">
        <v>40</v>
      </c>
      <c r="AL191" s="16">
        <f t="shared" si="145"/>
        <v>70.400000000000006</v>
      </c>
      <c r="AM191" s="16">
        <f t="shared" si="146"/>
        <v>0</v>
      </c>
      <c r="AN191" s="18">
        <f t="shared" si="147"/>
        <v>40</v>
      </c>
      <c r="AO191" s="16">
        <f t="shared" si="148"/>
        <v>70.400000000000006</v>
      </c>
      <c r="AP191" s="19">
        <v>0</v>
      </c>
      <c r="AQ191" s="19">
        <v>0</v>
      </c>
      <c r="AR191" s="16">
        <f t="shared" si="149"/>
        <v>0</v>
      </c>
      <c r="AS191" s="16">
        <f t="shared" si="150"/>
        <v>0</v>
      </c>
      <c r="AT191" s="18">
        <f t="shared" si="151"/>
        <v>40</v>
      </c>
      <c r="AU191" s="16">
        <f t="shared" si="152"/>
        <v>70.400000000000006</v>
      </c>
      <c r="AV191" s="19">
        <v>0</v>
      </c>
      <c r="AW191" s="19">
        <v>0</v>
      </c>
      <c r="AX191" s="16">
        <f t="shared" si="153"/>
        <v>0</v>
      </c>
      <c r="AY191" s="16">
        <f t="shared" si="154"/>
        <v>0</v>
      </c>
      <c r="AZ191" s="18">
        <f t="shared" si="171"/>
        <v>40</v>
      </c>
      <c r="BA191" s="16"/>
      <c r="BB191" s="19">
        <v>0</v>
      </c>
      <c r="BC191" s="19">
        <v>0</v>
      </c>
      <c r="BD191" s="16">
        <f t="shared" si="173"/>
        <v>0</v>
      </c>
      <c r="BE191" s="16">
        <f t="shared" si="174"/>
        <v>0</v>
      </c>
      <c r="BF191" s="18">
        <f t="shared" si="175"/>
        <v>40</v>
      </c>
      <c r="BG191" s="16">
        <f t="shared" si="176"/>
        <v>70.400000000000006</v>
      </c>
      <c r="BH191" s="19">
        <v>0</v>
      </c>
      <c r="BI191" s="19">
        <v>0</v>
      </c>
      <c r="BJ191" s="16"/>
      <c r="BK191" s="16"/>
      <c r="BL191" s="18"/>
      <c r="BM191" s="16"/>
      <c r="BN191" s="19"/>
      <c r="BO191" s="19"/>
      <c r="BP191" s="16"/>
      <c r="BQ191" s="16"/>
      <c r="BR191" s="18"/>
      <c r="BS191" s="16"/>
      <c r="BT191" s="19"/>
      <c r="BU191" s="19"/>
      <c r="BV191" s="16"/>
      <c r="BW191" s="16"/>
      <c r="BX191" s="18"/>
      <c r="BY191" s="16"/>
      <c r="BZ191" s="19"/>
      <c r="CA191" s="19"/>
      <c r="CB191" s="16"/>
      <c r="CC191" s="16"/>
      <c r="CD191" s="20"/>
      <c r="CE191" s="21"/>
    </row>
    <row r="192" spans="1:83" x14ac:dyDescent="0.25">
      <c r="A192" s="23"/>
      <c r="B192" s="70">
        <v>165</v>
      </c>
      <c r="C192" s="79" t="s">
        <v>278</v>
      </c>
      <c r="D192" s="13" t="s">
        <v>279</v>
      </c>
      <c r="E192" s="23"/>
      <c r="F192" s="23"/>
      <c r="G192" s="23"/>
      <c r="H192" s="17">
        <v>0</v>
      </c>
      <c r="I192" s="30">
        <v>0.12</v>
      </c>
      <c r="J192" s="17">
        <v>0</v>
      </c>
      <c r="K192" s="16">
        <f t="shared" si="167"/>
        <v>0</v>
      </c>
      <c r="L192" s="19">
        <v>0</v>
      </c>
      <c r="M192" s="19">
        <v>0</v>
      </c>
      <c r="N192" s="16">
        <f t="shared" si="169"/>
        <v>0</v>
      </c>
      <c r="O192" s="16">
        <f t="shared" si="170"/>
        <v>0</v>
      </c>
      <c r="P192" s="18">
        <f t="shared" si="155"/>
        <v>0</v>
      </c>
      <c r="Q192" s="16">
        <f t="shared" si="156"/>
        <v>0</v>
      </c>
      <c r="R192" s="19">
        <v>0</v>
      </c>
      <c r="S192" s="18">
        <v>0</v>
      </c>
      <c r="T192" s="16">
        <f t="shared" si="157"/>
        <v>0</v>
      </c>
      <c r="U192" s="16">
        <f t="shared" si="158"/>
        <v>0</v>
      </c>
      <c r="V192" s="18">
        <f t="shared" si="159"/>
        <v>0</v>
      </c>
      <c r="W192" s="16">
        <f t="shared" si="160"/>
        <v>0</v>
      </c>
      <c r="X192" s="19">
        <v>0</v>
      </c>
      <c r="Y192" s="19">
        <v>0</v>
      </c>
      <c r="Z192" s="16">
        <f t="shared" si="161"/>
        <v>0</v>
      </c>
      <c r="AA192" s="16">
        <f t="shared" si="162"/>
        <v>0</v>
      </c>
      <c r="AB192" s="18">
        <f t="shared" si="163"/>
        <v>0</v>
      </c>
      <c r="AC192" s="16">
        <f t="shared" si="164"/>
        <v>0</v>
      </c>
      <c r="AD192" s="19">
        <v>0</v>
      </c>
      <c r="AE192" s="19">
        <v>0</v>
      </c>
      <c r="AF192" s="16">
        <f t="shared" si="165"/>
        <v>0</v>
      </c>
      <c r="AG192" s="16">
        <f t="shared" si="166"/>
        <v>0</v>
      </c>
      <c r="AH192" s="18">
        <f t="shared" si="143"/>
        <v>0</v>
      </c>
      <c r="AI192" s="16">
        <f t="shared" si="144"/>
        <v>0</v>
      </c>
      <c r="AJ192" s="19">
        <v>0</v>
      </c>
      <c r="AK192" s="19">
        <v>0</v>
      </c>
      <c r="AL192" s="16">
        <f t="shared" si="145"/>
        <v>0</v>
      </c>
      <c r="AM192" s="16">
        <f t="shared" si="146"/>
        <v>0</v>
      </c>
      <c r="AN192" s="18">
        <f t="shared" si="147"/>
        <v>0</v>
      </c>
      <c r="AO192" s="16">
        <f t="shared" si="148"/>
        <v>0</v>
      </c>
      <c r="AP192" s="19">
        <v>0</v>
      </c>
      <c r="AQ192" s="19">
        <v>0</v>
      </c>
      <c r="AR192" s="16">
        <f t="shared" si="149"/>
        <v>0</v>
      </c>
      <c r="AS192" s="16">
        <f t="shared" si="150"/>
        <v>0</v>
      </c>
      <c r="AT192" s="18">
        <f t="shared" si="151"/>
        <v>0</v>
      </c>
      <c r="AU192" s="16">
        <f t="shared" si="152"/>
        <v>0</v>
      </c>
      <c r="AV192" s="19">
        <v>0</v>
      </c>
      <c r="AW192" s="19">
        <v>0</v>
      </c>
      <c r="AX192" s="16">
        <f t="shared" si="153"/>
        <v>0</v>
      </c>
      <c r="AY192" s="16">
        <f t="shared" si="154"/>
        <v>0</v>
      </c>
      <c r="AZ192" s="18">
        <f t="shared" si="171"/>
        <v>0</v>
      </c>
      <c r="BA192" s="16">
        <f t="shared" si="172"/>
        <v>0</v>
      </c>
      <c r="BB192" s="19">
        <v>0</v>
      </c>
      <c r="BC192" s="19">
        <v>0</v>
      </c>
      <c r="BD192" s="16">
        <f t="shared" si="173"/>
        <v>0</v>
      </c>
      <c r="BE192" s="16">
        <f t="shared" si="174"/>
        <v>0</v>
      </c>
      <c r="BF192" s="18">
        <f t="shared" si="175"/>
        <v>0</v>
      </c>
      <c r="BG192" s="16">
        <f t="shared" si="176"/>
        <v>0</v>
      </c>
      <c r="BH192" s="19">
        <v>0</v>
      </c>
      <c r="BI192" s="19">
        <v>0</v>
      </c>
      <c r="BJ192" s="16">
        <f t="shared" si="177"/>
        <v>0</v>
      </c>
      <c r="BK192" s="16">
        <f t="shared" si="178"/>
        <v>0</v>
      </c>
      <c r="BL192" s="18">
        <f t="shared" si="179"/>
        <v>0</v>
      </c>
      <c r="BM192" s="16">
        <f t="shared" si="180"/>
        <v>0</v>
      </c>
      <c r="BN192" s="19">
        <v>0</v>
      </c>
      <c r="BO192" s="19">
        <v>0</v>
      </c>
      <c r="BP192" s="16">
        <f t="shared" si="181"/>
        <v>0</v>
      </c>
      <c r="BQ192" s="16">
        <f t="shared" si="182"/>
        <v>0</v>
      </c>
      <c r="BR192" s="18">
        <f t="shared" si="183"/>
        <v>0</v>
      </c>
      <c r="BS192" s="16">
        <f t="shared" si="184"/>
        <v>0</v>
      </c>
      <c r="BT192" s="19">
        <v>0</v>
      </c>
      <c r="BU192" s="19">
        <v>0</v>
      </c>
      <c r="BV192" s="16">
        <f t="shared" si="185"/>
        <v>0</v>
      </c>
      <c r="BW192" s="16">
        <f t="shared" si="186"/>
        <v>0</v>
      </c>
      <c r="BX192" s="18">
        <f t="shared" si="187"/>
        <v>0</v>
      </c>
      <c r="BY192" s="16">
        <f t="shared" si="188"/>
        <v>0</v>
      </c>
      <c r="BZ192" s="19">
        <v>0</v>
      </c>
      <c r="CA192" s="19">
        <v>0</v>
      </c>
      <c r="CB192" s="16">
        <f t="shared" si="189"/>
        <v>0</v>
      </c>
      <c r="CC192" s="16">
        <f t="shared" si="190"/>
        <v>0</v>
      </c>
      <c r="CD192" s="20">
        <f t="shared" si="191"/>
        <v>0</v>
      </c>
      <c r="CE192" s="21">
        <f t="shared" si="168"/>
        <v>0</v>
      </c>
    </row>
    <row r="193" spans="1:83" x14ac:dyDescent="0.25">
      <c r="A193" s="23"/>
      <c r="B193" s="70">
        <v>166</v>
      </c>
      <c r="C193" s="86" t="s">
        <v>280</v>
      </c>
      <c r="D193" s="13" t="s">
        <v>341</v>
      </c>
      <c r="E193" s="23"/>
      <c r="F193" s="23"/>
      <c r="G193" s="23"/>
      <c r="H193" s="17">
        <v>1</v>
      </c>
      <c r="I193" s="30">
        <v>13</v>
      </c>
      <c r="J193" s="17">
        <v>1</v>
      </c>
      <c r="K193" s="16">
        <f t="shared" si="167"/>
        <v>13</v>
      </c>
      <c r="L193" s="19">
        <v>0</v>
      </c>
      <c r="M193" s="19">
        <v>0</v>
      </c>
      <c r="N193" s="16">
        <f t="shared" si="169"/>
        <v>0</v>
      </c>
      <c r="O193" s="16">
        <f t="shared" si="170"/>
        <v>0</v>
      </c>
      <c r="P193" s="18">
        <f t="shared" si="155"/>
        <v>1</v>
      </c>
      <c r="Q193" s="16">
        <f t="shared" si="156"/>
        <v>13</v>
      </c>
      <c r="R193" s="19">
        <v>0</v>
      </c>
      <c r="S193" s="18">
        <v>0</v>
      </c>
      <c r="T193" s="16">
        <f t="shared" si="157"/>
        <v>0</v>
      </c>
      <c r="U193" s="16">
        <f t="shared" si="158"/>
        <v>0</v>
      </c>
      <c r="V193" s="18">
        <f t="shared" si="159"/>
        <v>1</v>
      </c>
      <c r="W193" s="16">
        <f t="shared" si="160"/>
        <v>13</v>
      </c>
      <c r="X193" s="19">
        <v>1</v>
      </c>
      <c r="Y193" s="19">
        <v>0</v>
      </c>
      <c r="Z193" s="16">
        <f t="shared" si="161"/>
        <v>0</v>
      </c>
      <c r="AA193" s="16">
        <f t="shared" si="162"/>
        <v>13</v>
      </c>
      <c r="AB193" s="18">
        <f t="shared" si="163"/>
        <v>0</v>
      </c>
      <c r="AC193" s="16">
        <f t="shared" si="164"/>
        <v>0</v>
      </c>
      <c r="AD193" s="19">
        <v>0</v>
      </c>
      <c r="AE193" s="19">
        <v>0</v>
      </c>
      <c r="AF193" s="16">
        <f t="shared" si="165"/>
        <v>0</v>
      </c>
      <c r="AG193" s="16">
        <f t="shared" si="166"/>
        <v>0</v>
      </c>
      <c r="AH193" s="18">
        <f t="shared" si="143"/>
        <v>0</v>
      </c>
      <c r="AI193" s="16">
        <f t="shared" si="144"/>
        <v>0</v>
      </c>
      <c r="AJ193" s="19">
        <v>0</v>
      </c>
      <c r="AK193" s="19">
        <v>0</v>
      </c>
      <c r="AL193" s="16">
        <f t="shared" si="145"/>
        <v>0</v>
      </c>
      <c r="AM193" s="16">
        <f t="shared" si="146"/>
        <v>0</v>
      </c>
      <c r="AN193" s="18">
        <f t="shared" si="147"/>
        <v>0</v>
      </c>
      <c r="AO193" s="16">
        <f t="shared" si="148"/>
        <v>0</v>
      </c>
      <c r="AP193" s="19">
        <v>0</v>
      </c>
      <c r="AQ193" s="19">
        <v>0</v>
      </c>
      <c r="AR193" s="16">
        <f t="shared" si="149"/>
        <v>0</v>
      </c>
      <c r="AS193" s="16">
        <f t="shared" si="150"/>
        <v>0</v>
      </c>
      <c r="AT193" s="18">
        <f t="shared" si="151"/>
        <v>0</v>
      </c>
      <c r="AU193" s="16">
        <f t="shared" si="152"/>
        <v>0</v>
      </c>
      <c r="AV193" s="19">
        <v>0</v>
      </c>
      <c r="AW193" s="19">
        <v>0</v>
      </c>
      <c r="AX193" s="16">
        <f t="shared" si="153"/>
        <v>0</v>
      </c>
      <c r="AY193" s="16">
        <f t="shared" si="154"/>
        <v>0</v>
      </c>
      <c r="AZ193" s="18">
        <f t="shared" si="171"/>
        <v>0</v>
      </c>
      <c r="BA193" s="16">
        <f t="shared" si="172"/>
        <v>0</v>
      </c>
      <c r="BB193" s="19">
        <v>0</v>
      </c>
      <c r="BC193" s="19">
        <v>0</v>
      </c>
      <c r="BD193" s="16">
        <f t="shared" si="173"/>
        <v>0</v>
      </c>
      <c r="BE193" s="16">
        <f t="shared" si="174"/>
        <v>0</v>
      </c>
      <c r="BF193" s="18">
        <f t="shared" si="175"/>
        <v>0</v>
      </c>
      <c r="BG193" s="16">
        <f t="shared" si="176"/>
        <v>0</v>
      </c>
      <c r="BH193" s="19">
        <v>0</v>
      </c>
      <c r="BI193" s="19">
        <v>0</v>
      </c>
      <c r="BJ193" s="16">
        <f t="shared" si="177"/>
        <v>0</v>
      </c>
      <c r="BK193" s="16">
        <f t="shared" si="178"/>
        <v>0</v>
      </c>
      <c r="BL193" s="18">
        <f t="shared" si="179"/>
        <v>0</v>
      </c>
      <c r="BM193" s="16">
        <f t="shared" si="180"/>
        <v>0</v>
      </c>
      <c r="BN193" s="19">
        <v>0</v>
      </c>
      <c r="BO193" s="19">
        <v>0</v>
      </c>
      <c r="BP193" s="16">
        <f t="shared" si="181"/>
        <v>0</v>
      </c>
      <c r="BQ193" s="16">
        <f t="shared" si="182"/>
        <v>0</v>
      </c>
      <c r="BR193" s="18">
        <f t="shared" si="183"/>
        <v>0</v>
      </c>
      <c r="BS193" s="16">
        <f t="shared" si="184"/>
        <v>0</v>
      </c>
      <c r="BT193" s="19">
        <v>0</v>
      </c>
      <c r="BU193" s="19">
        <v>0</v>
      </c>
      <c r="BV193" s="16">
        <f t="shared" si="185"/>
        <v>0</v>
      </c>
      <c r="BW193" s="16">
        <f t="shared" si="186"/>
        <v>0</v>
      </c>
      <c r="BX193" s="18">
        <f t="shared" si="187"/>
        <v>0</v>
      </c>
      <c r="BY193" s="16">
        <f t="shared" si="188"/>
        <v>0</v>
      </c>
      <c r="BZ193" s="19">
        <v>0</v>
      </c>
      <c r="CA193" s="19">
        <v>0</v>
      </c>
      <c r="CB193" s="16">
        <f t="shared" si="189"/>
        <v>0</v>
      </c>
      <c r="CC193" s="16">
        <f t="shared" si="190"/>
        <v>0</v>
      </c>
      <c r="CD193" s="20">
        <f t="shared" si="191"/>
        <v>0</v>
      </c>
      <c r="CE193" s="21">
        <f t="shared" si="168"/>
        <v>0</v>
      </c>
    </row>
    <row r="194" spans="1:83" x14ac:dyDescent="0.25">
      <c r="A194" s="23"/>
      <c r="B194" s="70">
        <v>167</v>
      </c>
      <c r="C194" s="174" t="s">
        <v>282</v>
      </c>
      <c r="D194" s="13" t="s">
        <v>283</v>
      </c>
      <c r="E194" s="22"/>
      <c r="F194" s="22"/>
      <c r="G194" s="22"/>
      <c r="H194" s="17">
        <v>1</v>
      </c>
      <c r="I194" s="30">
        <v>23</v>
      </c>
      <c r="J194" s="17">
        <v>1</v>
      </c>
      <c r="K194" s="16">
        <f t="shared" si="167"/>
        <v>23</v>
      </c>
      <c r="L194" s="19">
        <v>0</v>
      </c>
      <c r="M194" s="19">
        <v>0</v>
      </c>
      <c r="N194" s="16">
        <f t="shared" si="169"/>
        <v>0</v>
      </c>
      <c r="O194" s="16">
        <f t="shared" si="170"/>
        <v>0</v>
      </c>
      <c r="P194" s="18">
        <f t="shared" si="155"/>
        <v>1</v>
      </c>
      <c r="Q194" s="16">
        <f t="shared" si="156"/>
        <v>23</v>
      </c>
      <c r="R194" s="19">
        <v>0</v>
      </c>
      <c r="S194" s="18">
        <v>0</v>
      </c>
      <c r="T194" s="16">
        <f t="shared" si="157"/>
        <v>0</v>
      </c>
      <c r="U194" s="16">
        <f t="shared" si="158"/>
        <v>0</v>
      </c>
      <c r="V194" s="18">
        <f t="shared" si="159"/>
        <v>1</v>
      </c>
      <c r="W194" s="16">
        <f t="shared" si="160"/>
        <v>23</v>
      </c>
      <c r="X194" s="19">
        <v>0</v>
      </c>
      <c r="Y194" s="19">
        <v>0</v>
      </c>
      <c r="Z194" s="16">
        <f t="shared" si="161"/>
        <v>0</v>
      </c>
      <c r="AA194" s="16">
        <f t="shared" si="162"/>
        <v>0</v>
      </c>
      <c r="AB194" s="18">
        <f t="shared" si="163"/>
        <v>1</v>
      </c>
      <c r="AC194" s="16">
        <f t="shared" si="164"/>
        <v>23</v>
      </c>
      <c r="AD194" s="19">
        <v>0</v>
      </c>
      <c r="AE194" s="19">
        <v>0</v>
      </c>
      <c r="AF194" s="16">
        <f t="shared" si="165"/>
        <v>0</v>
      </c>
      <c r="AG194" s="16">
        <f t="shared" si="166"/>
        <v>0</v>
      </c>
      <c r="AH194" s="18">
        <f t="shared" si="143"/>
        <v>1</v>
      </c>
      <c r="AI194" s="16">
        <f t="shared" si="144"/>
        <v>23</v>
      </c>
      <c r="AJ194" s="19">
        <v>0</v>
      </c>
      <c r="AK194" s="19">
        <v>0</v>
      </c>
      <c r="AL194" s="16">
        <f t="shared" si="145"/>
        <v>0</v>
      </c>
      <c r="AM194" s="16">
        <f t="shared" si="146"/>
        <v>0</v>
      </c>
      <c r="AN194" s="18">
        <f t="shared" si="147"/>
        <v>1</v>
      </c>
      <c r="AO194" s="16">
        <f t="shared" si="148"/>
        <v>23</v>
      </c>
      <c r="AP194" s="19">
        <v>0</v>
      </c>
      <c r="AQ194" s="19">
        <v>0</v>
      </c>
      <c r="AR194" s="16">
        <f t="shared" si="149"/>
        <v>0</v>
      </c>
      <c r="AS194" s="16">
        <f t="shared" si="150"/>
        <v>0</v>
      </c>
      <c r="AT194" s="18">
        <f t="shared" si="151"/>
        <v>1</v>
      </c>
      <c r="AU194" s="16">
        <f t="shared" si="152"/>
        <v>23</v>
      </c>
      <c r="AV194" s="19">
        <v>0</v>
      </c>
      <c r="AW194" s="19">
        <v>0</v>
      </c>
      <c r="AX194" s="16">
        <f t="shared" si="153"/>
        <v>0</v>
      </c>
      <c r="AY194" s="16">
        <f t="shared" si="154"/>
        <v>0</v>
      </c>
      <c r="AZ194" s="18">
        <f t="shared" si="171"/>
        <v>1</v>
      </c>
      <c r="BA194" s="16">
        <f t="shared" si="172"/>
        <v>23</v>
      </c>
      <c r="BB194" s="19">
        <v>0</v>
      </c>
      <c r="BC194" s="19">
        <v>0</v>
      </c>
      <c r="BD194" s="16">
        <f t="shared" si="173"/>
        <v>0</v>
      </c>
      <c r="BE194" s="16">
        <f t="shared" si="174"/>
        <v>0</v>
      </c>
      <c r="BF194" s="18">
        <f t="shared" si="175"/>
        <v>1</v>
      </c>
      <c r="BG194" s="16">
        <f t="shared" si="176"/>
        <v>23</v>
      </c>
      <c r="BH194" s="19">
        <v>0</v>
      </c>
      <c r="BI194" s="19">
        <v>0</v>
      </c>
      <c r="BJ194" s="16">
        <f t="shared" si="177"/>
        <v>0</v>
      </c>
      <c r="BK194" s="16">
        <f t="shared" si="178"/>
        <v>0</v>
      </c>
      <c r="BL194" s="18">
        <f t="shared" si="179"/>
        <v>1</v>
      </c>
      <c r="BM194" s="16">
        <f t="shared" si="180"/>
        <v>23</v>
      </c>
      <c r="BN194" s="19">
        <v>0</v>
      </c>
      <c r="BO194" s="19">
        <v>0</v>
      </c>
      <c r="BP194" s="16">
        <f t="shared" si="181"/>
        <v>0</v>
      </c>
      <c r="BQ194" s="16">
        <f t="shared" si="182"/>
        <v>0</v>
      </c>
      <c r="BR194" s="18">
        <f t="shared" si="183"/>
        <v>1</v>
      </c>
      <c r="BS194" s="16">
        <f t="shared" si="184"/>
        <v>23</v>
      </c>
      <c r="BT194" s="19">
        <v>0</v>
      </c>
      <c r="BU194" s="19">
        <v>0</v>
      </c>
      <c r="BV194" s="16">
        <f t="shared" si="185"/>
        <v>0</v>
      </c>
      <c r="BW194" s="16">
        <f t="shared" si="186"/>
        <v>0</v>
      </c>
      <c r="BX194" s="18">
        <f t="shared" si="187"/>
        <v>1</v>
      </c>
      <c r="BY194" s="16">
        <f t="shared" si="188"/>
        <v>23</v>
      </c>
      <c r="BZ194" s="19">
        <v>0</v>
      </c>
      <c r="CA194" s="19">
        <v>0</v>
      </c>
      <c r="CB194" s="16">
        <f t="shared" si="189"/>
        <v>0</v>
      </c>
      <c r="CC194" s="16">
        <f t="shared" si="190"/>
        <v>0</v>
      </c>
      <c r="CD194" s="20">
        <f t="shared" si="191"/>
        <v>1</v>
      </c>
      <c r="CE194" s="21">
        <f t="shared" si="168"/>
        <v>23</v>
      </c>
    </row>
    <row r="195" spans="1:83" x14ac:dyDescent="0.25">
      <c r="A195" s="23"/>
      <c r="B195" s="70"/>
      <c r="C195" s="175"/>
      <c r="D195" s="13" t="s">
        <v>283</v>
      </c>
      <c r="E195" s="22"/>
      <c r="F195" s="22"/>
      <c r="G195" s="22"/>
      <c r="H195" s="17"/>
      <c r="I195" s="30">
        <v>23</v>
      </c>
      <c r="J195" s="17"/>
      <c r="K195" s="16"/>
      <c r="L195" s="19"/>
      <c r="M195" s="19"/>
      <c r="N195" s="16"/>
      <c r="O195" s="16"/>
      <c r="P195" s="18"/>
      <c r="Q195" s="16"/>
      <c r="R195" s="19"/>
      <c r="S195" s="18"/>
      <c r="T195" s="16"/>
      <c r="U195" s="16"/>
      <c r="V195" s="18"/>
      <c r="W195" s="16"/>
      <c r="X195" s="19"/>
      <c r="Y195" s="19"/>
      <c r="Z195" s="16"/>
      <c r="AA195" s="16"/>
      <c r="AB195" s="18"/>
      <c r="AC195" s="16"/>
      <c r="AD195" s="19"/>
      <c r="AE195" s="19"/>
      <c r="AF195" s="16"/>
      <c r="AG195" s="16"/>
      <c r="AH195" s="18"/>
      <c r="AI195" s="16"/>
      <c r="AJ195" s="19"/>
      <c r="AK195" s="19"/>
      <c r="AL195" s="16"/>
      <c r="AM195" s="16"/>
      <c r="AN195" s="18"/>
      <c r="AO195" s="16"/>
      <c r="AP195" s="19"/>
      <c r="AQ195" s="19"/>
      <c r="AR195" s="16"/>
      <c r="AS195" s="16"/>
      <c r="AT195" s="18"/>
      <c r="AU195" s="16"/>
      <c r="AV195" s="19">
        <v>0</v>
      </c>
      <c r="AW195" s="19"/>
      <c r="AX195" s="16"/>
      <c r="AY195" s="16"/>
      <c r="AZ195" s="18"/>
      <c r="BA195" s="16">
        <f t="shared" si="172"/>
        <v>0</v>
      </c>
      <c r="BB195" s="19">
        <v>0</v>
      </c>
      <c r="BC195" s="19">
        <v>2</v>
      </c>
      <c r="BD195" s="16">
        <f t="shared" si="173"/>
        <v>46</v>
      </c>
      <c r="BE195" s="16">
        <f t="shared" si="174"/>
        <v>0</v>
      </c>
      <c r="BF195" s="18">
        <f t="shared" si="175"/>
        <v>2</v>
      </c>
      <c r="BG195" s="16"/>
      <c r="BH195" s="19">
        <v>0</v>
      </c>
      <c r="BI195" s="19">
        <v>0</v>
      </c>
      <c r="BJ195" s="16"/>
      <c r="BK195" s="16">
        <f t="shared" si="178"/>
        <v>0</v>
      </c>
      <c r="BL195" s="18"/>
      <c r="BM195" s="16"/>
      <c r="BN195" s="19"/>
      <c r="BO195" s="19"/>
      <c r="BP195" s="16"/>
      <c r="BQ195" s="16"/>
      <c r="BR195" s="18"/>
      <c r="BS195" s="16"/>
      <c r="BT195" s="19"/>
      <c r="BU195" s="19"/>
      <c r="BV195" s="16"/>
      <c r="BW195" s="16"/>
      <c r="BX195" s="18"/>
      <c r="BY195" s="16"/>
      <c r="BZ195" s="19"/>
      <c r="CA195" s="19"/>
      <c r="CB195" s="16"/>
      <c r="CC195" s="16"/>
      <c r="CD195" s="20"/>
      <c r="CE195" s="21"/>
    </row>
    <row r="196" spans="1:83" x14ac:dyDescent="0.25">
      <c r="A196" s="23"/>
      <c r="B196" s="70">
        <v>168</v>
      </c>
      <c r="C196" s="174" t="s">
        <v>284</v>
      </c>
      <c r="D196" s="13" t="s">
        <v>285</v>
      </c>
      <c r="E196" s="22"/>
      <c r="F196" s="22"/>
      <c r="G196" s="22"/>
      <c r="H196" s="17">
        <v>0</v>
      </c>
      <c r="I196" s="30">
        <v>0.35</v>
      </c>
      <c r="J196" s="17">
        <v>0</v>
      </c>
      <c r="K196" s="16">
        <f t="shared" si="167"/>
        <v>0</v>
      </c>
      <c r="L196" s="19">
        <v>0</v>
      </c>
      <c r="M196" s="19">
        <v>0</v>
      </c>
      <c r="N196" s="16">
        <f t="shared" si="169"/>
        <v>0</v>
      </c>
      <c r="O196" s="16">
        <f t="shared" si="170"/>
        <v>0</v>
      </c>
      <c r="P196" s="18">
        <f t="shared" si="155"/>
        <v>0</v>
      </c>
      <c r="Q196" s="16">
        <f t="shared" si="156"/>
        <v>0</v>
      </c>
      <c r="R196" s="19">
        <v>0</v>
      </c>
      <c r="S196" s="18">
        <v>0</v>
      </c>
      <c r="T196" s="16">
        <f t="shared" si="157"/>
        <v>0</v>
      </c>
      <c r="U196" s="16">
        <f t="shared" si="158"/>
        <v>0</v>
      </c>
      <c r="V196" s="18">
        <f t="shared" si="159"/>
        <v>0</v>
      </c>
      <c r="W196" s="16">
        <f t="shared" si="160"/>
        <v>0</v>
      </c>
      <c r="X196" s="19">
        <v>0</v>
      </c>
      <c r="Y196" s="19">
        <v>0</v>
      </c>
      <c r="Z196" s="16">
        <f t="shared" si="161"/>
        <v>0</v>
      </c>
      <c r="AA196" s="16">
        <f t="shared" si="162"/>
        <v>0</v>
      </c>
      <c r="AB196" s="18">
        <f t="shared" si="163"/>
        <v>0</v>
      </c>
      <c r="AC196" s="16">
        <f t="shared" si="164"/>
        <v>0</v>
      </c>
      <c r="AD196" s="19">
        <v>0</v>
      </c>
      <c r="AE196" s="19">
        <v>0</v>
      </c>
      <c r="AF196" s="16">
        <f t="shared" si="165"/>
        <v>0</v>
      </c>
      <c r="AG196" s="16">
        <f t="shared" si="166"/>
        <v>0</v>
      </c>
      <c r="AH196" s="18">
        <f t="shared" si="143"/>
        <v>0</v>
      </c>
      <c r="AI196" s="16">
        <f t="shared" si="144"/>
        <v>0</v>
      </c>
      <c r="AJ196" s="19">
        <v>0</v>
      </c>
      <c r="AK196" s="19">
        <v>0</v>
      </c>
      <c r="AL196" s="16">
        <f t="shared" si="145"/>
        <v>0</v>
      </c>
      <c r="AM196" s="16">
        <f t="shared" si="146"/>
        <v>0</v>
      </c>
      <c r="AN196" s="18">
        <f t="shared" si="147"/>
        <v>0</v>
      </c>
      <c r="AO196" s="16">
        <f t="shared" si="148"/>
        <v>0</v>
      </c>
      <c r="AP196" s="19">
        <v>0</v>
      </c>
      <c r="AQ196" s="19">
        <v>0</v>
      </c>
      <c r="AR196" s="16">
        <f t="shared" si="149"/>
        <v>0</v>
      </c>
      <c r="AS196" s="16">
        <f t="shared" si="150"/>
        <v>0</v>
      </c>
      <c r="AT196" s="18">
        <f t="shared" si="151"/>
        <v>0</v>
      </c>
      <c r="AU196" s="16">
        <f t="shared" si="152"/>
        <v>0</v>
      </c>
      <c r="AV196" s="19">
        <v>0</v>
      </c>
      <c r="AW196" s="19">
        <v>0</v>
      </c>
      <c r="AX196" s="16">
        <f t="shared" si="153"/>
        <v>0</v>
      </c>
      <c r="AY196" s="16">
        <f t="shared" si="154"/>
        <v>0</v>
      </c>
      <c r="AZ196" s="18">
        <f t="shared" si="171"/>
        <v>0</v>
      </c>
      <c r="BA196" s="16">
        <f t="shared" si="172"/>
        <v>0</v>
      </c>
      <c r="BB196" s="19">
        <v>0</v>
      </c>
      <c r="BC196" s="19">
        <v>0</v>
      </c>
      <c r="BD196" s="16">
        <f t="shared" si="173"/>
        <v>0</v>
      </c>
      <c r="BE196" s="16">
        <f t="shared" si="174"/>
        <v>0</v>
      </c>
      <c r="BF196" s="18">
        <f t="shared" si="175"/>
        <v>0</v>
      </c>
      <c r="BG196" s="16">
        <f t="shared" si="176"/>
        <v>0</v>
      </c>
      <c r="BH196" s="19">
        <v>0</v>
      </c>
      <c r="BI196" s="19">
        <v>0</v>
      </c>
      <c r="BJ196" s="16">
        <f t="shared" si="177"/>
        <v>0</v>
      </c>
      <c r="BK196" s="16">
        <f t="shared" si="178"/>
        <v>0</v>
      </c>
      <c r="BL196" s="18">
        <f t="shared" si="179"/>
        <v>0</v>
      </c>
      <c r="BM196" s="16">
        <f t="shared" si="180"/>
        <v>0</v>
      </c>
      <c r="BN196" s="19">
        <v>0</v>
      </c>
      <c r="BO196" s="19">
        <v>0</v>
      </c>
      <c r="BP196" s="16">
        <f t="shared" si="181"/>
        <v>0</v>
      </c>
      <c r="BQ196" s="16">
        <f t="shared" si="182"/>
        <v>0</v>
      </c>
      <c r="BR196" s="18">
        <f t="shared" si="183"/>
        <v>0</v>
      </c>
      <c r="BS196" s="16">
        <f t="shared" si="184"/>
        <v>0</v>
      </c>
      <c r="BT196" s="19">
        <v>0</v>
      </c>
      <c r="BU196" s="19">
        <v>0</v>
      </c>
      <c r="BV196" s="16">
        <f t="shared" si="185"/>
        <v>0</v>
      </c>
      <c r="BW196" s="16">
        <f t="shared" si="186"/>
        <v>0</v>
      </c>
      <c r="BX196" s="18">
        <f t="shared" si="187"/>
        <v>0</v>
      </c>
      <c r="BY196" s="16">
        <f t="shared" si="188"/>
        <v>0</v>
      </c>
      <c r="BZ196" s="19">
        <v>0</v>
      </c>
      <c r="CA196" s="19">
        <v>0</v>
      </c>
      <c r="CB196" s="16">
        <f t="shared" si="189"/>
        <v>0</v>
      </c>
      <c r="CC196" s="16">
        <f t="shared" si="190"/>
        <v>0</v>
      </c>
      <c r="CD196" s="20">
        <f t="shared" si="191"/>
        <v>0</v>
      </c>
      <c r="CE196" s="21">
        <f t="shared" ref="CE196:CE220" si="194">CD196*I196</f>
        <v>0</v>
      </c>
    </row>
    <row r="197" spans="1:83" x14ac:dyDescent="0.25">
      <c r="A197" s="23"/>
      <c r="B197" s="70"/>
      <c r="C197" s="175"/>
      <c r="D197" s="13" t="s">
        <v>479</v>
      </c>
      <c r="E197" s="80"/>
      <c r="F197" s="80"/>
      <c r="G197" s="80"/>
      <c r="H197" s="17"/>
      <c r="I197" s="30">
        <v>30</v>
      </c>
      <c r="J197" s="17"/>
      <c r="K197" s="16"/>
      <c r="L197" s="19"/>
      <c r="M197" s="19"/>
      <c r="N197" s="16"/>
      <c r="O197" s="16"/>
      <c r="P197" s="18"/>
      <c r="Q197" s="16"/>
      <c r="R197" s="19"/>
      <c r="S197" s="18"/>
      <c r="T197" s="16"/>
      <c r="U197" s="16"/>
      <c r="V197" s="18"/>
      <c r="W197" s="16"/>
      <c r="X197" s="19"/>
      <c r="Y197" s="19"/>
      <c r="Z197" s="16"/>
      <c r="AA197" s="16"/>
      <c r="AB197" s="18"/>
      <c r="AC197" s="16"/>
      <c r="AD197" s="19"/>
      <c r="AE197" s="19"/>
      <c r="AF197" s="16"/>
      <c r="AG197" s="16"/>
      <c r="AH197" s="18"/>
      <c r="AI197" s="16"/>
      <c r="AJ197" s="19"/>
      <c r="AK197" s="19"/>
      <c r="AL197" s="16"/>
      <c r="AM197" s="16"/>
      <c r="AN197" s="18"/>
      <c r="AO197" s="16"/>
      <c r="AP197" s="19"/>
      <c r="AQ197" s="19"/>
      <c r="AR197" s="16"/>
      <c r="AS197" s="16"/>
      <c r="AT197" s="18"/>
      <c r="AU197" s="16"/>
      <c r="AV197" s="19">
        <v>0</v>
      </c>
      <c r="AW197" s="19"/>
      <c r="AX197" s="16"/>
      <c r="AY197" s="16"/>
      <c r="AZ197" s="18"/>
      <c r="BA197" s="16">
        <f t="shared" si="172"/>
        <v>0</v>
      </c>
      <c r="BB197" s="19">
        <v>0</v>
      </c>
      <c r="BC197" s="19">
        <v>2</v>
      </c>
      <c r="BD197" s="16">
        <f t="shared" si="173"/>
        <v>60</v>
      </c>
      <c r="BE197" s="16">
        <f t="shared" si="174"/>
        <v>0</v>
      </c>
      <c r="BF197" s="18">
        <f t="shared" si="175"/>
        <v>2</v>
      </c>
      <c r="BG197" s="16"/>
      <c r="BH197" s="19">
        <v>0</v>
      </c>
      <c r="BI197" s="19">
        <v>0</v>
      </c>
      <c r="BJ197" s="16"/>
      <c r="BK197" s="16">
        <f t="shared" si="178"/>
        <v>0</v>
      </c>
      <c r="BL197" s="18"/>
      <c r="BM197" s="16"/>
      <c r="BN197" s="19"/>
      <c r="BO197" s="19"/>
      <c r="BP197" s="16"/>
      <c r="BQ197" s="16"/>
      <c r="BR197" s="18"/>
      <c r="BS197" s="16"/>
      <c r="BT197" s="19"/>
      <c r="BU197" s="19"/>
      <c r="BV197" s="16"/>
      <c r="BW197" s="16"/>
      <c r="BX197" s="18"/>
      <c r="BY197" s="16"/>
      <c r="BZ197" s="19"/>
      <c r="CA197" s="19"/>
      <c r="CB197" s="16"/>
      <c r="CC197" s="16"/>
      <c r="CD197" s="20"/>
      <c r="CE197" s="21"/>
    </row>
    <row r="198" spans="1:83" x14ac:dyDescent="0.25">
      <c r="A198" s="23">
        <v>122</v>
      </c>
      <c r="B198" s="70">
        <v>169</v>
      </c>
      <c r="C198" s="79" t="s">
        <v>286</v>
      </c>
      <c r="D198" s="13" t="s">
        <v>287</v>
      </c>
      <c r="E198" s="12">
        <v>50</v>
      </c>
      <c r="F198" s="12">
        <v>80</v>
      </c>
      <c r="G198" s="12">
        <v>100</v>
      </c>
      <c r="H198" s="17">
        <v>100</v>
      </c>
      <c r="I198" s="30">
        <v>0.6</v>
      </c>
      <c r="J198" s="17">
        <v>100</v>
      </c>
      <c r="K198" s="16">
        <f t="shared" si="167"/>
        <v>60</v>
      </c>
      <c r="L198" s="19">
        <v>100</v>
      </c>
      <c r="M198" s="19">
        <v>0</v>
      </c>
      <c r="N198" s="16">
        <f t="shared" si="169"/>
        <v>0</v>
      </c>
      <c r="O198" s="16">
        <f t="shared" si="170"/>
        <v>60</v>
      </c>
      <c r="P198" s="18">
        <f t="shared" si="155"/>
        <v>0</v>
      </c>
      <c r="Q198" s="16">
        <f t="shared" si="156"/>
        <v>0</v>
      </c>
      <c r="R198" s="19">
        <v>0</v>
      </c>
      <c r="S198" s="18">
        <v>0</v>
      </c>
      <c r="T198" s="16">
        <f t="shared" si="157"/>
        <v>0</v>
      </c>
      <c r="U198" s="16">
        <f t="shared" si="158"/>
        <v>0</v>
      </c>
      <c r="V198" s="18">
        <f t="shared" si="159"/>
        <v>0</v>
      </c>
      <c r="W198" s="16">
        <f t="shared" si="160"/>
        <v>0</v>
      </c>
      <c r="X198" s="19">
        <v>0</v>
      </c>
      <c r="Y198" s="19">
        <v>0</v>
      </c>
      <c r="Z198" s="16">
        <f t="shared" si="161"/>
        <v>0</v>
      </c>
      <c r="AA198" s="16">
        <f t="shared" si="162"/>
        <v>0</v>
      </c>
      <c r="AB198" s="18">
        <f t="shared" si="163"/>
        <v>0</v>
      </c>
      <c r="AC198" s="16">
        <f t="shared" si="164"/>
        <v>0</v>
      </c>
      <c r="AD198" s="19">
        <v>0</v>
      </c>
      <c r="AE198" s="19">
        <v>0</v>
      </c>
      <c r="AF198" s="16">
        <f t="shared" si="165"/>
        <v>0</v>
      </c>
      <c r="AG198" s="16">
        <f t="shared" si="166"/>
        <v>0</v>
      </c>
      <c r="AH198" s="18">
        <f t="shared" si="143"/>
        <v>0</v>
      </c>
      <c r="AI198" s="16">
        <f t="shared" si="144"/>
        <v>0</v>
      </c>
      <c r="AJ198" s="19">
        <v>0</v>
      </c>
      <c r="AK198" s="19">
        <v>0</v>
      </c>
      <c r="AL198" s="16">
        <f t="shared" si="145"/>
        <v>0</v>
      </c>
      <c r="AM198" s="16">
        <f t="shared" si="146"/>
        <v>0</v>
      </c>
      <c r="AN198" s="18">
        <f t="shared" si="147"/>
        <v>0</v>
      </c>
      <c r="AO198" s="16">
        <f t="shared" si="148"/>
        <v>0</v>
      </c>
      <c r="AP198" s="19">
        <v>0</v>
      </c>
      <c r="AQ198" s="19">
        <v>0</v>
      </c>
      <c r="AR198" s="16">
        <f t="shared" si="149"/>
        <v>0</v>
      </c>
      <c r="AS198" s="16">
        <f t="shared" si="150"/>
        <v>0</v>
      </c>
      <c r="AT198" s="18">
        <f t="shared" si="151"/>
        <v>0</v>
      </c>
      <c r="AU198" s="16">
        <f t="shared" si="152"/>
        <v>0</v>
      </c>
      <c r="AV198" s="19">
        <v>0</v>
      </c>
      <c r="AW198" s="19">
        <v>0</v>
      </c>
      <c r="AX198" s="16">
        <f t="shared" si="153"/>
        <v>0</v>
      </c>
      <c r="AY198" s="16">
        <f t="shared" si="154"/>
        <v>0</v>
      </c>
      <c r="AZ198" s="18">
        <f t="shared" si="171"/>
        <v>0</v>
      </c>
      <c r="BA198" s="16">
        <f t="shared" si="172"/>
        <v>0</v>
      </c>
      <c r="BB198" s="19">
        <v>0</v>
      </c>
      <c r="BC198" s="19">
        <v>0</v>
      </c>
      <c r="BD198" s="16">
        <f t="shared" si="173"/>
        <v>0</v>
      </c>
      <c r="BE198" s="16">
        <f t="shared" si="174"/>
        <v>0</v>
      </c>
      <c r="BF198" s="18">
        <f t="shared" si="175"/>
        <v>0</v>
      </c>
      <c r="BG198" s="16">
        <f t="shared" si="176"/>
        <v>0</v>
      </c>
      <c r="BH198" s="19">
        <v>0</v>
      </c>
      <c r="BI198" s="19">
        <v>0</v>
      </c>
      <c r="BJ198" s="16">
        <f t="shared" si="177"/>
        <v>0</v>
      </c>
      <c r="BK198" s="16">
        <f t="shared" si="178"/>
        <v>0</v>
      </c>
      <c r="BL198" s="18">
        <f t="shared" si="179"/>
        <v>0</v>
      </c>
      <c r="BM198" s="16">
        <f t="shared" si="180"/>
        <v>0</v>
      </c>
      <c r="BN198" s="19">
        <v>0</v>
      </c>
      <c r="BO198" s="19">
        <v>0</v>
      </c>
      <c r="BP198" s="16">
        <f t="shared" si="181"/>
        <v>0</v>
      </c>
      <c r="BQ198" s="16">
        <f t="shared" si="182"/>
        <v>0</v>
      </c>
      <c r="BR198" s="18">
        <f t="shared" si="183"/>
        <v>0</v>
      </c>
      <c r="BS198" s="16">
        <f t="shared" si="184"/>
        <v>0</v>
      </c>
      <c r="BT198" s="19">
        <v>0</v>
      </c>
      <c r="BU198" s="19">
        <v>0</v>
      </c>
      <c r="BV198" s="16">
        <f t="shared" si="185"/>
        <v>0</v>
      </c>
      <c r="BW198" s="16">
        <f t="shared" si="186"/>
        <v>0</v>
      </c>
      <c r="BX198" s="18">
        <f t="shared" si="187"/>
        <v>0</v>
      </c>
      <c r="BY198" s="16">
        <f t="shared" si="188"/>
        <v>0</v>
      </c>
      <c r="BZ198" s="19">
        <v>0</v>
      </c>
      <c r="CA198" s="19">
        <v>0</v>
      </c>
      <c r="CB198" s="16">
        <f t="shared" si="189"/>
        <v>0</v>
      </c>
      <c r="CC198" s="16">
        <f t="shared" si="190"/>
        <v>0</v>
      </c>
      <c r="CD198" s="20">
        <f t="shared" ref="CD198:CD220" si="195">BX198-BZ198+CA198</f>
        <v>0</v>
      </c>
      <c r="CE198" s="21">
        <f t="shared" si="194"/>
        <v>0</v>
      </c>
    </row>
    <row r="199" spans="1:83" x14ac:dyDescent="0.25">
      <c r="B199" s="70">
        <v>170</v>
      </c>
      <c r="C199" s="86" t="s">
        <v>288</v>
      </c>
      <c r="D199" s="13" t="s">
        <v>354</v>
      </c>
      <c r="E199" s="12"/>
      <c r="F199" s="12"/>
      <c r="G199" s="12"/>
      <c r="H199" s="17">
        <v>3</v>
      </c>
      <c r="I199" s="30">
        <v>19.899999999999999</v>
      </c>
      <c r="J199" s="17">
        <v>3</v>
      </c>
      <c r="K199" s="16">
        <f t="shared" si="167"/>
        <v>59.699999999999996</v>
      </c>
      <c r="L199" s="19">
        <v>0</v>
      </c>
      <c r="M199" s="19">
        <v>0</v>
      </c>
      <c r="N199" s="16">
        <f t="shared" si="169"/>
        <v>0</v>
      </c>
      <c r="O199" s="16">
        <f t="shared" si="170"/>
        <v>0</v>
      </c>
      <c r="P199" s="18">
        <f t="shared" si="155"/>
        <v>3</v>
      </c>
      <c r="Q199" s="16">
        <f t="shared" si="156"/>
        <v>59.699999999999996</v>
      </c>
      <c r="R199" s="19">
        <v>0</v>
      </c>
      <c r="S199" s="18">
        <v>0</v>
      </c>
      <c r="T199" s="16">
        <f t="shared" si="157"/>
        <v>0</v>
      </c>
      <c r="U199" s="16">
        <f t="shared" si="158"/>
        <v>0</v>
      </c>
      <c r="V199" s="18">
        <f t="shared" si="159"/>
        <v>3</v>
      </c>
      <c r="W199" s="16">
        <f t="shared" si="160"/>
        <v>59.699999999999996</v>
      </c>
      <c r="X199" s="19">
        <v>0</v>
      </c>
      <c r="Y199" s="19">
        <v>0</v>
      </c>
      <c r="Z199" s="16">
        <f t="shared" si="161"/>
        <v>0</v>
      </c>
      <c r="AA199" s="16">
        <f t="shared" si="162"/>
        <v>0</v>
      </c>
      <c r="AB199" s="18">
        <f t="shared" si="163"/>
        <v>3</v>
      </c>
      <c r="AC199" s="16">
        <f t="shared" si="164"/>
        <v>59.699999999999996</v>
      </c>
      <c r="AD199" s="19">
        <v>0</v>
      </c>
      <c r="AE199" s="19">
        <v>0</v>
      </c>
      <c r="AF199" s="16">
        <f t="shared" si="165"/>
        <v>0</v>
      </c>
      <c r="AG199" s="16">
        <f t="shared" si="166"/>
        <v>0</v>
      </c>
      <c r="AH199" s="18">
        <f t="shared" si="143"/>
        <v>3</v>
      </c>
      <c r="AI199" s="16">
        <f t="shared" si="144"/>
        <v>59.699999999999996</v>
      </c>
      <c r="AJ199" s="19">
        <v>0</v>
      </c>
      <c r="AK199" s="19">
        <v>0</v>
      </c>
      <c r="AL199" s="16">
        <f t="shared" si="145"/>
        <v>0</v>
      </c>
      <c r="AM199" s="16">
        <f t="shared" si="146"/>
        <v>0</v>
      </c>
      <c r="AN199" s="18">
        <f t="shared" si="147"/>
        <v>3</v>
      </c>
      <c r="AO199" s="16">
        <f t="shared" si="148"/>
        <v>59.699999999999996</v>
      </c>
      <c r="AP199" s="19">
        <v>0</v>
      </c>
      <c r="AQ199" s="19">
        <v>0</v>
      </c>
      <c r="AR199" s="16">
        <f t="shared" si="149"/>
        <v>0</v>
      </c>
      <c r="AS199" s="16">
        <f t="shared" si="150"/>
        <v>0</v>
      </c>
      <c r="AT199" s="18">
        <f t="shared" si="151"/>
        <v>3</v>
      </c>
      <c r="AU199" s="16">
        <f t="shared" si="152"/>
        <v>59.699999999999996</v>
      </c>
      <c r="AV199" s="19">
        <v>0</v>
      </c>
      <c r="AW199" s="19">
        <v>0</v>
      </c>
      <c r="AX199" s="16">
        <f t="shared" si="153"/>
        <v>0</v>
      </c>
      <c r="AY199" s="16">
        <f t="shared" si="154"/>
        <v>0</v>
      </c>
      <c r="AZ199" s="18">
        <f t="shared" si="171"/>
        <v>3</v>
      </c>
      <c r="BA199" s="16">
        <f t="shared" si="172"/>
        <v>59.699999999999996</v>
      </c>
      <c r="BB199" s="19">
        <v>0</v>
      </c>
      <c r="BC199" s="19">
        <v>0</v>
      </c>
      <c r="BD199" s="16">
        <f t="shared" si="173"/>
        <v>0</v>
      </c>
      <c r="BE199" s="16">
        <f t="shared" si="174"/>
        <v>0</v>
      </c>
      <c r="BF199" s="18">
        <f t="shared" si="175"/>
        <v>3</v>
      </c>
      <c r="BG199" s="16">
        <f t="shared" si="176"/>
        <v>59.699999999999996</v>
      </c>
      <c r="BH199" s="19">
        <v>0</v>
      </c>
      <c r="BI199" s="19">
        <v>0</v>
      </c>
      <c r="BJ199" s="16">
        <f t="shared" si="177"/>
        <v>0</v>
      </c>
      <c r="BK199" s="16">
        <f t="shared" si="178"/>
        <v>0</v>
      </c>
      <c r="BL199" s="18">
        <f t="shared" si="179"/>
        <v>3</v>
      </c>
      <c r="BM199" s="16">
        <f t="shared" si="180"/>
        <v>59.699999999999996</v>
      </c>
      <c r="BN199" s="19">
        <v>0</v>
      </c>
      <c r="BO199" s="19">
        <v>0</v>
      </c>
      <c r="BP199" s="16">
        <f t="shared" si="181"/>
        <v>0</v>
      </c>
      <c r="BQ199" s="16">
        <f t="shared" si="182"/>
        <v>0</v>
      </c>
      <c r="BR199" s="18">
        <f t="shared" si="183"/>
        <v>3</v>
      </c>
      <c r="BS199" s="16">
        <f t="shared" si="184"/>
        <v>59.699999999999996</v>
      </c>
      <c r="BT199" s="19">
        <v>0</v>
      </c>
      <c r="BU199" s="19">
        <v>0</v>
      </c>
      <c r="BV199" s="16">
        <f t="shared" si="185"/>
        <v>0</v>
      </c>
      <c r="BW199" s="16">
        <f t="shared" si="186"/>
        <v>0</v>
      </c>
      <c r="BX199" s="18">
        <f t="shared" si="187"/>
        <v>3</v>
      </c>
      <c r="BY199" s="16">
        <f t="shared" si="188"/>
        <v>59.699999999999996</v>
      </c>
      <c r="BZ199" s="19">
        <v>0</v>
      </c>
      <c r="CA199" s="19">
        <v>0</v>
      </c>
      <c r="CB199" s="16">
        <f t="shared" si="189"/>
        <v>0</v>
      </c>
      <c r="CC199" s="16">
        <f t="shared" si="190"/>
        <v>0</v>
      </c>
      <c r="CD199" s="20">
        <f t="shared" si="195"/>
        <v>3</v>
      </c>
      <c r="CE199" s="21">
        <f t="shared" si="194"/>
        <v>59.699999999999996</v>
      </c>
    </row>
    <row r="200" spans="1:83" x14ac:dyDescent="0.25">
      <c r="B200" s="70">
        <v>171</v>
      </c>
      <c r="C200" s="79" t="s">
        <v>290</v>
      </c>
      <c r="D200" s="41" t="s">
        <v>366</v>
      </c>
      <c r="E200" s="23"/>
      <c r="F200" s="23"/>
      <c r="G200" s="23"/>
      <c r="H200" s="40">
        <v>12</v>
      </c>
      <c r="I200" s="30">
        <v>13.9</v>
      </c>
      <c r="J200" s="40">
        <v>12</v>
      </c>
      <c r="K200" s="16">
        <f t="shared" si="167"/>
        <v>166.8</v>
      </c>
      <c r="L200" s="19">
        <v>0</v>
      </c>
      <c r="M200" s="19">
        <v>0</v>
      </c>
      <c r="N200" s="16">
        <f t="shared" si="169"/>
        <v>0</v>
      </c>
      <c r="O200" s="16">
        <f t="shared" si="170"/>
        <v>0</v>
      </c>
      <c r="P200" s="18">
        <f t="shared" si="155"/>
        <v>12</v>
      </c>
      <c r="Q200" s="16">
        <f t="shared" si="156"/>
        <v>166.8</v>
      </c>
      <c r="R200" s="19">
        <v>0</v>
      </c>
      <c r="S200" s="18">
        <v>0</v>
      </c>
      <c r="T200" s="16">
        <f t="shared" si="157"/>
        <v>0</v>
      </c>
      <c r="U200" s="16">
        <f t="shared" si="158"/>
        <v>0</v>
      </c>
      <c r="V200" s="18">
        <f t="shared" si="159"/>
        <v>12</v>
      </c>
      <c r="W200" s="16">
        <f t="shared" si="160"/>
        <v>166.8</v>
      </c>
      <c r="X200" s="19">
        <v>0</v>
      </c>
      <c r="Y200" s="19">
        <v>0</v>
      </c>
      <c r="Z200" s="16">
        <f t="shared" si="161"/>
        <v>0</v>
      </c>
      <c r="AA200" s="16">
        <f t="shared" si="162"/>
        <v>0</v>
      </c>
      <c r="AB200" s="18">
        <f t="shared" si="163"/>
        <v>12</v>
      </c>
      <c r="AC200" s="16">
        <f t="shared" si="164"/>
        <v>166.8</v>
      </c>
      <c r="AD200" s="19">
        <v>1</v>
      </c>
      <c r="AE200" s="19">
        <v>0</v>
      </c>
      <c r="AF200" s="16">
        <f t="shared" si="165"/>
        <v>0</v>
      </c>
      <c r="AG200" s="16">
        <f t="shared" si="166"/>
        <v>13.9</v>
      </c>
      <c r="AH200" s="18">
        <f t="shared" si="143"/>
        <v>11</v>
      </c>
      <c r="AI200" s="16">
        <f t="shared" si="144"/>
        <v>152.9</v>
      </c>
      <c r="AJ200" s="19">
        <v>0</v>
      </c>
      <c r="AK200" s="19">
        <v>0</v>
      </c>
      <c r="AL200" s="16">
        <f t="shared" si="145"/>
        <v>0</v>
      </c>
      <c r="AM200" s="16">
        <f t="shared" si="146"/>
        <v>0</v>
      </c>
      <c r="AN200" s="18">
        <f t="shared" si="147"/>
        <v>11</v>
      </c>
      <c r="AO200" s="16">
        <f t="shared" si="148"/>
        <v>152.9</v>
      </c>
      <c r="AP200" s="19">
        <v>0</v>
      </c>
      <c r="AQ200" s="19">
        <v>0</v>
      </c>
      <c r="AR200" s="16">
        <f t="shared" si="149"/>
        <v>0</v>
      </c>
      <c r="AS200" s="16">
        <f t="shared" si="150"/>
        <v>0</v>
      </c>
      <c r="AT200" s="18">
        <f t="shared" si="151"/>
        <v>11</v>
      </c>
      <c r="AU200" s="16">
        <f t="shared" si="152"/>
        <v>152.9</v>
      </c>
      <c r="AV200" s="19">
        <v>0</v>
      </c>
      <c r="AW200" s="19">
        <v>0</v>
      </c>
      <c r="AX200" s="16">
        <f t="shared" si="153"/>
        <v>0</v>
      </c>
      <c r="AY200" s="16">
        <f t="shared" si="154"/>
        <v>0</v>
      </c>
      <c r="AZ200" s="18">
        <f t="shared" si="171"/>
        <v>11</v>
      </c>
      <c r="BA200" s="16">
        <f t="shared" si="172"/>
        <v>152.9</v>
      </c>
      <c r="BB200" s="19">
        <v>0</v>
      </c>
      <c r="BC200" s="19">
        <v>0</v>
      </c>
      <c r="BD200" s="16">
        <f t="shared" si="173"/>
        <v>0</v>
      </c>
      <c r="BE200" s="16">
        <f t="shared" si="174"/>
        <v>0</v>
      </c>
      <c r="BF200" s="18">
        <f t="shared" si="175"/>
        <v>11</v>
      </c>
      <c r="BG200" s="16">
        <f t="shared" si="176"/>
        <v>152.9</v>
      </c>
      <c r="BH200" s="19">
        <v>0</v>
      </c>
      <c r="BI200" s="19">
        <v>0</v>
      </c>
      <c r="BJ200" s="16">
        <f t="shared" si="177"/>
        <v>0</v>
      </c>
      <c r="BK200" s="16">
        <f t="shared" si="178"/>
        <v>0</v>
      </c>
      <c r="BL200" s="18">
        <f t="shared" si="179"/>
        <v>11</v>
      </c>
      <c r="BM200" s="16">
        <f t="shared" si="180"/>
        <v>152.9</v>
      </c>
      <c r="BN200" s="19">
        <v>0</v>
      </c>
      <c r="BO200" s="19">
        <v>0</v>
      </c>
      <c r="BP200" s="16">
        <f t="shared" si="181"/>
        <v>0</v>
      </c>
      <c r="BQ200" s="16">
        <f t="shared" si="182"/>
        <v>0</v>
      </c>
      <c r="BR200" s="18">
        <f t="shared" si="183"/>
        <v>11</v>
      </c>
      <c r="BS200" s="16">
        <f t="shared" si="184"/>
        <v>152.9</v>
      </c>
      <c r="BT200" s="19">
        <v>0</v>
      </c>
      <c r="BU200" s="19">
        <v>0</v>
      </c>
      <c r="BV200" s="16">
        <f t="shared" si="185"/>
        <v>0</v>
      </c>
      <c r="BW200" s="16">
        <f t="shared" si="186"/>
        <v>0</v>
      </c>
      <c r="BX200" s="18">
        <f t="shared" si="187"/>
        <v>11</v>
      </c>
      <c r="BY200" s="16">
        <f t="shared" si="188"/>
        <v>152.9</v>
      </c>
      <c r="BZ200" s="19">
        <v>0</v>
      </c>
      <c r="CA200" s="19">
        <v>0</v>
      </c>
      <c r="CB200" s="16">
        <f t="shared" si="189"/>
        <v>0</v>
      </c>
      <c r="CC200" s="16">
        <f t="shared" si="190"/>
        <v>0</v>
      </c>
      <c r="CD200" s="20">
        <f t="shared" si="195"/>
        <v>11</v>
      </c>
      <c r="CE200" s="21">
        <f t="shared" si="194"/>
        <v>152.9</v>
      </c>
    </row>
    <row r="201" spans="1:83" x14ac:dyDescent="0.25">
      <c r="B201" s="70">
        <v>172</v>
      </c>
      <c r="C201" s="79" t="s">
        <v>342</v>
      </c>
      <c r="D201" s="41" t="s">
        <v>367</v>
      </c>
      <c r="E201" s="23"/>
      <c r="F201" s="23"/>
      <c r="G201" s="23"/>
      <c r="H201" s="40">
        <v>7</v>
      </c>
      <c r="I201" s="30">
        <v>21.9</v>
      </c>
      <c r="J201" s="40">
        <v>7</v>
      </c>
      <c r="K201" s="16">
        <f t="shared" si="167"/>
        <v>153.29999999999998</v>
      </c>
      <c r="L201" s="19">
        <v>0</v>
      </c>
      <c r="M201" s="19">
        <v>0</v>
      </c>
      <c r="N201" s="16">
        <f t="shared" si="169"/>
        <v>0</v>
      </c>
      <c r="O201" s="16">
        <f t="shared" si="170"/>
        <v>0</v>
      </c>
      <c r="P201" s="18">
        <f t="shared" si="155"/>
        <v>7</v>
      </c>
      <c r="Q201" s="16">
        <f t="shared" si="156"/>
        <v>153.29999999999998</v>
      </c>
      <c r="R201" s="19">
        <v>0</v>
      </c>
      <c r="S201" s="18">
        <v>0</v>
      </c>
      <c r="T201" s="16">
        <f t="shared" si="157"/>
        <v>0</v>
      </c>
      <c r="U201" s="16">
        <f t="shared" si="158"/>
        <v>0</v>
      </c>
      <c r="V201" s="18">
        <f t="shared" si="159"/>
        <v>7</v>
      </c>
      <c r="W201" s="16">
        <f t="shared" si="160"/>
        <v>153.29999999999998</v>
      </c>
      <c r="X201" s="19">
        <v>0</v>
      </c>
      <c r="Y201" s="19">
        <v>0</v>
      </c>
      <c r="Z201" s="16">
        <f t="shared" si="161"/>
        <v>0</v>
      </c>
      <c r="AA201" s="16">
        <f t="shared" si="162"/>
        <v>0</v>
      </c>
      <c r="AB201" s="18">
        <f t="shared" si="163"/>
        <v>7</v>
      </c>
      <c r="AC201" s="16">
        <f t="shared" si="164"/>
        <v>153.29999999999998</v>
      </c>
      <c r="AD201" s="19">
        <v>7</v>
      </c>
      <c r="AE201" s="19">
        <v>0</v>
      </c>
      <c r="AF201" s="16">
        <f t="shared" si="165"/>
        <v>0</v>
      </c>
      <c r="AG201" s="16">
        <f t="shared" si="166"/>
        <v>153.29999999999998</v>
      </c>
      <c r="AH201" s="18">
        <f t="shared" si="143"/>
        <v>0</v>
      </c>
      <c r="AI201" s="16">
        <f t="shared" si="144"/>
        <v>0</v>
      </c>
      <c r="AJ201" s="19">
        <v>0</v>
      </c>
      <c r="AK201" s="19">
        <v>0</v>
      </c>
      <c r="AL201" s="16">
        <f t="shared" si="145"/>
        <v>0</v>
      </c>
      <c r="AM201" s="16">
        <f t="shared" si="146"/>
        <v>0</v>
      </c>
      <c r="AN201" s="18">
        <f t="shared" si="147"/>
        <v>0</v>
      </c>
      <c r="AO201" s="16">
        <f t="shared" si="148"/>
        <v>0</v>
      </c>
      <c r="AP201" s="19">
        <v>0</v>
      </c>
      <c r="AQ201" s="19">
        <v>0</v>
      </c>
      <c r="AR201" s="16">
        <f t="shared" si="149"/>
        <v>0</v>
      </c>
      <c r="AS201" s="16">
        <f t="shared" si="150"/>
        <v>0</v>
      </c>
      <c r="AT201" s="18">
        <f t="shared" si="151"/>
        <v>0</v>
      </c>
      <c r="AU201" s="16">
        <f t="shared" si="152"/>
        <v>0</v>
      </c>
      <c r="AV201" s="19">
        <v>0</v>
      </c>
      <c r="AW201" s="19">
        <v>0</v>
      </c>
      <c r="AX201" s="16">
        <f t="shared" si="153"/>
        <v>0</v>
      </c>
      <c r="AY201" s="16">
        <f t="shared" si="154"/>
        <v>0</v>
      </c>
      <c r="AZ201" s="18">
        <f t="shared" si="171"/>
        <v>0</v>
      </c>
      <c r="BA201" s="16">
        <f t="shared" si="172"/>
        <v>0</v>
      </c>
      <c r="BB201" s="19">
        <v>0</v>
      </c>
      <c r="BC201" s="19">
        <v>0</v>
      </c>
      <c r="BD201" s="16">
        <f t="shared" si="173"/>
        <v>0</v>
      </c>
      <c r="BE201" s="16">
        <f t="shared" si="174"/>
        <v>0</v>
      </c>
      <c r="BF201" s="18">
        <f t="shared" si="175"/>
        <v>0</v>
      </c>
      <c r="BG201" s="16">
        <f t="shared" si="176"/>
        <v>0</v>
      </c>
      <c r="BH201" s="19">
        <v>0</v>
      </c>
      <c r="BI201" s="19">
        <v>0</v>
      </c>
      <c r="BJ201" s="16">
        <f t="shared" si="177"/>
        <v>0</v>
      </c>
      <c r="BK201" s="16">
        <f t="shared" si="178"/>
        <v>0</v>
      </c>
      <c r="BL201" s="18">
        <f t="shared" si="179"/>
        <v>0</v>
      </c>
      <c r="BM201" s="16">
        <f t="shared" si="180"/>
        <v>0</v>
      </c>
      <c r="BN201" s="19">
        <v>0</v>
      </c>
      <c r="BO201" s="19">
        <v>0</v>
      </c>
      <c r="BP201" s="16">
        <f t="shared" si="181"/>
        <v>0</v>
      </c>
      <c r="BQ201" s="16">
        <f t="shared" si="182"/>
        <v>0</v>
      </c>
      <c r="BR201" s="18">
        <f t="shared" si="183"/>
        <v>0</v>
      </c>
      <c r="BS201" s="16">
        <f t="shared" si="184"/>
        <v>0</v>
      </c>
      <c r="BT201" s="19">
        <v>0</v>
      </c>
      <c r="BU201" s="19">
        <v>0</v>
      </c>
      <c r="BV201" s="16">
        <f t="shared" si="185"/>
        <v>0</v>
      </c>
      <c r="BW201" s="16">
        <f t="shared" si="186"/>
        <v>0</v>
      </c>
      <c r="BX201" s="18">
        <f t="shared" si="187"/>
        <v>0</v>
      </c>
      <c r="BY201" s="16">
        <f t="shared" si="188"/>
        <v>0</v>
      </c>
      <c r="BZ201" s="19">
        <v>0</v>
      </c>
      <c r="CA201" s="19">
        <v>0</v>
      </c>
      <c r="CB201" s="16">
        <f t="shared" si="189"/>
        <v>0</v>
      </c>
      <c r="CC201" s="16">
        <f t="shared" si="190"/>
        <v>0</v>
      </c>
      <c r="CD201" s="20">
        <f t="shared" si="195"/>
        <v>0</v>
      </c>
      <c r="CE201" s="21">
        <f t="shared" si="194"/>
        <v>0</v>
      </c>
    </row>
    <row r="202" spans="1:83" x14ac:dyDescent="0.3">
      <c r="A202" s="23">
        <v>124</v>
      </c>
      <c r="B202" s="70">
        <v>173</v>
      </c>
      <c r="C202" s="103" t="s">
        <v>292</v>
      </c>
      <c r="D202" s="104" t="s">
        <v>293</v>
      </c>
      <c r="E202" s="33"/>
      <c r="F202" s="33"/>
      <c r="G202" s="33"/>
      <c r="H202" s="147">
        <v>76</v>
      </c>
      <c r="I202" s="153">
        <v>2.13</v>
      </c>
      <c r="J202" s="17">
        <v>76</v>
      </c>
      <c r="K202" s="16">
        <f t="shared" si="167"/>
        <v>161.88</v>
      </c>
      <c r="L202" s="19">
        <v>0</v>
      </c>
      <c r="M202" s="19">
        <v>0</v>
      </c>
      <c r="N202" s="16">
        <f t="shared" si="169"/>
        <v>0</v>
      </c>
      <c r="O202" s="16">
        <f t="shared" si="170"/>
        <v>0</v>
      </c>
      <c r="P202" s="18">
        <f t="shared" si="155"/>
        <v>76</v>
      </c>
      <c r="Q202" s="16">
        <f t="shared" si="156"/>
        <v>161.88</v>
      </c>
      <c r="R202" s="19">
        <v>0</v>
      </c>
      <c r="S202" s="18">
        <v>0</v>
      </c>
      <c r="T202" s="16">
        <f t="shared" si="157"/>
        <v>0</v>
      </c>
      <c r="U202" s="16">
        <f t="shared" si="158"/>
        <v>0</v>
      </c>
      <c r="V202" s="18">
        <f t="shared" si="159"/>
        <v>76</v>
      </c>
      <c r="W202" s="16">
        <f t="shared" si="160"/>
        <v>161.88</v>
      </c>
      <c r="X202" s="19">
        <v>0</v>
      </c>
      <c r="Y202" s="19">
        <v>0</v>
      </c>
      <c r="Z202" s="16">
        <f t="shared" si="161"/>
        <v>0</v>
      </c>
      <c r="AA202" s="16">
        <f t="shared" si="162"/>
        <v>0</v>
      </c>
      <c r="AB202" s="18">
        <f t="shared" si="163"/>
        <v>76</v>
      </c>
      <c r="AC202" s="16">
        <f t="shared" si="164"/>
        <v>161.88</v>
      </c>
      <c r="AD202" s="19">
        <v>0</v>
      </c>
      <c r="AE202" s="19">
        <v>0</v>
      </c>
      <c r="AF202" s="16">
        <f t="shared" si="165"/>
        <v>0</v>
      </c>
      <c r="AG202" s="16">
        <f t="shared" si="166"/>
        <v>0</v>
      </c>
      <c r="AH202" s="18">
        <f t="shared" si="143"/>
        <v>76</v>
      </c>
      <c r="AI202" s="16">
        <f t="shared" si="144"/>
        <v>161.88</v>
      </c>
      <c r="AJ202" s="19">
        <v>0</v>
      </c>
      <c r="AK202" s="19">
        <v>0</v>
      </c>
      <c r="AL202" s="16">
        <f t="shared" si="145"/>
        <v>0</v>
      </c>
      <c r="AM202" s="16">
        <f t="shared" si="146"/>
        <v>0</v>
      </c>
      <c r="AN202" s="18">
        <f t="shared" si="147"/>
        <v>76</v>
      </c>
      <c r="AO202" s="16">
        <f t="shared" si="148"/>
        <v>161.88</v>
      </c>
      <c r="AP202" s="19">
        <v>0</v>
      </c>
      <c r="AQ202" s="19">
        <v>0</v>
      </c>
      <c r="AR202" s="16">
        <f t="shared" si="149"/>
        <v>0</v>
      </c>
      <c r="AS202" s="16">
        <f t="shared" si="150"/>
        <v>0</v>
      </c>
      <c r="AT202" s="18">
        <f t="shared" si="151"/>
        <v>76</v>
      </c>
      <c r="AU202" s="16">
        <f t="shared" si="152"/>
        <v>161.88</v>
      </c>
      <c r="AV202" s="19">
        <v>0</v>
      </c>
      <c r="AW202" s="19">
        <v>0</v>
      </c>
      <c r="AX202" s="16">
        <f t="shared" si="153"/>
        <v>0</v>
      </c>
      <c r="AY202" s="16">
        <f t="shared" si="154"/>
        <v>0</v>
      </c>
      <c r="AZ202" s="18">
        <f t="shared" si="171"/>
        <v>76</v>
      </c>
      <c r="BA202" s="16">
        <f t="shared" si="172"/>
        <v>161.88</v>
      </c>
      <c r="BB202" s="19">
        <v>0</v>
      </c>
      <c r="BC202" s="19">
        <v>0</v>
      </c>
      <c r="BD202" s="16">
        <f t="shared" si="173"/>
        <v>0</v>
      </c>
      <c r="BE202" s="16">
        <f t="shared" si="174"/>
        <v>0</v>
      </c>
      <c r="BF202" s="18">
        <f t="shared" si="175"/>
        <v>76</v>
      </c>
      <c r="BG202" s="16">
        <f t="shared" si="176"/>
        <v>161.88</v>
      </c>
      <c r="BH202" s="19">
        <v>0</v>
      </c>
      <c r="BI202" s="19">
        <v>0</v>
      </c>
      <c r="BJ202" s="16">
        <f t="shared" si="177"/>
        <v>0</v>
      </c>
      <c r="BK202" s="16">
        <f t="shared" si="178"/>
        <v>0</v>
      </c>
      <c r="BL202" s="18">
        <f t="shared" si="179"/>
        <v>76</v>
      </c>
      <c r="BM202" s="16">
        <f t="shared" si="180"/>
        <v>161.88</v>
      </c>
      <c r="BN202" s="19">
        <v>0</v>
      </c>
      <c r="BO202" s="19">
        <v>0</v>
      </c>
      <c r="BP202" s="16">
        <f t="shared" si="181"/>
        <v>0</v>
      </c>
      <c r="BQ202" s="16">
        <f t="shared" si="182"/>
        <v>0</v>
      </c>
      <c r="BR202" s="18">
        <f t="shared" si="183"/>
        <v>76</v>
      </c>
      <c r="BS202" s="16">
        <f t="shared" si="184"/>
        <v>161.88</v>
      </c>
      <c r="BT202" s="19">
        <v>0</v>
      </c>
      <c r="BU202" s="19">
        <v>0</v>
      </c>
      <c r="BV202" s="16">
        <f t="shared" si="185"/>
        <v>0</v>
      </c>
      <c r="BW202" s="16">
        <f t="shared" si="186"/>
        <v>0</v>
      </c>
      <c r="BX202" s="18">
        <f t="shared" si="187"/>
        <v>76</v>
      </c>
      <c r="BY202" s="16">
        <f t="shared" si="188"/>
        <v>161.88</v>
      </c>
      <c r="BZ202" s="19">
        <v>0</v>
      </c>
      <c r="CA202" s="19">
        <v>0</v>
      </c>
      <c r="CB202" s="16">
        <f t="shared" si="189"/>
        <v>0</v>
      </c>
      <c r="CC202" s="16">
        <f t="shared" si="190"/>
        <v>0</v>
      </c>
      <c r="CD202" s="20">
        <f t="shared" si="195"/>
        <v>76</v>
      </c>
      <c r="CE202" s="21">
        <f t="shared" si="194"/>
        <v>161.88</v>
      </c>
    </row>
    <row r="203" spans="1:83" x14ac:dyDescent="0.3">
      <c r="A203" s="23"/>
      <c r="B203" s="70">
        <v>174</v>
      </c>
      <c r="C203" s="172" t="s">
        <v>294</v>
      </c>
      <c r="D203" s="104" t="s">
        <v>295</v>
      </c>
      <c r="E203" s="159"/>
      <c r="F203" s="159"/>
      <c r="G203" s="159"/>
      <c r="H203" s="147">
        <v>1</v>
      </c>
      <c r="I203" s="153">
        <v>224</v>
      </c>
      <c r="J203" s="34">
        <v>1</v>
      </c>
      <c r="K203" s="16">
        <f t="shared" si="167"/>
        <v>224</v>
      </c>
      <c r="L203" s="19">
        <v>0</v>
      </c>
      <c r="M203" s="19">
        <v>0</v>
      </c>
      <c r="N203" s="16">
        <f t="shared" si="169"/>
        <v>0</v>
      </c>
      <c r="O203" s="16">
        <f t="shared" si="170"/>
        <v>0</v>
      </c>
      <c r="P203" s="18">
        <f t="shared" si="155"/>
        <v>1</v>
      </c>
      <c r="Q203" s="16">
        <f t="shared" si="156"/>
        <v>224</v>
      </c>
      <c r="R203" s="19">
        <v>0</v>
      </c>
      <c r="S203" s="18">
        <v>0</v>
      </c>
      <c r="T203" s="16">
        <f t="shared" si="157"/>
        <v>0</v>
      </c>
      <c r="U203" s="16">
        <f t="shared" si="158"/>
        <v>0</v>
      </c>
      <c r="V203" s="18">
        <f t="shared" si="159"/>
        <v>1</v>
      </c>
      <c r="W203" s="16">
        <f t="shared" si="160"/>
        <v>224</v>
      </c>
      <c r="X203" s="19">
        <v>0</v>
      </c>
      <c r="Y203" s="19">
        <v>0</v>
      </c>
      <c r="Z203" s="16">
        <f t="shared" si="161"/>
        <v>0</v>
      </c>
      <c r="AA203" s="16">
        <f t="shared" si="162"/>
        <v>0</v>
      </c>
      <c r="AB203" s="18">
        <f t="shared" si="163"/>
        <v>1</v>
      </c>
      <c r="AC203" s="16">
        <f t="shared" si="164"/>
        <v>224</v>
      </c>
      <c r="AD203" s="19">
        <v>0</v>
      </c>
      <c r="AE203" s="19">
        <v>0</v>
      </c>
      <c r="AF203" s="16">
        <f t="shared" si="165"/>
        <v>0</v>
      </c>
      <c r="AG203" s="16">
        <f t="shared" si="166"/>
        <v>0</v>
      </c>
      <c r="AH203" s="18">
        <f t="shared" ref="AH203:AH233" si="196">AB203-AD203+AE203</f>
        <v>1</v>
      </c>
      <c r="AI203" s="16">
        <f t="shared" ref="AI203:AI233" si="197">AH203*I203</f>
        <v>224</v>
      </c>
      <c r="AJ203" s="19">
        <v>0</v>
      </c>
      <c r="AK203" s="19">
        <v>0</v>
      </c>
      <c r="AL203" s="16">
        <f t="shared" si="145"/>
        <v>0</v>
      </c>
      <c r="AM203" s="16">
        <f t="shared" si="146"/>
        <v>0</v>
      </c>
      <c r="AN203" s="18">
        <f t="shared" si="147"/>
        <v>1</v>
      </c>
      <c r="AO203" s="16">
        <f t="shared" si="148"/>
        <v>224</v>
      </c>
      <c r="AP203" s="19">
        <v>0</v>
      </c>
      <c r="AQ203" s="19">
        <v>0</v>
      </c>
      <c r="AR203" s="16">
        <f t="shared" si="149"/>
        <v>0</v>
      </c>
      <c r="AS203" s="16">
        <f t="shared" si="150"/>
        <v>0</v>
      </c>
      <c r="AT203" s="18">
        <f t="shared" si="151"/>
        <v>1</v>
      </c>
      <c r="AU203" s="16">
        <f t="shared" si="152"/>
        <v>224</v>
      </c>
      <c r="AV203" s="19">
        <v>0</v>
      </c>
      <c r="AW203" s="19">
        <v>0</v>
      </c>
      <c r="AX203" s="16">
        <f t="shared" si="153"/>
        <v>0</v>
      </c>
      <c r="AY203" s="16">
        <f t="shared" si="154"/>
        <v>0</v>
      </c>
      <c r="AZ203" s="18">
        <f t="shared" si="171"/>
        <v>1</v>
      </c>
      <c r="BA203" s="16">
        <f t="shared" si="172"/>
        <v>224</v>
      </c>
      <c r="BB203" s="19">
        <v>0</v>
      </c>
      <c r="BC203" s="19">
        <v>0</v>
      </c>
      <c r="BD203" s="16">
        <f t="shared" si="173"/>
        <v>0</v>
      </c>
      <c r="BE203" s="16">
        <f t="shared" si="174"/>
        <v>0</v>
      </c>
      <c r="BF203" s="18">
        <f t="shared" si="175"/>
        <v>1</v>
      </c>
      <c r="BG203" s="16">
        <f t="shared" si="176"/>
        <v>224</v>
      </c>
      <c r="BH203" s="19">
        <v>0</v>
      </c>
      <c r="BI203" s="19">
        <v>0</v>
      </c>
      <c r="BJ203" s="16">
        <f t="shared" si="177"/>
        <v>0</v>
      </c>
      <c r="BK203" s="16">
        <f t="shared" si="178"/>
        <v>0</v>
      </c>
      <c r="BL203" s="18">
        <f t="shared" si="179"/>
        <v>1</v>
      </c>
      <c r="BM203" s="16">
        <f t="shared" si="180"/>
        <v>224</v>
      </c>
      <c r="BN203" s="19">
        <v>0</v>
      </c>
      <c r="BO203" s="19">
        <v>0</v>
      </c>
      <c r="BP203" s="16">
        <f t="shared" si="181"/>
        <v>0</v>
      </c>
      <c r="BQ203" s="16">
        <f t="shared" si="182"/>
        <v>0</v>
      </c>
      <c r="BR203" s="18">
        <f t="shared" si="183"/>
        <v>1</v>
      </c>
      <c r="BS203" s="16">
        <f t="shared" si="184"/>
        <v>224</v>
      </c>
      <c r="BT203" s="19">
        <v>0</v>
      </c>
      <c r="BU203" s="19">
        <v>0</v>
      </c>
      <c r="BV203" s="16">
        <f t="shared" si="185"/>
        <v>0</v>
      </c>
      <c r="BW203" s="16">
        <f t="shared" si="186"/>
        <v>0</v>
      </c>
      <c r="BX203" s="18">
        <f t="shared" si="187"/>
        <v>1</v>
      </c>
      <c r="BY203" s="16">
        <f t="shared" si="188"/>
        <v>224</v>
      </c>
      <c r="BZ203" s="19">
        <v>0</v>
      </c>
      <c r="CA203" s="19">
        <v>0</v>
      </c>
      <c r="CB203" s="16">
        <f t="shared" si="189"/>
        <v>0</v>
      </c>
      <c r="CC203" s="16">
        <f t="shared" si="190"/>
        <v>0</v>
      </c>
      <c r="CD203" s="20">
        <f t="shared" si="195"/>
        <v>1</v>
      </c>
      <c r="CE203" s="21">
        <f t="shared" si="194"/>
        <v>224</v>
      </c>
    </row>
    <row r="204" spans="1:83" x14ac:dyDescent="0.3">
      <c r="A204" s="23"/>
      <c r="B204" s="70">
        <v>175</v>
      </c>
      <c r="C204" s="173"/>
      <c r="D204" s="104" t="s">
        <v>365</v>
      </c>
      <c r="E204" s="159"/>
      <c r="F204" s="159"/>
      <c r="G204" s="159"/>
      <c r="H204" s="147">
        <v>1</v>
      </c>
      <c r="I204" s="153">
        <v>230</v>
      </c>
      <c r="J204" s="34">
        <v>1</v>
      </c>
      <c r="K204" s="16">
        <f t="shared" si="167"/>
        <v>230</v>
      </c>
      <c r="L204" s="19">
        <v>0</v>
      </c>
      <c r="M204" s="19">
        <v>0</v>
      </c>
      <c r="N204" s="16">
        <f t="shared" si="169"/>
        <v>0</v>
      </c>
      <c r="O204" s="16">
        <f t="shared" si="170"/>
        <v>0</v>
      </c>
      <c r="P204" s="18">
        <f t="shared" si="155"/>
        <v>1</v>
      </c>
      <c r="Q204" s="16">
        <f t="shared" si="156"/>
        <v>230</v>
      </c>
      <c r="R204" s="19">
        <v>0</v>
      </c>
      <c r="S204" s="18">
        <v>0</v>
      </c>
      <c r="T204" s="16">
        <f t="shared" si="157"/>
        <v>0</v>
      </c>
      <c r="U204" s="16">
        <f t="shared" si="158"/>
        <v>0</v>
      </c>
      <c r="V204" s="18">
        <f t="shared" si="159"/>
        <v>1</v>
      </c>
      <c r="W204" s="16">
        <f t="shared" si="160"/>
        <v>230</v>
      </c>
      <c r="X204" s="19">
        <v>0</v>
      </c>
      <c r="Y204" s="19">
        <v>0</v>
      </c>
      <c r="Z204" s="16">
        <f t="shared" si="161"/>
        <v>0</v>
      </c>
      <c r="AA204" s="16">
        <f t="shared" si="162"/>
        <v>0</v>
      </c>
      <c r="AB204" s="18">
        <f t="shared" si="163"/>
        <v>1</v>
      </c>
      <c r="AC204" s="16">
        <f t="shared" si="164"/>
        <v>230</v>
      </c>
      <c r="AD204" s="19">
        <v>0</v>
      </c>
      <c r="AE204" s="19">
        <v>0</v>
      </c>
      <c r="AF204" s="16">
        <f t="shared" si="165"/>
        <v>0</v>
      </c>
      <c r="AG204" s="16">
        <f t="shared" si="166"/>
        <v>0</v>
      </c>
      <c r="AH204" s="18">
        <f t="shared" si="196"/>
        <v>1</v>
      </c>
      <c r="AI204" s="16">
        <f t="shared" si="197"/>
        <v>230</v>
      </c>
      <c r="AJ204" s="19">
        <v>0</v>
      </c>
      <c r="AK204" s="19">
        <v>0</v>
      </c>
      <c r="AL204" s="16">
        <f t="shared" ref="AL204:AL233" si="198">AK204*I204</f>
        <v>0</v>
      </c>
      <c r="AM204" s="16">
        <f t="shared" ref="AM204:AM233" si="199">AJ204*I204</f>
        <v>0</v>
      </c>
      <c r="AN204" s="18">
        <f t="shared" ref="AN204:AN233" si="200">AH204-AJ204+AK204</f>
        <v>1</v>
      </c>
      <c r="AO204" s="16">
        <f t="shared" ref="AO204:AO233" si="201">AN204*I204</f>
        <v>230</v>
      </c>
      <c r="AP204" s="19">
        <v>0</v>
      </c>
      <c r="AQ204" s="19">
        <v>0</v>
      </c>
      <c r="AR204" s="16">
        <f t="shared" ref="AR204:AR233" si="202">AQ204*I204</f>
        <v>0</v>
      </c>
      <c r="AS204" s="16">
        <f t="shared" ref="AS204:AS233" si="203">AP204*I204</f>
        <v>0</v>
      </c>
      <c r="AT204" s="18">
        <f t="shared" ref="AT204:AT233" si="204">AN204-AP204+AQ204</f>
        <v>1</v>
      </c>
      <c r="AU204" s="16">
        <f t="shared" ref="AU204:AU233" si="205">AT204*I204</f>
        <v>230</v>
      </c>
      <c r="AV204" s="19">
        <v>0</v>
      </c>
      <c r="AW204" s="19">
        <v>0</v>
      </c>
      <c r="AX204" s="16">
        <f t="shared" ref="AX204:AX233" si="206">AW204*I204</f>
        <v>0</v>
      </c>
      <c r="AY204" s="16">
        <f t="shared" ref="AY204:AY233" si="207">AV204*I204</f>
        <v>0</v>
      </c>
      <c r="AZ204" s="18">
        <f t="shared" si="171"/>
        <v>1</v>
      </c>
      <c r="BA204" s="16">
        <f t="shared" si="172"/>
        <v>230</v>
      </c>
      <c r="BB204" s="19">
        <v>0</v>
      </c>
      <c r="BC204" s="19">
        <v>0</v>
      </c>
      <c r="BD204" s="16">
        <f t="shared" si="173"/>
        <v>0</v>
      </c>
      <c r="BE204" s="16">
        <f t="shared" si="174"/>
        <v>0</v>
      </c>
      <c r="BF204" s="18">
        <f t="shared" si="175"/>
        <v>1</v>
      </c>
      <c r="BG204" s="16">
        <f t="shared" si="176"/>
        <v>230</v>
      </c>
      <c r="BH204" s="19">
        <v>0</v>
      </c>
      <c r="BI204" s="19">
        <v>0</v>
      </c>
      <c r="BJ204" s="16">
        <f t="shared" si="177"/>
        <v>0</v>
      </c>
      <c r="BK204" s="16">
        <f t="shared" si="178"/>
        <v>0</v>
      </c>
      <c r="BL204" s="18">
        <f t="shared" si="179"/>
        <v>1</v>
      </c>
      <c r="BM204" s="16">
        <f t="shared" si="180"/>
        <v>230</v>
      </c>
      <c r="BN204" s="19">
        <v>0</v>
      </c>
      <c r="BO204" s="19">
        <v>0</v>
      </c>
      <c r="BP204" s="16">
        <f t="shared" si="181"/>
        <v>0</v>
      </c>
      <c r="BQ204" s="16">
        <f t="shared" si="182"/>
        <v>0</v>
      </c>
      <c r="BR204" s="18">
        <f t="shared" si="183"/>
        <v>1</v>
      </c>
      <c r="BS204" s="16">
        <f t="shared" si="184"/>
        <v>230</v>
      </c>
      <c r="BT204" s="19">
        <v>0</v>
      </c>
      <c r="BU204" s="19">
        <v>0</v>
      </c>
      <c r="BV204" s="16">
        <f t="shared" si="185"/>
        <v>0</v>
      </c>
      <c r="BW204" s="16">
        <f t="shared" si="186"/>
        <v>0</v>
      </c>
      <c r="BX204" s="18">
        <f t="shared" si="187"/>
        <v>1</v>
      </c>
      <c r="BY204" s="16">
        <f t="shared" si="188"/>
        <v>230</v>
      </c>
      <c r="BZ204" s="19">
        <v>0</v>
      </c>
      <c r="CA204" s="19">
        <v>0</v>
      </c>
      <c r="CB204" s="16">
        <f t="shared" si="189"/>
        <v>0</v>
      </c>
      <c r="CC204" s="16">
        <f t="shared" si="190"/>
        <v>0</v>
      </c>
      <c r="CD204" s="20">
        <f t="shared" si="195"/>
        <v>1</v>
      </c>
      <c r="CE204" s="21">
        <f t="shared" si="194"/>
        <v>230</v>
      </c>
    </row>
    <row r="205" spans="1:83" x14ac:dyDescent="0.3">
      <c r="A205" s="23"/>
      <c r="B205" s="70">
        <v>176</v>
      </c>
      <c r="C205" s="172" t="s">
        <v>296</v>
      </c>
      <c r="D205" s="104" t="s">
        <v>392</v>
      </c>
      <c r="E205" s="159"/>
      <c r="F205" s="159"/>
      <c r="G205" s="159"/>
      <c r="H205" s="150">
        <v>1</v>
      </c>
      <c r="I205" s="153">
        <v>224</v>
      </c>
      <c r="J205" s="39">
        <v>1</v>
      </c>
      <c r="K205" s="16">
        <f t="shared" si="167"/>
        <v>224</v>
      </c>
      <c r="L205" s="19">
        <v>0</v>
      </c>
      <c r="M205" s="19">
        <v>0</v>
      </c>
      <c r="N205" s="16">
        <f t="shared" si="169"/>
        <v>0</v>
      </c>
      <c r="O205" s="16">
        <f t="shared" si="170"/>
        <v>0</v>
      </c>
      <c r="P205" s="18">
        <f t="shared" si="155"/>
        <v>1</v>
      </c>
      <c r="Q205" s="16">
        <f t="shared" si="156"/>
        <v>224</v>
      </c>
      <c r="R205" s="19">
        <v>0</v>
      </c>
      <c r="S205" s="18">
        <v>0</v>
      </c>
      <c r="T205" s="16">
        <f t="shared" si="157"/>
        <v>0</v>
      </c>
      <c r="U205" s="16">
        <f t="shared" si="158"/>
        <v>0</v>
      </c>
      <c r="V205" s="18">
        <f t="shared" si="159"/>
        <v>1</v>
      </c>
      <c r="W205" s="16">
        <f t="shared" si="160"/>
        <v>224</v>
      </c>
      <c r="X205" s="19">
        <v>0</v>
      </c>
      <c r="Y205" s="19">
        <v>0</v>
      </c>
      <c r="Z205" s="16">
        <f t="shared" si="161"/>
        <v>0</v>
      </c>
      <c r="AA205" s="16">
        <f t="shared" si="162"/>
        <v>0</v>
      </c>
      <c r="AB205" s="18">
        <f t="shared" si="163"/>
        <v>1</v>
      </c>
      <c r="AC205" s="16">
        <f t="shared" si="164"/>
        <v>224</v>
      </c>
      <c r="AD205" s="19">
        <v>0</v>
      </c>
      <c r="AE205" s="19">
        <v>0</v>
      </c>
      <c r="AF205" s="16">
        <f t="shared" si="165"/>
        <v>0</v>
      </c>
      <c r="AG205" s="16">
        <f t="shared" si="166"/>
        <v>0</v>
      </c>
      <c r="AH205" s="18">
        <f t="shared" si="196"/>
        <v>1</v>
      </c>
      <c r="AI205" s="16">
        <f t="shared" si="197"/>
        <v>224</v>
      </c>
      <c r="AJ205" s="19">
        <v>0</v>
      </c>
      <c r="AK205" s="19">
        <v>0</v>
      </c>
      <c r="AL205" s="16">
        <f t="shared" si="198"/>
        <v>0</v>
      </c>
      <c r="AM205" s="16">
        <f t="shared" si="199"/>
        <v>0</v>
      </c>
      <c r="AN205" s="18">
        <f t="shared" si="200"/>
        <v>1</v>
      </c>
      <c r="AO205" s="16">
        <f t="shared" si="201"/>
        <v>224</v>
      </c>
      <c r="AP205" s="19">
        <v>0</v>
      </c>
      <c r="AQ205" s="19">
        <v>0</v>
      </c>
      <c r="AR205" s="16">
        <f t="shared" si="202"/>
        <v>0</v>
      </c>
      <c r="AS205" s="16">
        <f t="shared" si="203"/>
        <v>0</v>
      </c>
      <c r="AT205" s="18">
        <f t="shared" si="204"/>
        <v>1</v>
      </c>
      <c r="AU205" s="16">
        <f t="shared" si="205"/>
        <v>224</v>
      </c>
      <c r="AV205" s="19">
        <v>0</v>
      </c>
      <c r="AW205" s="19">
        <v>0</v>
      </c>
      <c r="AX205" s="16">
        <f t="shared" si="206"/>
        <v>0</v>
      </c>
      <c r="AY205" s="16">
        <f t="shared" si="207"/>
        <v>0</v>
      </c>
      <c r="AZ205" s="18">
        <f t="shared" si="171"/>
        <v>1</v>
      </c>
      <c r="BA205" s="16">
        <f t="shared" si="172"/>
        <v>224</v>
      </c>
      <c r="BB205" s="19">
        <v>0</v>
      </c>
      <c r="BC205" s="19">
        <v>0</v>
      </c>
      <c r="BD205" s="16">
        <f t="shared" si="173"/>
        <v>0</v>
      </c>
      <c r="BE205" s="16">
        <f t="shared" si="174"/>
        <v>0</v>
      </c>
      <c r="BF205" s="18">
        <f t="shared" si="175"/>
        <v>1</v>
      </c>
      <c r="BG205" s="16">
        <f t="shared" si="176"/>
        <v>224</v>
      </c>
      <c r="BH205" s="19">
        <v>0</v>
      </c>
      <c r="BI205" s="19">
        <v>0</v>
      </c>
      <c r="BJ205" s="16">
        <f t="shared" si="177"/>
        <v>0</v>
      </c>
      <c r="BK205" s="16">
        <f t="shared" si="178"/>
        <v>0</v>
      </c>
      <c r="BL205" s="18">
        <f t="shared" si="179"/>
        <v>1</v>
      </c>
      <c r="BM205" s="16">
        <f t="shared" si="180"/>
        <v>224</v>
      </c>
      <c r="BN205" s="19">
        <v>0</v>
      </c>
      <c r="BO205" s="19">
        <v>0</v>
      </c>
      <c r="BP205" s="16">
        <f t="shared" si="181"/>
        <v>0</v>
      </c>
      <c r="BQ205" s="16">
        <f t="shared" si="182"/>
        <v>0</v>
      </c>
      <c r="BR205" s="18">
        <f t="shared" si="183"/>
        <v>1</v>
      </c>
      <c r="BS205" s="16">
        <f t="shared" si="184"/>
        <v>224</v>
      </c>
      <c r="BT205" s="19">
        <v>0</v>
      </c>
      <c r="BU205" s="19">
        <v>0</v>
      </c>
      <c r="BV205" s="16">
        <f t="shared" si="185"/>
        <v>0</v>
      </c>
      <c r="BW205" s="16">
        <f t="shared" si="186"/>
        <v>0</v>
      </c>
      <c r="BX205" s="18">
        <f t="shared" si="187"/>
        <v>1</v>
      </c>
      <c r="BY205" s="16">
        <f t="shared" si="188"/>
        <v>224</v>
      </c>
      <c r="BZ205" s="19">
        <v>0</v>
      </c>
      <c r="CA205" s="19">
        <v>0</v>
      </c>
      <c r="CB205" s="16">
        <f t="shared" si="189"/>
        <v>0</v>
      </c>
      <c r="CC205" s="16">
        <f t="shared" si="190"/>
        <v>0</v>
      </c>
      <c r="CD205" s="20">
        <f t="shared" si="195"/>
        <v>1</v>
      </c>
      <c r="CE205" s="21">
        <f t="shared" si="194"/>
        <v>224</v>
      </c>
    </row>
    <row r="206" spans="1:83" x14ac:dyDescent="0.3">
      <c r="A206" s="23"/>
      <c r="B206" s="70">
        <v>177</v>
      </c>
      <c r="C206" s="173"/>
      <c r="D206" s="104" t="s">
        <v>297</v>
      </c>
      <c r="E206" s="159"/>
      <c r="F206" s="159"/>
      <c r="G206" s="159"/>
      <c r="H206" s="150">
        <v>1</v>
      </c>
      <c r="I206" s="153">
        <v>230</v>
      </c>
      <c r="J206" s="39">
        <v>1</v>
      </c>
      <c r="K206" s="16">
        <f t="shared" si="167"/>
        <v>230</v>
      </c>
      <c r="L206" s="19">
        <v>0</v>
      </c>
      <c r="M206" s="19">
        <v>0</v>
      </c>
      <c r="N206" s="16">
        <f t="shared" si="169"/>
        <v>0</v>
      </c>
      <c r="O206" s="16">
        <f t="shared" si="170"/>
        <v>0</v>
      </c>
      <c r="P206" s="18">
        <f t="shared" si="155"/>
        <v>1</v>
      </c>
      <c r="Q206" s="16">
        <f t="shared" si="156"/>
        <v>230</v>
      </c>
      <c r="R206" s="19">
        <v>0</v>
      </c>
      <c r="S206" s="18">
        <v>0</v>
      </c>
      <c r="T206" s="16">
        <f t="shared" si="157"/>
        <v>0</v>
      </c>
      <c r="U206" s="16">
        <f t="shared" si="158"/>
        <v>0</v>
      </c>
      <c r="V206" s="18">
        <f t="shared" si="159"/>
        <v>1</v>
      </c>
      <c r="W206" s="16">
        <f t="shared" si="160"/>
        <v>230</v>
      </c>
      <c r="X206" s="19">
        <v>0</v>
      </c>
      <c r="Y206" s="19">
        <v>0</v>
      </c>
      <c r="Z206" s="16">
        <f t="shared" si="161"/>
        <v>0</v>
      </c>
      <c r="AA206" s="16">
        <f t="shared" si="162"/>
        <v>0</v>
      </c>
      <c r="AB206" s="18">
        <f t="shared" si="163"/>
        <v>1</v>
      </c>
      <c r="AC206" s="16">
        <f t="shared" si="164"/>
        <v>230</v>
      </c>
      <c r="AD206" s="19">
        <v>0</v>
      </c>
      <c r="AE206" s="19">
        <v>0</v>
      </c>
      <c r="AF206" s="16">
        <f t="shared" si="165"/>
        <v>0</v>
      </c>
      <c r="AG206" s="16">
        <f t="shared" si="166"/>
        <v>0</v>
      </c>
      <c r="AH206" s="18">
        <f t="shared" si="196"/>
        <v>1</v>
      </c>
      <c r="AI206" s="16">
        <f t="shared" si="197"/>
        <v>230</v>
      </c>
      <c r="AJ206" s="19">
        <v>0</v>
      </c>
      <c r="AK206" s="19">
        <v>0</v>
      </c>
      <c r="AL206" s="16">
        <f t="shared" si="198"/>
        <v>0</v>
      </c>
      <c r="AM206" s="16">
        <f t="shared" si="199"/>
        <v>0</v>
      </c>
      <c r="AN206" s="18">
        <f t="shared" si="200"/>
        <v>1</v>
      </c>
      <c r="AO206" s="16">
        <f t="shared" si="201"/>
        <v>230</v>
      </c>
      <c r="AP206" s="19">
        <v>0</v>
      </c>
      <c r="AQ206" s="19">
        <v>0</v>
      </c>
      <c r="AR206" s="16">
        <f t="shared" si="202"/>
        <v>0</v>
      </c>
      <c r="AS206" s="16">
        <f t="shared" si="203"/>
        <v>0</v>
      </c>
      <c r="AT206" s="18">
        <f t="shared" si="204"/>
        <v>1</v>
      </c>
      <c r="AU206" s="16">
        <f t="shared" si="205"/>
        <v>230</v>
      </c>
      <c r="AV206" s="19">
        <v>0</v>
      </c>
      <c r="AW206" s="19">
        <v>0</v>
      </c>
      <c r="AX206" s="16">
        <f t="shared" si="206"/>
        <v>0</v>
      </c>
      <c r="AY206" s="16">
        <f t="shared" si="207"/>
        <v>0</v>
      </c>
      <c r="AZ206" s="18">
        <f t="shared" si="171"/>
        <v>1</v>
      </c>
      <c r="BA206" s="16">
        <f t="shared" si="172"/>
        <v>230</v>
      </c>
      <c r="BB206" s="19">
        <v>0</v>
      </c>
      <c r="BC206" s="19">
        <v>0</v>
      </c>
      <c r="BD206" s="16">
        <f t="shared" si="173"/>
        <v>0</v>
      </c>
      <c r="BE206" s="16">
        <f t="shared" si="174"/>
        <v>0</v>
      </c>
      <c r="BF206" s="18">
        <f t="shared" si="175"/>
        <v>1</v>
      </c>
      <c r="BG206" s="16">
        <f t="shared" si="176"/>
        <v>230</v>
      </c>
      <c r="BH206" s="19">
        <v>0</v>
      </c>
      <c r="BI206" s="19">
        <v>0</v>
      </c>
      <c r="BJ206" s="16">
        <f t="shared" si="177"/>
        <v>0</v>
      </c>
      <c r="BK206" s="16">
        <f t="shared" si="178"/>
        <v>0</v>
      </c>
      <c r="BL206" s="18">
        <f t="shared" si="179"/>
        <v>1</v>
      </c>
      <c r="BM206" s="16">
        <f t="shared" si="180"/>
        <v>230</v>
      </c>
      <c r="BN206" s="19">
        <v>0</v>
      </c>
      <c r="BO206" s="19">
        <v>0</v>
      </c>
      <c r="BP206" s="16">
        <f t="shared" si="181"/>
        <v>0</v>
      </c>
      <c r="BQ206" s="16">
        <f t="shared" si="182"/>
        <v>0</v>
      </c>
      <c r="BR206" s="18">
        <f t="shared" si="183"/>
        <v>1</v>
      </c>
      <c r="BS206" s="16">
        <f t="shared" si="184"/>
        <v>230</v>
      </c>
      <c r="BT206" s="19">
        <v>0</v>
      </c>
      <c r="BU206" s="19">
        <v>0</v>
      </c>
      <c r="BV206" s="16">
        <f t="shared" si="185"/>
        <v>0</v>
      </c>
      <c r="BW206" s="16">
        <f t="shared" si="186"/>
        <v>0</v>
      </c>
      <c r="BX206" s="18">
        <f t="shared" si="187"/>
        <v>1</v>
      </c>
      <c r="BY206" s="16">
        <f t="shared" si="188"/>
        <v>230</v>
      </c>
      <c r="BZ206" s="19">
        <v>0</v>
      </c>
      <c r="CA206" s="19">
        <v>0</v>
      </c>
      <c r="CB206" s="16">
        <f t="shared" si="189"/>
        <v>0</v>
      </c>
      <c r="CC206" s="16">
        <f t="shared" si="190"/>
        <v>0</v>
      </c>
      <c r="CD206" s="20">
        <f t="shared" si="195"/>
        <v>1</v>
      </c>
      <c r="CE206" s="21">
        <f t="shared" si="194"/>
        <v>230</v>
      </c>
    </row>
    <row r="207" spans="1:83" x14ac:dyDescent="0.3">
      <c r="A207" s="23"/>
      <c r="B207" s="70">
        <v>178</v>
      </c>
      <c r="C207" s="172" t="s">
        <v>298</v>
      </c>
      <c r="D207" s="104" t="s">
        <v>352</v>
      </c>
      <c r="E207" s="155"/>
      <c r="F207" s="155"/>
      <c r="G207" s="155"/>
      <c r="H207" s="150">
        <v>1</v>
      </c>
      <c r="I207" s="153">
        <v>224</v>
      </c>
      <c r="J207" s="39">
        <v>1</v>
      </c>
      <c r="K207" s="16">
        <f t="shared" si="167"/>
        <v>224</v>
      </c>
      <c r="L207" s="19">
        <v>0</v>
      </c>
      <c r="M207" s="19">
        <v>0</v>
      </c>
      <c r="N207" s="16">
        <f t="shared" si="169"/>
        <v>0</v>
      </c>
      <c r="O207" s="16">
        <f t="shared" si="170"/>
        <v>0</v>
      </c>
      <c r="P207" s="18">
        <f t="shared" si="155"/>
        <v>1</v>
      </c>
      <c r="Q207" s="16">
        <f t="shared" si="156"/>
        <v>224</v>
      </c>
      <c r="R207" s="19">
        <v>0</v>
      </c>
      <c r="S207" s="18">
        <v>0</v>
      </c>
      <c r="T207" s="16">
        <f t="shared" si="157"/>
        <v>0</v>
      </c>
      <c r="U207" s="16">
        <f t="shared" si="158"/>
        <v>0</v>
      </c>
      <c r="V207" s="18">
        <f t="shared" si="159"/>
        <v>1</v>
      </c>
      <c r="W207" s="16">
        <f t="shared" si="160"/>
        <v>224</v>
      </c>
      <c r="X207" s="19">
        <v>0</v>
      </c>
      <c r="Y207" s="19">
        <v>0</v>
      </c>
      <c r="Z207" s="16">
        <f t="shared" si="161"/>
        <v>0</v>
      </c>
      <c r="AA207" s="16">
        <f t="shared" si="162"/>
        <v>0</v>
      </c>
      <c r="AB207" s="18">
        <f t="shared" si="163"/>
        <v>1</v>
      </c>
      <c r="AC207" s="16">
        <f t="shared" si="164"/>
        <v>224</v>
      </c>
      <c r="AD207" s="19">
        <v>0</v>
      </c>
      <c r="AE207" s="19">
        <v>0</v>
      </c>
      <c r="AF207" s="16">
        <f t="shared" si="165"/>
        <v>0</v>
      </c>
      <c r="AG207" s="16">
        <f t="shared" si="166"/>
        <v>0</v>
      </c>
      <c r="AH207" s="18">
        <f t="shared" si="196"/>
        <v>1</v>
      </c>
      <c r="AI207" s="16">
        <f t="shared" si="197"/>
        <v>224</v>
      </c>
      <c r="AJ207" s="19">
        <v>0</v>
      </c>
      <c r="AK207" s="19">
        <v>0</v>
      </c>
      <c r="AL207" s="16">
        <f t="shared" si="198"/>
        <v>0</v>
      </c>
      <c r="AM207" s="16">
        <f t="shared" si="199"/>
        <v>0</v>
      </c>
      <c r="AN207" s="18">
        <f t="shared" si="200"/>
        <v>1</v>
      </c>
      <c r="AO207" s="16">
        <f t="shared" si="201"/>
        <v>224</v>
      </c>
      <c r="AP207" s="19">
        <v>0</v>
      </c>
      <c r="AQ207" s="19">
        <v>0</v>
      </c>
      <c r="AR207" s="16">
        <f t="shared" si="202"/>
        <v>0</v>
      </c>
      <c r="AS207" s="16">
        <f t="shared" si="203"/>
        <v>0</v>
      </c>
      <c r="AT207" s="18">
        <f t="shared" si="204"/>
        <v>1</v>
      </c>
      <c r="AU207" s="16">
        <f t="shared" si="205"/>
        <v>224</v>
      </c>
      <c r="AV207" s="19">
        <v>0</v>
      </c>
      <c r="AW207" s="19">
        <v>0</v>
      </c>
      <c r="AX207" s="16">
        <f t="shared" si="206"/>
        <v>0</v>
      </c>
      <c r="AY207" s="16">
        <f t="shared" si="207"/>
        <v>0</v>
      </c>
      <c r="AZ207" s="18">
        <f t="shared" si="171"/>
        <v>1</v>
      </c>
      <c r="BA207" s="16">
        <f t="shared" si="172"/>
        <v>224</v>
      </c>
      <c r="BB207" s="19">
        <v>0</v>
      </c>
      <c r="BC207" s="19">
        <v>0</v>
      </c>
      <c r="BD207" s="16">
        <f t="shared" si="173"/>
        <v>0</v>
      </c>
      <c r="BE207" s="16">
        <f t="shared" si="174"/>
        <v>0</v>
      </c>
      <c r="BF207" s="18">
        <f t="shared" si="175"/>
        <v>1</v>
      </c>
      <c r="BG207" s="16">
        <f t="shared" si="176"/>
        <v>224</v>
      </c>
      <c r="BH207" s="19">
        <v>0</v>
      </c>
      <c r="BI207" s="19">
        <v>0</v>
      </c>
      <c r="BJ207" s="16">
        <f t="shared" si="177"/>
        <v>0</v>
      </c>
      <c r="BK207" s="16">
        <f t="shared" si="178"/>
        <v>0</v>
      </c>
      <c r="BL207" s="18">
        <f t="shared" si="179"/>
        <v>1</v>
      </c>
      <c r="BM207" s="16">
        <f t="shared" si="180"/>
        <v>224</v>
      </c>
      <c r="BN207" s="19">
        <v>0</v>
      </c>
      <c r="BO207" s="19">
        <v>0</v>
      </c>
      <c r="BP207" s="16">
        <f t="shared" si="181"/>
        <v>0</v>
      </c>
      <c r="BQ207" s="16">
        <f t="shared" si="182"/>
        <v>0</v>
      </c>
      <c r="BR207" s="18">
        <f t="shared" si="183"/>
        <v>1</v>
      </c>
      <c r="BS207" s="16">
        <f t="shared" si="184"/>
        <v>224</v>
      </c>
      <c r="BT207" s="19">
        <v>0</v>
      </c>
      <c r="BU207" s="19">
        <v>0</v>
      </c>
      <c r="BV207" s="16">
        <f t="shared" si="185"/>
        <v>0</v>
      </c>
      <c r="BW207" s="16">
        <f t="shared" si="186"/>
        <v>0</v>
      </c>
      <c r="BX207" s="18">
        <f t="shared" si="187"/>
        <v>1</v>
      </c>
      <c r="BY207" s="16">
        <f t="shared" si="188"/>
        <v>224</v>
      </c>
      <c r="BZ207" s="19">
        <v>0</v>
      </c>
      <c r="CA207" s="19">
        <v>0</v>
      </c>
      <c r="CB207" s="16">
        <f t="shared" si="189"/>
        <v>0</v>
      </c>
      <c r="CC207" s="16">
        <f t="shared" si="190"/>
        <v>0</v>
      </c>
      <c r="CD207" s="20">
        <f t="shared" si="195"/>
        <v>1</v>
      </c>
      <c r="CE207" s="21">
        <f t="shared" si="194"/>
        <v>224</v>
      </c>
    </row>
    <row r="208" spans="1:83" x14ac:dyDescent="0.3">
      <c r="A208" s="23"/>
      <c r="B208" s="70">
        <v>179</v>
      </c>
      <c r="C208" s="173"/>
      <c r="D208" s="104" t="s">
        <v>352</v>
      </c>
      <c r="E208" s="155"/>
      <c r="F208" s="155"/>
      <c r="G208" s="155"/>
      <c r="H208" s="150">
        <v>1</v>
      </c>
      <c r="I208" s="153">
        <v>230</v>
      </c>
      <c r="J208" s="39">
        <v>1</v>
      </c>
      <c r="K208" s="16">
        <f t="shared" si="167"/>
        <v>230</v>
      </c>
      <c r="L208" s="19">
        <v>0</v>
      </c>
      <c r="M208" s="19">
        <v>0</v>
      </c>
      <c r="N208" s="16">
        <f t="shared" si="169"/>
        <v>0</v>
      </c>
      <c r="O208" s="16">
        <f t="shared" si="170"/>
        <v>0</v>
      </c>
      <c r="P208" s="18">
        <f t="shared" si="155"/>
        <v>1</v>
      </c>
      <c r="Q208" s="16">
        <f t="shared" si="156"/>
        <v>230</v>
      </c>
      <c r="R208" s="19">
        <v>0</v>
      </c>
      <c r="S208" s="18">
        <v>0</v>
      </c>
      <c r="T208" s="16">
        <f t="shared" si="157"/>
        <v>0</v>
      </c>
      <c r="U208" s="16">
        <f t="shared" si="158"/>
        <v>0</v>
      </c>
      <c r="V208" s="18">
        <f t="shared" si="159"/>
        <v>1</v>
      </c>
      <c r="W208" s="16">
        <f t="shared" si="160"/>
        <v>230</v>
      </c>
      <c r="X208" s="19">
        <v>0</v>
      </c>
      <c r="Y208" s="19">
        <v>0</v>
      </c>
      <c r="Z208" s="16">
        <f t="shared" si="161"/>
        <v>0</v>
      </c>
      <c r="AA208" s="16">
        <f t="shared" si="162"/>
        <v>0</v>
      </c>
      <c r="AB208" s="18">
        <f t="shared" si="163"/>
        <v>1</v>
      </c>
      <c r="AC208" s="16">
        <f t="shared" si="164"/>
        <v>230</v>
      </c>
      <c r="AD208" s="19">
        <v>0</v>
      </c>
      <c r="AE208" s="19">
        <v>0</v>
      </c>
      <c r="AF208" s="16">
        <f t="shared" si="165"/>
        <v>0</v>
      </c>
      <c r="AG208" s="16">
        <f t="shared" si="166"/>
        <v>0</v>
      </c>
      <c r="AH208" s="18">
        <f t="shared" si="196"/>
        <v>1</v>
      </c>
      <c r="AI208" s="16">
        <f t="shared" si="197"/>
        <v>230</v>
      </c>
      <c r="AJ208" s="19">
        <v>0</v>
      </c>
      <c r="AK208" s="19">
        <v>0</v>
      </c>
      <c r="AL208" s="16">
        <f t="shared" si="198"/>
        <v>0</v>
      </c>
      <c r="AM208" s="16">
        <f t="shared" si="199"/>
        <v>0</v>
      </c>
      <c r="AN208" s="18">
        <f t="shared" si="200"/>
        <v>1</v>
      </c>
      <c r="AO208" s="16">
        <f t="shared" si="201"/>
        <v>230</v>
      </c>
      <c r="AP208" s="19">
        <v>0</v>
      </c>
      <c r="AQ208" s="19">
        <v>0</v>
      </c>
      <c r="AR208" s="16">
        <f t="shared" si="202"/>
        <v>0</v>
      </c>
      <c r="AS208" s="16">
        <f t="shared" si="203"/>
        <v>0</v>
      </c>
      <c r="AT208" s="18">
        <f t="shared" si="204"/>
        <v>1</v>
      </c>
      <c r="AU208" s="16">
        <f t="shared" si="205"/>
        <v>230</v>
      </c>
      <c r="AV208" s="19">
        <v>0</v>
      </c>
      <c r="AW208" s="19">
        <v>0</v>
      </c>
      <c r="AX208" s="16">
        <f t="shared" si="206"/>
        <v>0</v>
      </c>
      <c r="AY208" s="16">
        <f t="shared" si="207"/>
        <v>0</v>
      </c>
      <c r="AZ208" s="18">
        <f t="shared" si="171"/>
        <v>1</v>
      </c>
      <c r="BA208" s="16">
        <f t="shared" si="172"/>
        <v>230</v>
      </c>
      <c r="BB208" s="19">
        <v>0</v>
      </c>
      <c r="BC208" s="19">
        <v>0</v>
      </c>
      <c r="BD208" s="16">
        <f t="shared" si="173"/>
        <v>0</v>
      </c>
      <c r="BE208" s="16">
        <f t="shared" si="174"/>
        <v>0</v>
      </c>
      <c r="BF208" s="18">
        <f t="shared" si="175"/>
        <v>1</v>
      </c>
      <c r="BG208" s="16">
        <f t="shared" si="176"/>
        <v>230</v>
      </c>
      <c r="BH208" s="19">
        <v>0</v>
      </c>
      <c r="BI208" s="19">
        <v>0</v>
      </c>
      <c r="BJ208" s="16">
        <f t="shared" si="177"/>
        <v>0</v>
      </c>
      <c r="BK208" s="16">
        <f t="shared" si="178"/>
        <v>0</v>
      </c>
      <c r="BL208" s="18">
        <f t="shared" si="179"/>
        <v>1</v>
      </c>
      <c r="BM208" s="16">
        <f t="shared" si="180"/>
        <v>230</v>
      </c>
      <c r="BN208" s="19">
        <v>0</v>
      </c>
      <c r="BO208" s="19">
        <v>0</v>
      </c>
      <c r="BP208" s="16">
        <f t="shared" si="181"/>
        <v>0</v>
      </c>
      <c r="BQ208" s="16">
        <f t="shared" si="182"/>
        <v>0</v>
      </c>
      <c r="BR208" s="18">
        <f t="shared" si="183"/>
        <v>1</v>
      </c>
      <c r="BS208" s="16">
        <f t="shared" si="184"/>
        <v>230</v>
      </c>
      <c r="BT208" s="19">
        <v>0</v>
      </c>
      <c r="BU208" s="19">
        <v>0</v>
      </c>
      <c r="BV208" s="16">
        <f t="shared" si="185"/>
        <v>0</v>
      </c>
      <c r="BW208" s="16">
        <f t="shared" si="186"/>
        <v>0</v>
      </c>
      <c r="BX208" s="18">
        <f t="shared" si="187"/>
        <v>1</v>
      </c>
      <c r="BY208" s="16">
        <f t="shared" si="188"/>
        <v>230</v>
      </c>
      <c r="BZ208" s="19">
        <v>0</v>
      </c>
      <c r="CA208" s="19">
        <v>0</v>
      </c>
      <c r="CB208" s="16">
        <f t="shared" si="189"/>
        <v>0</v>
      </c>
      <c r="CC208" s="16">
        <f t="shared" si="190"/>
        <v>0</v>
      </c>
      <c r="CD208" s="20">
        <f t="shared" si="195"/>
        <v>1</v>
      </c>
      <c r="CE208" s="21">
        <f t="shared" si="194"/>
        <v>230</v>
      </c>
    </row>
    <row r="209" spans="1:83" x14ac:dyDescent="0.3">
      <c r="A209" s="23"/>
      <c r="B209" s="70">
        <v>180</v>
      </c>
      <c r="C209" s="172" t="s">
        <v>299</v>
      </c>
      <c r="D209" s="104" t="s">
        <v>300</v>
      </c>
      <c r="E209" s="155"/>
      <c r="F209" s="155"/>
      <c r="G209" s="155"/>
      <c r="H209" s="147">
        <v>1</v>
      </c>
      <c r="I209" s="153">
        <v>266</v>
      </c>
      <c r="J209" s="34">
        <v>1</v>
      </c>
      <c r="K209" s="16">
        <f t="shared" si="167"/>
        <v>266</v>
      </c>
      <c r="L209" s="19">
        <v>0</v>
      </c>
      <c r="M209" s="19">
        <v>0</v>
      </c>
      <c r="N209" s="16">
        <f t="shared" si="169"/>
        <v>0</v>
      </c>
      <c r="O209" s="16">
        <f t="shared" si="170"/>
        <v>0</v>
      </c>
      <c r="P209" s="18">
        <f t="shared" si="155"/>
        <v>1</v>
      </c>
      <c r="Q209" s="16">
        <f t="shared" si="156"/>
        <v>266</v>
      </c>
      <c r="R209" s="19">
        <v>0</v>
      </c>
      <c r="S209" s="18">
        <v>0</v>
      </c>
      <c r="T209" s="16">
        <f t="shared" si="157"/>
        <v>0</v>
      </c>
      <c r="U209" s="16">
        <f t="shared" si="158"/>
        <v>0</v>
      </c>
      <c r="V209" s="18">
        <f t="shared" si="159"/>
        <v>1</v>
      </c>
      <c r="W209" s="16">
        <f t="shared" si="160"/>
        <v>266</v>
      </c>
      <c r="X209" s="19">
        <v>0</v>
      </c>
      <c r="Y209" s="19">
        <v>0</v>
      </c>
      <c r="Z209" s="16">
        <f t="shared" si="161"/>
        <v>0</v>
      </c>
      <c r="AA209" s="16">
        <f t="shared" si="162"/>
        <v>0</v>
      </c>
      <c r="AB209" s="18">
        <f t="shared" si="163"/>
        <v>1</v>
      </c>
      <c r="AC209" s="16">
        <f t="shared" si="164"/>
        <v>266</v>
      </c>
      <c r="AD209" s="19">
        <v>0</v>
      </c>
      <c r="AE209" s="19">
        <v>0</v>
      </c>
      <c r="AF209" s="16">
        <f t="shared" si="165"/>
        <v>0</v>
      </c>
      <c r="AG209" s="16">
        <f t="shared" si="166"/>
        <v>0</v>
      </c>
      <c r="AH209" s="18">
        <f t="shared" si="196"/>
        <v>1</v>
      </c>
      <c r="AI209" s="16">
        <f t="shared" si="197"/>
        <v>266</v>
      </c>
      <c r="AJ209" s="19">
        <v>0</v>
      </c>
      <c r="AK209" s="19">
        <v>0</v>
      </c>
      <c r="AL209" s="16">
        <f t="shared" si="198"/>
        <v>0</v>
      </c>
      <c r="AM209" s="16">
        <f t="shared" si="199"/>
        <v>0</v>
      </c>
      <c r="AN209" s="18">
        <f t="shared" si="200"/>
        <v>1</v>
      </c>
      <c r="AO209" s="16">
        <f t="shared" si="201"/>
        <v>266</v>
      </c>
      <c r="AP209" s="19">
        <v>0</v>
      </c>
      <c r="AQ209" s="19">
        <v>0</v>
      </c>
      <c r="AR209" s="16">
        <f t="shared" si="202"/>
        <v>0</v>
      </c>
      <c r="AS209" s="16">
        <f t="shared" si="203"/>
        <v>0</v>
      </c>
      <c r="AT209" s="18">
        <f t="shared" si="204"/>
        <v>1</v>
      </c>
      <c r="AU209" s="16">
        <f t="shared" si="205"/>
        <v>266</v>
      </c>
      <c r="AV209" s="19">
        <v>0</v>
      </c>
      <c r="AW209" s="19">
        <v>0</v>
      </c>
      <c r="AX209" s="16">
        <f t="shared" si="206"/>
        <v>0</v>
      </c>
      <c r="AY209" s="16">
        <f t="shared" si="207"/>
        <v>0</v>
      </c>
      <c r="AZ209" s="18">
        <f t="shared" si="171"/>
        <v>1</v>
      </c>
      <c r="BA209" s="16">
        <f t="shared" si="172"/>
        <v>266</v>
      </c>
      <c r="BB209" s="19">
        <v>0</v>
      </c>
      <c r="BC209" s="19">
        <v>0</v>
      </c>
      <c r="BD209" s="16">
        <f t="shared" si="173"/>
        <v>0</v>
      </c>
      <c r="BE209" s="16">
        <f t="shared" si="174"/>
        <v>0</v>
      </c>
      <c r="BF209" s="18">
        <f t="shared" si="175"/>
        <v>1</v>
      </c>
      <c r="BG209" s="16">
        <f t="shared" si="176"/>
        <v>266</v>
      </c>
      <c r="BH209" s="19">
        <v>0</v>
      </c>
      <c r="BI209" s="19">
        <v>0</v>
      </c>
      <c r="BJ209" s="16">
        <f t="shared" si="177"/>
        <v>0</v>
      </c>
      <c r="BK209" s="16">
        <f t="shared" si="178"/>
        <v>0</v>
      </c>
      <c r="BL209" s="18">
        <f t="shared" si="179"/>
        <v>1</v>
      </c>
      <c r="BM209" s="16">
        <f t="shared" si="180"/>
        <v>266</v>
      </c>
      <c r="BN209" s="19">
        <v>0</v>
      </c>
      <c r="BO209" s="19">
        <v>0</v>
      </c>
      <c r="BP209" s="16">
        <f t="shared" si="181"/>
        <v>0</v>
      </c>
      <c r="BQ209" s="16">
        <f t="shared" si="182"/>
        <v>0</v>
      </c>
      <c r="BR209" s="18">
        <f t="shared" si="183"/>
        <v>1</v>
      </c>
      <c r="BS209" s="16">
        <f t="shared" si="184"/>
        <v>266</v>
      </c>
      <c r="BT209" s="19">
        <v>0</v>
      </c>
      <c r="BU209" s="19">
        <v>0</v>
      </c>
      <c r="BV209" s="16">
        <f t="shared" si="185"/>
        <v>0</v>
      </c>
      <c r="BW209" s="16">
        <f t="shared" si="186"/>
        <v>0</v>
      </c>
      <c r="BX209" s="18">
        <f t="shared" si="187"/>
        <v>1</v>
      </c>
      <c r="BY209" s="16">
        <f t="shared" si="188"/>
        <v>266</v>
      </c>
      <c r="BZ209" s="19">
        <v>0</v>
      </c>
      <c r="CA209" s="19">
        <v>0</v>
      </c>
      <c r="CB209" s="16">
        <f t="shared" si="189"/>
        <v>0</v>
      </c>
      <c r="CC209" s="16">
        <f t="shared" si="190"/>
        <v>0</v>
      </c>
      <c r="CD209" s="20">
        <f t="shared" si="195"/>
        <v>1</v>
      </c>
      <c r="CE209" s="21">
        <f t="shared" si="194"/>
        <v>266</v>
      </c>
    </row>
    <row r="210" spans="1:83" x14ac:dyDescent="0.3">
      <c r="A210" s="23"/>
      <c r="B210" s="70">
        <v>181</v>
      </c>
      <c r="C210" s="173"/>
      <c r="D210" s="104" t="s">
        <v>300</v>
      </c>
      <c r="E210" s="155"/>
      <c r="F210" s="155"/>
      <c r="G210" s="155"/>
      <c r="H210" s="147">
        <v>1</v>
      </c>
      <c r="I210" s="153">
        <v>230</v>
      </c>
      <c r="J210" s="34">
        <v>1</v>
      </c>
      <c r="K210" s="16">
        <f t="shared" si="167"/>
        <v>230</v>
      </c>
      <c r="L210" s="19">
        <v>0</v>
      </c>
      <c r="M210" s="19">
        <v>0</v>
      </c>
      <c r="N210" s="16">
        <f t="shared" si="169"/>
        <v>0</v>
      </c>
      <c r="O210" s="16">
        <f t="shared" si="170"/>
        <v>0</v>
      </c>
      <c r="P210" s="18">
        <f t="shared" si="155"/>
        <v>1</v>
      </c>
      <c r="Q210" s="16">
        <f t="shared" si="156"/>
        <v>230</v>
      </c>
      <c r="R210" s="19">
        <v>0</v>
      </c>
      <c r="S210" s="18">
        <v>0</v>
      </c>
      <c r="T210" s="16">
        <f t="shared" si="157"/>
        <v>0</v>
      </c>
      <c r="U210" s="16">
        <f t="shared" si="158"/>
        <v>0</v>
      </c>
      <c r="V210" s="18">
        <f t="shared" si="159"/>
        <v>1</v>
      </c>
      <c r="W210" s="16">
        <f t="shared" si="160"/>
        <v>230</v>
      </c>
      <c r="X210" s="19">
        <v>0</v>
      </c>
      <c r="Y210" s="19">
        <v>0</v>
      </c>
      <c r="Z210" s="16">
        <f t="shared" si="161"/>
        <v>0</v>
      </c>
      <c r="AA210" s="16">
        <f t="shared" si="162"/>
        <v>0</v>
      </c>
      <c r="AB210" s="18">
        <f t="shared" si="163"/>
        <v>1</v>
      </c>
      <c r="AC210" s="16">
        <f t="shared" si="164"/>
        <v>230</v>
      </c>
      <c r="AD210" s="19">
        <v>0</v>
      </c>
      <c r="AE210" s="19">
        <v>0</v>
      </c>
      <c r="AF210" s="16">
        <f t="shared" si="165"/>
        <v>0</v>
      </c>
      <c r="AG210" s="16">
        <f t="shared" si="166"/>
        <v>0</v>
      </c>
      <c r="AH210" s="18">
        <f t="shared" si="196"/>
        <v>1</v>
      </c>
      <c r="AI210" s="16">
        <f t="shared" si="197"/>
        <v>230</v>
      </c>
      <c r="AJ210" s="19">
        <v>0</v>
      </c>
      <c r="AK210" s="19">
        <v>0</v>
      </c>
      <c r="AL210" s="16">
        <f t="shared" si="198"/>
        <v>0</v>
      </c>
      <c r="AM210" s="16">
        <f t="shared" si="199"/>
        <v>0</v>
      </c>
      <c r="AN210" s="18">
        <f t="shared" si="200"/>
        <v>1</v>
      </c>
      <c r="AO210" s="16">
        <f t="shared" si="201"/>
        <v>230</v>
      </c>
      <c r="AP210" s="19">
        <v>0</v>
      </c>
      <c r="AQ210" s="19">
        <v>0</v>
      </c>
      <c r="AR210" s="16">
        <f t="shared" si="202"/>
        <v>0</v>
      </c>
      <c r="AS210" s="16">
        <f t="shared" si="203"/>
        <v>0</v>
      </c>
      <c r="AT210" s="18">
        <f t="shared" si="204"/>
        <v>1</v>
      </c>
      <c r="AU210" s="16">
        <f t="shared" si="205"/>
        <v>230</v>
      </c>
      <c r="AV210" s="19">
        <v>0</v>
      </c>
      <c r="AW210" s="19">
        <v>0</v>
      </c>
      <c r="AX210" s="16">
        <f t="shared" si="206"/>
        <v>0</v>
      </c>
      <c r="AY210" s="16">
        <f t="shared" si="207"/>
        <v>0</v>
      </c>
      <c r="AZ210" s="18">
        <f t="shared" si="171"/>
        <v>1</v>
      </c>
      <c r="BA210" s="16">
        <f t="shared" si="172"/>
        <v>230</v>
      </c>
      <c r="BB210" s="19">
        <v>0</v>
      </c>
      <c r="BC210" s="19">
        <v>0</v>
      </c>
      <c r="BD210" s="16">
        <f t="shared" ref="BD210:BD214" si="208">BC210*I210</f>
        <v>0</v>
      </c>
      <c r="BE210" s="16">
        <f t="shared" ref="BE210:BE214" si="209">BB210*I210</f>
        <v>0</v>
      </c>
      <c r="BF210" s="18">
        <f t="shared" si="175"/>
        <v>1</v>
      </c>
      <c r="BG210" s="16">
        <f t="shared" si="176"/>
        <v>230</v>
      </c>
      <c r="BH210" s="19">
        <v>0</v>
      </c>
      <c r="BI210" s="19">
        <v>0</v>
      </c>
      <c r="BJ210" s="16">
        <f t="shared" ref="BJ210:BJ217" si="210">BI210*I210</f>
        <v>0</v>
      </c>
      <c r="BK210" s="16">
        <f t="shared" ref="BK210:BK217" si="211">BH210*I210</f>
        <v>0</v>
      </c>
      <c r="BL210" s="18">
        <f t="shared" si="179"/>
        <v>1</v>
      </c>
      <c r="BM210" s="16">
        <f t="shared" si="180"/>
        <v>230</v>
      </c>
      <c r="BN210" s="19">
        <v>0</v>
      </c>
      <c r="BO210" s="19">
        <v>0</v>
      </c>
      <c r="BP210" s="16">
        <f t="shared" ref="BP210:BP215" si="212">BO210*I210</f>
        <v>0</v>
      </c>
      <c r="BQ210" s="16">
        <f t="shared" ref="BQ210:BQ215" si="213">BN210*I210</f>
        <v>0</v>
      </c>
      <c r="BR210" s="18">
        <f t="shared" ref="BR210:BR214" si="214">BL210-BN210+BO210</f>
        <v>1</v>
      </c>
      <c r="BS210" s="16">
        <f t="shared" ref="BS210:BS214" si="215">BR210*I210</f>
        <v>230</v>
      </c>
      <c r="BT210" s="19">
        <v>0</v>
      </c>
      <c r="BU210" s="19">
        <v>0</v>
      </c>
      <c r="BV210" s="16">
        <f t="shared" ref="BV210:BV214" si="216">BU210*I210</f>
        <v>0</v>
      </c>
      <c r="BW210" s="16">
        <f t="shared" ref="BW210:BW214" si="217">BT210*I210</f>
        <v>0</v>
      </c>
      <c r="BX210" s="18">
        <f t="shared" ref="BX210:BX216" si="218">BR210-BT210+BU210</f>
        <v>1</v>
      </c>
      <c r="BY210" s="16">
        <f t="shared" ref="BY210:BY216" si="219">BX210*I210</f>
        <v>230</v>
      </c>
      <c r="BZ210" s="19">
        <v>0</v>
      </c>
      <c r="CA210" s="19">
        <v>0</v>
      </c>
      <c r="CB210" s="16">
        <f t="shared" ref="CB210:CB216" si="220">CA210*I210</f>
        <v>0</v>
      </c>
      <c r="CC210" s="16">
        <f t="shared" ref="CC210:CC216" si="221">BZ210*I210</f>
        <v>0</v>
      </c>
      <c r="CD210" s="20">
        <f t="shared" si="195"/>
        <v>1</v>
      </c>
      <c r="CE210" s="21">
        <f t="shared" si="194"/>
        <v>230</v>
      </c>
    </row>
    <row r="211" spans="1:83" x14ac:dyDescent="0.3">
      <c r="A211" s="23"/>
      <c r="B211" s="70">
        <v>182</v>
      </c>
      <c r="C211" s="170" t="s">
        <v>301</v>
      </c>
      <c r="D211" s="13" t="s">
        <v>302</v>
      </c>
      <c r="E211" s="22"/>
      <c r="F211" s="22"/>
      <c r="G211" s="22"/>
      <c r="H211" s="34">
        <v>1</v>
      </c>
      <c r="I211" s="25">
        <v>312.5</v>
      </c>
      <c r="J211" s="34">
        <v>1</v>
      </c>
      <c r="K211" s="16">
        <f t="shared" si="167"/>
        <v>312.5</v>
      </c>
      <c r="L211" s="19">
        <v>1</v>
      </c>
      <c r="M211" s="19">
        <v>0</v>
      </c>
      <c r="N211" s="16">
        <f t="shared" si="169"/>
        <v>0</v>
      </c>
      <c r="O211" s="16">
        <f t="shared" si="170"/>
        <v>312.5</v>
      </c>
      <c r="P211" s="18">
        <f t="shared" si="155"/>
        <v>0</v>
      </c>
      <c r="Q211" s="16">
        <f t="shared" si="156"/>
        <v>0</v>
      </c>
      <c r="R211" s="19">
        <v>0</v>
      </c>
      <c r="S211" s="18">
        <v>0</v>
      </c>
      <c r="T211" s="16">
        <f t="shared" si="157"/>
        <v>0</v>
      </c>
      <c r="U211" s="16">
        <f t="shared" si="158"/>
        <v>0</v>
      </c>
      <c r="V211" s="18">
        <f t="shared" si="159"/>
        <v>0</v>
      </c>
      <c r="W211" s="16">
        <f t="shared" si="160"/>
        <v>0</v>
      </c>
      <c r="X211" s="19">
        <v>0</v>
      </c>
      <c r="Y211" s="19">
        <v>0</v>
      </c>
      <c r="Z211" s="16">
        <f t="shared" si="161"/>
        <v>0</v>
      </c>
      <c r="AA211" s="16">
        <f t="shared" si="162"/>
        <v>0</v>
      </c>
      <c r="AB211" s="18">
        <f t="shared" si="163"/>
        <v>0</v>
      </c>
      <c r="AC211" s="16">
        <f t="shared" si="164"/>
        <v>0</v>
      </c>
      <c r="AD211" s="19">
        <v>0</v>
      </c>
      <c r="AE211" s="19">
        <v>0</v>
      </c>
      <c r="AF211" s="16">
        <f t="shared" si="165"/>
        <v>0</v>
      </c>
      <c r="AG211" s="16">
        <f t="shared" si="166"/>
        <v>0</v>
      </c>
      <c r="AH211" s="18">
        <f t="shared" si="196"/>
        <v>0</v>
      </c>
      <c r="AI211" s="16">
        <f t="shared" si="197"/>
        <v>0</v>
      </c>
      <c r="AJ211" s="19">
        <v>0</v>
      </c>
      <c r="AK211" s="19">
        <v>0</v>
      </c>
      <c r="AL211" s="16">
        <f t="shared" si="198"/>
        <v>0</v>
      </c>
      <c r="AM211" s="16">
        <f t="shared" si="199"/>
        <v>0</v>
      </c>
      <c r="AN211" s="18">
        <f t="shared" si="200"/>
        <v>0</v>
      </c>
      <c r="AO211" s="16">
        <f t="shared" si="201"/>
        <v>0</v>
      </c>
      <c r="AP211" s="19">
        <v>0</v>
      </c>
      <c r="AQ211" s="19">
        <v>0</v>
      </c>
      <c r="AR211" s="16">
        <f t="shared" si="202"/>
        <v>0</v>
      </c>
      <c r="AS211" s="16">
        <f t="shared" si="203"/>
        <v>0</v>
      </c>
      <c r="AT211" s="18">
        <f t="shared" si="204"/>
        <v>0</v>
      </c>
      <c r="AU211" s="16">
        <f t="shared" si="205"/>
        <v>0</v>
      </c>
      <c r="AV211" s="19">
        <v>0</v>
      </c>
      <c r="AW211" s="19">
        <v>0</v>
      </c>
      <c r="AX211" s="16">
        <f t="shared" si="206"/>
        <v>0</v>
      </c>
      <c r="AY211" s="16">
        <f t="shared" si="207"/>
        <v>0</v>
      </c>
      <c r="AZ211" s="18">
        <f t="shared" si="171"/>
        <v>0</v>
      </c>
      <c r="BA211" s="16">
        <f t="shared" si="172"/>
        <v>0</v>
      </c>
      <c r="BB211" s="19">
        <v>0</v>
      </c>
      <c r="BC211" s="19">
        <v>0</v>
      </c>
      <c r="BD211" s="16">
        <f t="shared" si="208"/>
        <v>0</v>
      </c>
      <c r="BE211" s="16">
        <f t="shared" si="209"/>
        <v>0</v>
      </c>
      <c r="BF211" s="18">
        <f t="shared" si="175"/>
        <v>0</v>
      </c>
      <c r="BG211" s="16">
        <f t="shared" si="176"/>
        <v>0</v>
      </c>
      <c r="BH211" s="19">
        <v>0</v>
      </c>
      <c r="BI211" s="19">
        <v>0</v>
      </c>
      <c r="BJ211" s="16">
        <f t="shared" si="210"/>
        <v>0</v>
      </c>
      <c r="BK211" s="16">
        <f t="shared" si="211"/>
        <v>0</v>
      </c>
      <c r="BL211" s="18">
        <f t="shared" si="179"/>
        <v>0</v>
      </c>
      <c r="BM211" s="16">
        <f t="shared" si="180"/>
        <v>0</v>
      </c>
      <c r="BN211" s="19">
        <v>0</v>
      </c>
      <c r="BO211" s="19">
        <v>0</v>
      </c>
      <c r="BP211" s="16">
        <f t="shared" si="212"/>
        <v>0</v>
      </c>
      <c r="BQ211" s="16">
        <f t="shared" si="213"/>
        <v>0</v>
      </c>
      <c r="BR211" s="18">
        <f t="shared" si="214"/>
        <v>0</v>
      </c>
      <c r="BS211" s="16">
        <f t="shared" si="215"/>
        <v>0</v>
      </c>
      <c r="BT211" s="19">
        <v>0</v>
      </c>
      <c r="BU211" s="19">
        <v>0</v>
      </c>
      <c r="BV211" s="16">
        <f t="shared" si="216"/>
        <v>0</v>
      </c>
      <c r="BW211" s="16">
        <f t="shared" si="217"/>
        <v>0</v>
      </c>
      <c r="BX211" s="18">
        <f t="shared" si="218"/>
        <v>0</v>
      </c>
      <c r="BY211" s="16">
        <f t="shared" si="219"/>
        <v>0</v>
      </c>
      <c r="BZ211" s="19">
        <v>0</v>
      </c>
      <c r="CA211" s="19">
        <v>0</v>
      </c>
      <c r="CB211" s="16">
        <f t="shared" si="220"/>
        <v>0</v>
      </c>
      <c r="CC211" s="16">
        <f t="shared" si="221"/>
        <v>0</v>
      </c>
      <c r="CD211" s="20">
        <f t="shared" si="195"/>
        <v>0</v>
      </c>
      <c r="CE211" s="21">
        <f t="shared" si="194"/>
        <v>0</v>
      </c>
    </row>
    <row r="212" spans="1:83" x14ac:dyDescent="0.3">
      <c r="B212" s="70"/>
      <c r="C212" s="171"/>
      <c r="D212" s="13" t="s">
        <v>302</v>
      </c>
      <c r="E212" s="22"/>
      <c r="F212" s="22"/>
      <c r="G212" s="22"/>
      <c r="H212" s="34"/>
      <c r="I212" s="25">
        <v>244.4</v>
      </c>
      <c r="J212" s="34"/>
      <c r="K212" s="16"/>
      <c r="L212" s="19"/>
      <c r="M212" s="19"/>
      <c r="N212" s="16"/>
      <c r="O212" s="16"/>
      <c r="P212" s="18"/>
      <c r="Q212" s="16"/>
      <c r="R212" s="19"/>
      <c r="S212" s="18"/>
      <c r="T212" s="16"/>
      <c r="U212" s="16"/>
      <c r="V212" s="18"/>
      <c r="W212" s="16"/>
      <c r="X212" s="19"/>
      <c r="Y212" s="19"/>
      <c r="Z212" s="16"/>
      <c r="AA212" s="16"/>
      <c r="AB212" s="18">
        <v>0</v>
      </c>
      <c r="AC212" s="16">
        <v>0</v>
      </c>
      <c r="AD212" s="19">
        <v>0</v>
      </c>
      <c r="AE212" s="19">
        <v>0</v>
      </c>
      <c r="AF212" s="16">
        <v>0</v>
      </c>
      <c r="AG212" s="16">
        <v>0</v>
      </c>
      <c r="AH212" s="18">
        <f t="shared" si="196"/>
        <v>0</v>
      </c>
      <c r="AI212" s="16">
        <f t="shared" si="197"/>
        <v>0</v>
      </c>
      <c r="AJ212" s="19">
        <v>0</v>
      </c>
      <c r="AK212" s="19">
        <v>1</v>
      </c>
      <c r="AL212" s="16">
        <f t="shared" si="198"/>
        <v>244.4</v>
      </c>
      <c r="AM212" s="16">
        <f t="shared" si="199"/>
        <v>0</v>
      </c>
      <c r="AN212" s="18">
        <f t="shared" si="200"/>
        <v>1</v>
      </c>
      <c r="AO212" s="16">
        <f t="shared" si="201"/>
        <v>244.4</v>
      </c>
      <c r="AP212" s="19">
        <v>0</v>
      </c>
      <c r="AQ212" s="19">
        <v>0</v>
      </c>
      <c r="AR212" s="16">
        <f t="shared" si="202"/>
        <v>0</v>
      </c>
      <c r="AS212" s="16">
        <f t="shared" si="203"/>
        <v>0</v>
      </c>
      <c r="AT212" s="18">
        <f t="shared" si="204"/>
        <v>1</v>
      </c>
      <c r="AU212" s="16">
        <f t="shared" si="205"/>
        <v>244.4</v>
      </c>
      <c r="AV212" s="19">
        <v>0</v>
      </c>
      <c r="AW212" s="19">
        <v>0</v>
      </c>
      <c r="AX212" s="16">
        <f t="shared" si="206"/>
        <v>0</v>
      </c>
      <c r="AY212" s="16">
        <f t="shared" si="207"/>
        <v>0</v>
      </c>
      <c r="AZ212" s="18">
        <f t="shared" si="171"/>
        <v>1</v>
      </c>
      <c r="BA212" s="16">
        <f t="shared" si="172"/>
        <v>244.4</v>
      </c>
      <c r="BB212" s="19">
        <v>0</v>
      </c>
      <c r="BC212" s="19">
        <v>0</v>
      </c>
      <c r="BD212" s="16">
        <f t="shared" si="208"/>
        <v>0</v>
      </c>
      <c r="BE212" s="16">
        <f t="shared" si="209"/>
        <v>0</v>
      </c>
      <c r="BF212" s="18">
        <f t="shared" si="175"/>
        <v>1</v>
      </c>
      <c r="BG212" s="16">
        <f t="shared" si="176"/>
        <v>244.4</v>
      </c>
      <c r="BH212" s="19">
        <v>0</v>
      </c>
      <c r="BI212" s="19">
        <v>0</v>
      </c>
      <c r="BJ212" s="16">
        <f t="shared" si="210"/>
        <v>0</v>
      </c>
      <c r="BK212" s="16">
        <f t="shared" si="211"/>
        <v>0</v>
      </c>
      <c r="BL212" s="18">
        <f t="shared" si="179"/>
        <v>1</v>
      </c>
      <c r="BM212" s="16">
        <f t="shared" si="180"/>
        <v>244.4</v>
      </c>
      <c r="BN212" s="19">
        <v>0</v>
      </c>
      <c r="BO212" s="19">
        <v>0</v>
      </c>
      <c r="BP212" s="16">
        <f t="shared" si="212"/>
        <v>0</v>
      </c>
      <c r="BQ212" s="16">
        <f t="shared" si="213"/>
        <v>0</v>
      </c>
      <c r="BR212" s="18">
        <f t="shared" si="214"/>
        <v>1</v>
      </c>
      <c r="BS212" s="16">
        <f t="shared" si="215"/>
        <v>244.4</v>
      </c>
      <c r="BT212" s="19">
        <v>0</v>
      </c>
      <c r="BU212" s="19">
        <v>0</v>
      </c>
      <c r="BV212" s="16">
        <f t="shared" si="216"/>
        <v>0</v>
      </c>
      <c r="BW212" s="16">
        <f t="shared" si="217"/>
        <v>0</v>
      </c>
      <c r="BX212" s="18">
        <f t="shared" si="218"/>
        <v>1</v>
      </c>
      <c r="BY212" s="16">
        <f t="shared" si="219"/>
        <v>244.4</v>
      </c>
      <c r="BZ212" s="19">
        <v>0</v>
      </c>
      <c r="CA212" s="19">
        <v>0</v>
      </c>
      <c r="CB212" s="16">
        <f t="shared" si="220"/>
        <v>0</v>
      </c>
      <c r="CC212" s="16">
        <f t="shared" si="221"/>
        <v>0</v>
      </c>
      <c r="CD212" s="20">
        <f t="shared" si="195"/>
        <v>1</v>
      </c>
      <c r="CE212" s="21">
        <f t="shared" si="194"/>
        <v>244.4</v>
      </c>
    </row>
    <row r="213" spans="1:83" x14ac:dyDescent="0.25">
      <c r="B213" s="70">
        <v>183</v>
      </c>
      <c r="C213" s="79" t="s">
        <v>303</v>
      </c>
      <c r="D213" s="13" t="s">
        <v>304</v>
      </c>
      <c r="E213" s="23"/>
      <c r="F213" s="23"/>
      <c r="G213" s="23"/>
      <c r="H213" s="40">
        <v>110</v>
      </c>
      <c r="I213" s="30">
        <v>9.98</v>
      </c>
      <c r="J213" s="40">
        <v>110</v>
      </c>
      <c r="K213" s="16">
        <f t="shared" si="167"/>
        <v>1097.8</v>
      </c>
      <c r="L213" s="19">
        <v>1</v>
      </c>
      <c r="M213" s="19">
        <v>0</v>
      </c>
      <c r="N213" s="16">
        <f t="shared" si="169"/>
        <v>0</v>
      </c>
      <c r="O213" s="16">
        <f t="shared" si="170"/>
        <v>9.98</v>
      </c>
      <c r="P213" s="18">
        <f t="shared" si="155"/>
        <v>109</v>
      </c>
      <c r="Q213" s="16">
        <f t="shared" si="156"/>
        <v>1087.82</v>
      </c>
      <c r="R213" s="19">
        <v>0</v>
      </c>
      <c r="S213" s="18">
        <v>0</v>
      </c>
      <c r="T213" s="16">
        <f t="shared" si="157"/>
        <v>0</v>
      </c>
      <c r="U213" s="16">
        <f t="shared" si="158"/>
        <v>0</v>
      </c>
      <c r="V213" s="18">
        <f t="shared" si="159"/>
        <v>109</v>
      </c>
      <c r="W213" s="16">
        <f t="shared" si="160"/>
        <v>1087.82</v>
      </c>
      <c r="X213" s="19">
        <v>0</v>
      </c>
      <c r="Y213" s="19">
        <v>0</v>
      </c>
      <c r="Z213" s="16">
        <f t="shared" si="161"/>
        <v>0</v>
      </c>
      <c r="AA213" s="16">
        <f t="shared" si="162"/>
        <v>0</v>
      </c>
      <c r="AB213" s="18">
        <f t="shared" si="163"/>
        <v>109</v>
      </c>
      <c r="AC213" s="16">
        <f t="shared" si="164"/>
        <v>1087.82</v>
      </c>
      <c r="AD213" s="19">
        <v>0</v>
      </c>
      <c r="AE213" s="19">
        <v>0</v>
      </c>
      <c r="AF213" s="16">
        <f t="shared" si="165"/>
        <v>0</v>
      </c>
      <c r="AG213" s="16">
        <f t="shared" si="166"/>
        <v>0</v>
      </c>
      <c r="AH213" s="18">
        <f t="shared" si="196"/>
        <v>109</v>
      </c>
      <c r="AI213" s="16">
        <f t="shared" si="197"/>
        <v>1087.82</v>
      </c>
      <c r="AJ213" s="19">
        <v>0</v>
      </c>
      <c r="AK213" s="19">
        <v>0</v>
      </c>
      <c r="AL213" s="16">
        <f t="shared" si="198"/>
        <v>0</v>
      </c>
      <c r="AM213" s="16">
        <f t="shared" si="199"/>
        <v>0</v>
      </c>
      <c r="AN213" s="18">
        <f t="shared" si="200"/>
        <v>109</v>
      </c>
      <c r="AO213" s="16">
        <f t="shared" si="201"/>
        <v>1087.82</v>
      </c>
      <c r="AP213" s="19">
        <v>0</v>
      </c>
      <c r="AQ213" s="19">
        <v>0</v>
      </c>
      <c r="AR213" s="16">
        <f t="shared" si="202"/>
        <v>0</v>
      </c>
      <c r="AS213" s="16">
        <f t="shared" si="203"/>
        <v>0</v>
      </c>
      <c r="AT213" s="18">
        <f t="shared" si="204"/>
        <v>109</v>
      </c>
      <c r="AU213" s="16">
        <f t="shared" si="205"/>
        <v>1087.82</v>
      </c>
      <c r="AV213" s="19">
        <v>0</v>
      </c>
      <c r="AW213" s="19">
        <v>0</v>
      </c>
      <c r="AX213" s="16">
        <f t="shared" si="206"/>
        <v>0</v>
      </c>
      <c r="AY213" s="16">
        <f t="shared" si="207"/>
        <v>0</v>
      </c>
      <c r="AZ213" s="18">
        <f t="shared" si="171"/>
        <v>109</v>
      </c>
      <c r="BA213" s="16">
        <f t="shared" si="172"/>
        <v>1087.82</v>
      </c>
      <c r="BB213" s="19">
        <v>0</v>
      </c>
      <c r="BC213" s="19">
        <v>0</v>
      </c>
      <c r="BD213" s="16">
        <f t="shared" si="208"/>
        <v>0</v>
      </c>
      <c r="BE213" s="16">
        <f t="shared" si="209"/>
        <v>0</v>
      </c>
      <c r="BF213" s="18">
        <f t="shared" si="175"/>
        <v>109</v>
      </c>
      <c r="BG213" s="16">
        <f t="shared" si="176"/>
        <v>1087.82</v>
      </c>
      <c r="BH213" s="19">
        <v>0</v>
      </c>
      <c r="BI213" s="19">
        <v>0</v>
      </c>
      <c r="BJ213" s="16">
        <f t="shared" si="210"/>
        <v>0</v>
      </c>
      <c r="BK213" s="16">
        <f t="shared" si="211"/>
        <v>0</v>
      </c>
      <c r="BL213" s="18">
        <f t="shared" si="179"/>
        <v>109</v>
      </c>
      <c r="BM213" s="16">
        <f t="shared" si="180"/>
        <v>1087.82</v>
      </c>
      <c r="BN213" s="19">
        <v>0</v>
      </c>
      <c r="BO213" s="19">
        <v>0</v>
      </c>
      <c r="BP213" s="16">
        <f t="shared" si="212"/>
        <v>0</v>
      </c>
      <c r="BQ213" s="16">
        <f t="shared" si="213"/>
        <v>0</v>
      </c>
      <c r="BR213" s="18">
        <f t="shared" si="214"/>
        <v>109</v>
      </c>
      <c r="BS213" s="16">
        <f t="shared" si="215"/>
        <v>1087.82</v>
      </c>
      <c r="BT213" s="19">
        <v>0</v>
      </c>
      <c r="BU213" s="19">
        <v>0</v>
      </c>
      <c r="BV213" s="16">
        <f t="shared" si="216"/>
        <v>0</v>
      </c>
      <c r="BW213" s="16">
        <f t="shared" si="217"/>
        <v>0</v>
      </c>
      <c r="BX213" s="18">
        <f t="shared" si="218"/>
        <v>109</v>
      </c>
      <c r="BY213" s="16">
        <f t="shared" si="219"/>
        <v>1087.82</v>
      </c>
      <c r="BZ213" s="19">
        <v>0</v>
      </c>
      <c r="CA213" s="19">
        <v>0</v>
      </c>
      <c r="CB213" s="16">
        <f t="shared" si="220"/>
        <v>0</v>
      </c>
      <c r="CC213" s="16">
        <f t="shared" si="221"/>
        <v>0</v>
      </c>
      <c r="CD213" s="20">
        <f t="shared" si="195"/>
        <v>109</v>
      </c>
      <c r="CE213" s="21">
        <f t="shared" si="194"/>
        <v>1087.82</v>
      </c>
    </row>
    <row r="214" spans="1:83" x14ac:dyDescent="0.25">
      <c r="B214" s="70">
        <v>184</v>
      </c>
      <c r="C214" s="79" t="s">
        <v>305</v>
      </c>
      <c r="D214" s="13" t="s">
        <v>306</v>
      </c>
      <c r="E214" s="23">
        <v>20</v>
      </c>
      <c r="F214" s="23">
        <v>40</v>
      </c>
      <c r="G214" s="23">
        <v>60</v>
      </c>
      <c r="H214" s="40">
        <v>117</v>
      </c>
      <c r="I214" s="30">
        <v>8.5</v>
      </c>
      <c r="J214" s="40">
        <v>117</v>
      </c>
      <c r="K214" s="16">
        <f t="shared" si="167"/>
        <v>994.5</v>
      </c>
      <c r="L214" s="19">
        <v>16</v>
      </c>
      <c r="M214" s="19">
        <v>0</v>
      </c>
      <c r="N214" s="16">
        <f t="shared" si="169"/>
        <v>0</v>
      </c>
      <c r="O214" s="16">
        <f t="shared" si="170"/>
        <v>136</v>
      </c>
      <c r="P214" s="18">
        <f t="shared" si="155"/>
        <v>101</v>
      </c>
      <c r="Q214" s="16">
        <f t="shared" si="156"/>
        <v>858.5</v>
      </c>
      <c r="R214" s="19">
        <v>0</v>
      </c>
      <c r="S214" s="18">
        <v>0</v>
      </c>
      <c r="T214" s="16">
        <f t="shared" si="157"/>
        <v>0</v>
      </c>
      <c r="U214" s="16">
        <f t="shared" si="158"/>
        <v>0</v>
      </c>
      <c r="V214" s="18">
        <f t="shared" si="159"/>
        <v>101</v>
      </c>
      <c r="W214" s="16">
        <f t="shared" si="160"/>
        <v>858.5</v>
      </c>
      <c r="X214" s="19">
        <v>0</v>
      </c>
      <c r="Y214" s="19">
        <v>0</v>
      </c>
      <c r="Z214" s="16">
        <f t="shared" si="161"/>
        <v>0</v>
      </c>
      <c r="AA214" s="16">
        <f t="shared" si="162"/>
        <v>0</v>
      </c>
      <c r="AB214" s="18">
        <f t="shared" si="163"/>
        <v>101</v>
      </c>
      <c r="AC214" s="16">
        <f t="shared" si="164"/>
        <v>858.5</v>
      </c>
      <c r="AD214" s="19">
        <v>0</v>
      </c>
      <c r="AE214" s="19">
        <v>0</v>
      </c>
      <c r="AF214" s="16">
        <f t="shared" si="165"/>
        <v>0</v>
      </c>
      <c r="AG214" s="16">
        <f t="shared" si="166"/>
        <v>0</v>
      </c>
      <c r="AH214" s="18">
        <f t="shared" si="196"/>
        <v>101</v>
      </c>
      <c r="AI214" s="16">
        <f t="shared" si="197"/>
        <v>858.5</v>
      </c>
      <c r="AJ214" s="19">
        <v>0</v>
      </c>
      <c r="AK214" s="19">
        <v>0</v>
      </c>
      <c r="AL214" s="16">
        <f t="shared" si="198"/>
        <v>0</v>
      </c>
      <c r="AM214" s="16">
        <f t="shared" si="199"/>
        <v>0</v>
      </c>
      <c r="AN214" s="18">
        <f t="shared" si="200"/>
        <v>101</v>
      </c>
      <c r="AO214" s="16">
        <f t="shared" si="201"/>
        <v>858.5</v>
      </c>
      <c r="AP214" s="19">
        <v>0</v>
      </c>
      <c r="AQ214" s="19">
        <v>0</v>
      </c>
      <c r="AR214" s="16">
        <f t="shared" si="202"/>
        <v>0</v>
      </c>
      <c r="AS214" s="16">
        <f t="shared" si="203"/>
        <v>0</v>
      </c>
      <c r="AT214" s="18">
        <f t="shared" si="204"/>
        <v>101</v>
      </c>
      <c r="AU214" s="16">
        <f t="shared" si="205"/>
        <v>858.5</v>
      </c>
      <c r="AV214" s="19">
        <v>0</v>
      </c>
      <c r="AW214" s="19">
        <v>0</v>
      </c>
      <c r="AX214" s="16">
        <f t="shared" si="206"/>
        <v>0</v>
      </c>
      <c r="AY214" s="16">
        <f t="shared" si="207"/>
        <v>0</v>
      </c>
      <c r="AZ214" s="18">
        <f t="shared" si="171"/>
        <v>101</v>
      </c>
      <c r="BA214" s="16">
        <f t="shared" si="172"/>
        <v>858.5</v>
      </c>
      <c r="BB214" s="19">
        <v>7</v>
      </c>
      <c r="BC214" s="19">
        <v>0</v>
      </c>
      <c r="BD214" s="16">
        <f t="shared" si="208"/>
        <v>0</v>
      </c>
      <c r="BE214" s="16">
        <f t="shared" si="209"/>
        <v>59.5</v>
      </c>
      <c r="BF214" s="18">
        <f t="shared" si="175"/>
        <v>94</v>
      </c>
      <c r="BG214" s="16">
        <f t="shared" si="176"/>
        <v>799</v>
      </c>
      <c r="BH214" s="19">
        <v>0</v>
      </c>
      <c r="BI214" s="19">
        <v>0</v>
      </c>
      <c r="BJ214" s="16">
        <f t="shared" si="210"/>
        <v>0</v>
      </c>
      <c r="BK214" s="16">
        <f t="shared" si="211"/>
        <v>0</v>
      </c>
      <c r="BL214" s="18">
        <f t="shared" si="179"/>
        <v>94</v>
      </c>
      <c r="BM214" s="16">
        <f t="shared" si="180"/>
        <v>799</v>
      </c>
      <c r="BN214" s="19">
        <v>0</v>
      </c>
      <c r="BO214" s="19">
        <v>0</v>
      </c>
      <c r="BP214" s="16">
        <f t="shared" si="212"/>
        <v>0</v>
      </c>
      <c r="BQ214" s="16">
        <f t="shared" si="213"/>
        <v>0</v>
      </c>
      <c r="BR214" s="18">
        <f t="shared" si="214"/>
        <v>94</v>
      </c>
      <c r="BS214" s="16">
        <f t="shared" si="215"/>
        <v>799</v>
      </c>
      <c r="BT214" s="19">
        <v>0</v>
      </c>
      <c r="BU214" s="19">
        <v>0</v>
      </c>
      <c r="BV214" s="16">
        <f t="shared" si="216"/>
        <v>0</v>
      </c>
      <c r="BW214" s="16">
        <f t="shared" si="217"/>
        <v>0</v>
      </c>
      <c r="BX214" s="18">
        <f t="shared" si="218"/>
        <v>94</v>
      </c>
      <c r="BY214" s="16">
        <f t="shared" si="219"/>
        <v>799</v>
      </c>
      <c r="BZ214" s="19">
        <v>0</v>
      </c>
      <c r="CA214" s="19">
        <v>0</v>
      </c>
      <c r="CB214" s="16">
        <f t="shared" si="220"/>
        <v>0</v>
      </c>
      <c r="CC214" s="16">
        <f t="shared" si="221"/>
        <v>0</v>
      </c>
      <c r="CD214" s="20">
        <f t="shared" si="195"/>
        <v>94</v>
      </c>
      <c r="CE214" s="21">
        <f t="shared" si="194"/>
        <v>799</v>
      </c>
    </row>
    <row r="215" spans="1:83" x14ac:dyDescent="0.25">
      <c r="B215" s="70">
        <v>185</v>
      </c>
      <c r="C215" s="79" t="s">
        <v>307</v>
      </c>
      <c r="D215" s="13" t="s">
        <v>308</v>
      </c>
      <c r="E215" s="23">
        <v>20</v>
      </c>
      <c r="F215" s="23">
        <v>40</v>
      </c>
      <c r="G215" s="23">
        <v>60</v>
      </c>
      <c r="H215" s="40">
        <v>121</v>
      </c>
      <c r="I215" s="30">
        <v>6.9</v>
      </c>
      <c r="J215" s="40">
        <v>121</v>
      </c>
      <c r="K215" s="16">
        <f t="shared" si="167"/>
        <v>834.90000000000009</v>
      </c>
      <c r="L215" s="19">
        <v>14</v>
      </c>
      <c r="M215" s="19">
        <v>0</v>
      </c>
      <c r="N215" s="16">
        <f t="shared" si="169"/>
        <v>0</v>
      </c>
      <c r="O215" s="16">
        <f t="shared" si="170"/>
        <v>96.600000000000009</v>
      </c>
      <c r="P215" s="18">
        <f t="shared" si="155"/>
        <v>107</v>
      </c>
      <c r="Q215" s="16">
        <f t="shared" si="156"/>
        <v>738.30000000000007</v>
      </c>
      <c r="R215" s="19">
        <v>0</v>
      </c>
      <c r="S215" s="18">
        <v>0</v>
      </c>
      <c r="T215" s="16">
        <f t="shared" si="157"/>
        <v>0</v>
      </c>
      <c r="U215" s="16">
        <f t="shared" si="158"/>
        <v>0</v>
      </c>
      <c r="V215" s="18">
        <f t="shared" si="159"/>
        <v>107</v>
      </c>
      <c r="W215" s="16">
        <f t="shared" si="160"/>
        <v>738.30000000000007</v>
      </c>
      <c r="X215" s="19">
        <v>0</v>
      </c>
      <c r="Y215" s="19">
        <v>0</v>
      </c>
      <c r="Z215" s="16">
        <f t="shared" si="161"/>
        <v>0</v>
      </c>
      <c r="AA215" s="16">
        <f t="shared" si="162"/>
        <v>0</v>
      </c>
      <c r="AB215" s="18">
        <f t="shared" si="163"/>
        <v>107</v>
      </c>
      <c r="AC215" s="16">
        <f t="shared" si="164"/>
        <v>738.30000000000007</v>
      </c>
      <c r="AD215" s="19">
        <v>0</v>
      </c>
      <c r="AE215" s="19">
        <v>0</v>
      </c>
      <c r="AF215" s="16">
        <f t="shared" si="165"/>
        <v>0</v>
      </c>
      <c r="AG215" s="16">
        <f t="shared" si="166"/>
        <v>0</v>
      </c>
      <c r="AH215" s="18">
        <f t="shared" si="196"/>
        <v>107</v>
      </c>
      <c r="AI215" s="16">
        <f t="shared" si="197"/>
        <v>738.30000000000007</v>
      </c>
      <c r="AJ215" s="19">
        <v>0</v>
      </c>
      <c r="AK215" s="19">
        <v>0</v>
      </c>
      <c r="AL215" s="16">
        <f t="shared" si="198"/>
        <v>0</v>
      </c>
      <c r="AM215" s="16">
        <f t="shared" si="199"/>
        <v>0</v>
      </c>
      <c r="AN215" s="18">
        <f t="shared" si="200"/>
        <v>107</v>
      </c>
      <c r="AO215" s="16">
        <f t="shared" si="201"/>
        <v>738.30000000000007</v>
      </c>
      <c r="AP215" s="19">
        <v>0</v>
      </c>
      <c r="AQ215" s="19">
        <v>0</v>
      </c>
      <c r="AR215" s="16">
        <f t="shared" si="202"/>
        <v>0</v>
      </c>
      <c r="AS215" s="16">
        <f t="shared" si="203"/>
        <v>0</v>
      </c>
      <c r="AT215" s="18">
        <f t="shared" si="204"/>
        <v>107</v>
      </c>
      <c r="AU215" s="16">
        <f t="shared" si="205"/>
        <v>738.30000000000007</v>
      </c>
      <c r="AV215" s="19">
        <v>0</v>
      </c>
      <c r="AW215" s="19">
        <v>0</v>
      </c>
      <c r="AX215" s="16">
        <f t="shared" si="206"/>
        <v>0</v>
      </c>
      <c r="AY215" s="16">
        <f t="shared" si="207"/>
        <v>0</v>
      </c>
      <c r="AZ215" s="18">
        <f t="shared" si="171"/>
        <v>107</v>
      </c>
      <c r="BA215" s="16">
        <f t="shared" si="172"/>
        <v>738.30000000000007</v>
      </c>
      <c r="BB215" s="19">
        <v>7</v>
      </c>
      <c r="BC215" s="19">
        <v>0</v>
      </c>
      <c r="BD215" s="16">
        <f t="shared" si="173"/>
        <v>0</v>
      </c>
      <c r="BE215" s="16">
        <f t="shared" si="174"/>
        <v>48.300000000000004</v>
      </c>
      <c r="BF215" s="18">
        <f t="shared" si="175"/>
        <v>100</v>
      </c>
      <c r="BG215" s="16">
        <f t="shared" si="176"/>
        <v>690</v>
      </c>
      <c r="BH215" s="19">
        <v>0</v>
      </c>
      <c r="BI215" s="19">
        <v>0</v>
      </c>
      <c r="BJ215" s="16">
        <f t="shared" si="210"/>
        <v>0</v>
      </c>
      <c r="BK215" s="16">
        <f t="shared" si="211"/>
        <v>0</v>
      </c>
      <c r="BL215" s="18">
        <f t="shared" si="179"/>
        <v>100</v>
      </c>
      <c r="BM215" s="16">
        <f t="shared" si="180"/>
        <v>690</v>
      </c>
      <c r="BN215" s="19">
        <v>0</v>
      </c>
      <c r="BO215" s="19">
        <v>0</v>
      </c>
      <c r="BP215" s="16">
        <f t="shared" si="212"/>
        <v>0</v>
      </c>
      <c r="BQ215" s="16">
        <f t="shared" si="213"/>
        <v>0</v>
      </c>
      <c r="BR215" s="18">
        <f t="shared" si="183"/>
        <v>100</v>
      </c>
      <c r="BS215" s="16">
        <f t="shared" si="184"/>
        <v>690</v>
      </c>
      <c r="BT215" s="19">
        <v>0</v>
      </c>
      <c r="BU215" s="19">
        <v>0</v>
      </c>
      <c r="BV215" s="16">
        <f t="shared" si="185"/>
        <v>0</v>
      </c>
      <c r="BW215" s="16">
        <f t="shared" si="186"/>
        <v>0</v>
      </c>
      <c r="BX215" s="18">
        <f t="shared" si="218"/>
        <v>100</v>
      </c>
      <c r="BY215" s="16">
        <f t="shared" si="219"/>
        <v>690</v>
      </c>
      <c r="BZ215" s="19">
        <v>0</v>
      </c>
      <c r="CA215" s="19">
        <v>0</v>
      </c>
      <c r="CB215" s="16">
        <f t="shared" si="220"/>
        <v>0</v>
      </c>
      <c r="CC215" s="16">
        <f t="shared" si="221"/>
        <v>0</v>
      </c>
      <c r="CD215" s="20">
        <f t="shared" si="195"/>
        <v>100</v>
      </c>
      <c r="CE215" s="21">
        <f t="shared" si="194"/>
        <v>690</v>
      </c>
    </row>
    <row r="216" spans="1:83" x14ac:dyDescent="0.25">
      <c r="B216" s="70">
        <v>186</v>
      </c>
      <c r="C216" s="170" t="s">
        <v>340</v>
      </c>
      <c r="D216" s="13" t="s">
        <v>350</v>
      </c>
      <c r="E216" s="23">
        <v>20</v>
      </c>
      <c r="F216" s="23">
        <v>40</v>
      </c>
      <c r="G216" s="23">
        <v>60</v>
      </c>
      <c r="H216" s="40">
        <v>100</v>
      </c>
      <c r="I216" s="30">
        <v>4.9000000000000004</v>
      </c>
      <c r="J216" s="40">
        <v>100</v>
      </c>
      <c r="K216" s="16">
        <f t="shared" si="167"/>
        <v>490.00000000000006</v>
      </c>
      <c r="L216" s="19">
        <v>16</v>
      </c>
      <c r="M216" s="19">
        <v>0</v>
      </c>
      <c r="N216" s="16">
        <f t="shared" si="169"/>
        <v>0</v>
      </c>
      <c r="O216" s="16">
        <f t="shared" si="170"/>
        <v>78.400000000000006</v>
      </c>
      <c r="P216" s="18">
        <f t="shared" si="155"/>
        <v>84</v>
      </c>
      <c r="Q216" s="16">
        <f t="shared" si="156"/>
        <v>411.6</v>
      </c>
      <c r="R216" s="19">
        <v>0</v>
      </c>
      <c r="S216" s="18">
        <v>0</v>
      </c>
      <c r="T216" s="16">
        <f t="shared" si="157"/>
        <v>0</v>
      </c>
      <c r="U216" s="16">
        <f t="shared" si="158"/>
        <v>0</v>
      </c>
      <c r="V216" s="18">
        <f t="shared" si="159"/>
        <v>84</v>
      </c>
      <c r="W216" s="16">
        <f t="shared" si="160"/>
        <v>411.6</v>
      </c>
      <c r="X216" s="19">
        <v>30</v>
      </c>
      <c r="Y216" s="19">
        <v>0</v>
      </c>
      <c r="Z216" s="16">
        <f t="shared" si="161"/>
        <v>0</v>
      </c>
      <c r="AA216" s="16">
        <f t="shared" si="162"/>
        <v>147</v>
      </c>
      <c r="AB216" s="18">
        <f t="shared" si="163"/>
        <v>54</v>
      </c>
      <c r="AC216" s="16">
        <f t="shared" si="164"/>
        <v>264.60000000000002</v>
      </c>
      <c r="AD216" s="19">
        <v>0</v>
      </c>
      <c r="AE216" s="19">
        <v>0</v>
      </c>
      <c r="AF216" s="16">
        <f t="shared" si="165"/>
        <v>0</v>
      </c>
      <c r="AG216" s="16">
        <f t="shared" si="166"/>
        <v>0</v>
      </c>
      <c r="AH216" s="18">
        <f t="shared" si="196"/>
        <v>54</v>
      </c>
      <c r="AI216" s="16">
        <f t="shared" si="197"/>
        <v>264.60000000000002</v>
      </c>
      <c r="AJ216" s="19">
        <v>0</v>
      </c>
      <c r="AK216" s="19">
        <v>0</v>
      </c>
      <c r="AL216" s="16">
        <f t="shared" si="198"/>
        <v>0</v>
      </c>
      <c r="AM216" s="16">
        <f t="shared" si="199"/>
        <v>0</v>
      </c>
      <c r="AN216" s="18">
        <f t="shared" si="200"/>
        <v>54</v>
      </c>
      <c r="AO216" s="16">
        <f t="shared" si="201"/>
        <v>264.60000000000002</v>
      </c>
      <c r="AP216" s="19">
        <v>0</v>
      </c>
      <c r="AQ216" s="19">
        <v>0</v>
      </c>
      <c r="AR216" s="16">
        <f t="shared" si="202"/>
        <v>0</v>
      </c>
      <c r="AS216" s="16">
        <f t="shared" si="203"/>
        <v>0</v>
      </c>
      <c r="AT216" s="18">
        <f t="shared" si="204"/>
        <v>54</v>
      </c>
      <c r="AU216" s="16">
        <f t="shared" si="205"/>
        <v>264.60000000000002</v>
      </c>
      <c r="AV216" s="19">
        <v>0</v>
      </c>
      <c r="AW216" s="19">
        <v>0</v>
      </c>
      <c r="AX216" s="16">
        <f t="shared" si="206"/>
        <v>0</v>
      </c>
      <c r="AY216" s="16">
        <f t="shared" si="207"/>
        <v>0</v>
      </c>
      <c r="AZ216" s="18">
        <f t="shared" si="171"/>
        <v>54</v>
      </c>
      <c r="BA216" s="16">
        <f t="shared" si="172"/>
        <v>264.60000000000002</v>
      </c>
      <c r="BB216" s="19">
        <v>0</v>
      </c>
      <c r="BC216" s="19">
        <v>0</v>
      </c>
      <c r="BD216" s="16">
        <f t="shared" si="173"/>
        <v>0</v>
      </c>
      <c r="BE216" s="16">
        <f t="shared" si="174"/>
        <v>0</v>
      </c>
      <c r="BF216" s="18">
        <f t="shared" si="175"/>
        <v>54</v>
      </c>
      <c r="BG216" s="16">
        <f t="shared" si="176"/>
        <v>264.60000000000002</v>
      </c>
      <c r="BH216" s="19">
        <v>0</v>
      </c>
      <c r="BI216" s="19">
        <v>0</v>
      </c>
      <c r="BJ216" s="16">
        <f t="shared" si="210"/>
        <v>0</v>
      </c>
      <c r="BK216" s="16">
        <f t="shared" si="211"/>
        <v>0</v>
      </c>
      <c r="BL216" s="18">
        <f t="shared" si="179"/>
        <v>54</v>
      </c>
      <c r="BM216" s="16">
        <f t="shared" si="180"/>
        <v>264.60000000000002</v>
      </c>
      <c r="BN216" s="19">
        <v>0</v>
      </c>
      <c r="BO216" s="19">
        <v>0</v>
      </c>
      <c r="BP216" s="16">
        <f t="shared" si="181"/>
        <v>0</v>
      </c>
      <c r="BQ216" s="16">
        <f t="shared" si="182"/>
        <v>0</v>
      </c>
      <c r="BR216" s="18">
        <f t="shared" si="183"/>
        <v>54</v>
      </c>
      <c r="BS216" s="16">
        <f t="shared" si="184"/>
        <v>264.60000000000002</v>
      </c>
      <c r="BT216" s="19">
        <v>0</v>
      </c>
      <c r="BU216" s="19">
        <v>0</v>
      </c>
      <c r="BV216" s="16">
        <f t="shared" si="185"/>
        <v>0</v>
      </c>
      <c r="BW216" s="16">
        <f t="shared" si="186"/>
        <v>0</v>
      </c>
      <c r="BX216" s="18">
        <f t="shared" si="218"/>
        <v>54</v>
      </c>
      <c r="BY216" s="16">
        <f t="shared" si="219"/>
        <v>264.60000000000002</v>
      </c>
      <c r="BZ216" s="19">
        <v>0</v>
      </c>
      <c r="CA216" s="19">
        <v>0</v>
      </c>
      <c r="CB216" s="16">
        <f t="shared" si="220"/>
        <v>0</v>
      </c>
      <c r="CC216" s="16">
        <f t="shared" si="221"/>
        <v>0</v>
      </c>
      <c r="CD216" s="20">
        <f t="shared" si="195"/>
        <v>54</v>
      </c>
      <c r="CE216" s="21">
        <f t="shared" si="194"/>
        <v>264.60000000000002</v>
      </c>
    </row>
    <row r="217" spans="1:83" x14ac:dyDescent="0.25">
      <c r="B217" s="70"/>
      <c r="C217" s="171"/>
      <c r="D217" s="13" t="s">
        <v>475</v>
      </c>
      <c r="E217" s="23"/>
      <c r="F217" s="23"/>
      <c r="G217" s="23"/>
      <c r="H217" s="40"/>
      <c r="I217" s="30">
        <v>0.8</v>
      </c>
      <c r="J217" s="40">
        <v>0</v>
      </c>
      <c r="K217" s="16">
        <f t="shared" si="167"/>
        <v>0</v>
      </c>
      <c r="L217" s="19">
        <v>0</v>
      </c>
      <c r="M217" s="19">
        <v>0</v>
      </c>
      <c r="N217" s="16">
        <f t="shared" si="169"/>
        <v>0</v>
      </c>
      <c r="O217" s="16">
        <f t="shared" si="170"/>
        <v>0</v>
      </c>
      <c r="P217" s="18">
        <f t="shared" si="155"/>
        <v>0</v>
      </c>
      <c r="Q217" s="16">
        <f t="shared" si="156"/>
        <v>0</v>
      </c>
      <c r="R217" s="19">
        <v>0</v>
      </c>
      <c r="S217" s="18">
        <v>0</v>
      </c>
      <c r="T217" s="16">
        <f t="shared" si="157"/>
        <v>0</v>
      </c>
      <c r="U217" s="16">
        <v>0</v>
      </c>
      <c r="V217" s="18">
        <f t="shared" si="159"/>
        <v>0</v>
      </c>
      <c r="W217" s="16">
        <v>0</v>
      </c>
      <c r="X217" s="19">
        <v>0</v>
      </c>
      <c r="Y217" s="19">
        <v>0</v>
      </c>
      <c r="Z217" s="16">
        <v>0</v>
      </c>
      <c r="AA217" s="16">
        <f t="shared" si="162"/>
        <v>0</v>
      </c>
      <c r="AB217" s="18">
        <v>0</v>
      </c>
      <c r="AC217" s="16">
        <f t="shared" si="164"/>
        <v>0</v>
      </c>
      <c r="AD217" s="19">
        <v>0</v>
      </c>
      <c r="AE217" s="19">
        <v>0</v>
      </c>
      <c r="AF217" s="16">
        <f t="shared" si="165"/>
        <v>0</v>
      </c>
      <c r="AG217" s="16">
        <f t="shared" si="166"/>
        <v>0</v>
      </c>
      <c r="AH217" s="18">
        <v>0</v>
      </c>
      <c r="AI217" s="16">
        <v>0</v>
      </c>
      <c r="AJ217" s="19">
        <v>0</v>
      </c>
      <c r="AK217" s="19">
        <v>0</v>
      </c>
      <c r="AL217" s="16">
        <f t="shared" si="198"/>
        <v>0</v>
      </c>
      <c r="AM217" s="16">
        <f t="shared" si="199"/>
        <v>0</v>
      </c>
      <c r="AN217" s="18">
        <v>0</v>
      </c>
      <c r="AO217" s="16">
        <v>0</v>
      </c>
      <c r="AP217" s="19">
        <v>0</v>
      </c>
      <c r="AQ217" s="19">
        <v>0</v>
      </c>
      <c r="AR217" s="16">
        <f t="shared" si="202"/>
        <v>0</v>
      </c>
      <c r="AS217" s="16">
        <f t="shared" si="203"/>
        <v>0</v>
      </c>
      <c r="AT217" s="18">
        <v>0</v>
      </c>
      <c r="AU217" s="16">
        <v>0</v>
      </c>
      <c r="AV217" s="19">
        <v>0</v>
      </c>
      <c r="AW217" s="19">
        <v>0</v>
      </c>
      <c r="AX217" s="16">
        <f t="shared" si="206"/>
        <v>0</v>
      </c>
      <c r="AY217" s="16">
        <f t="shared" si="207"/>
        <v>0</v>
      </c>
      <c r="AZ217" s="18">
        <v>0</v>
      </c>
      <c r="BA217" s="16">
        <v>0</v>
      </c>
      <c r="BB217" s="19">
        <v>50</v>
      </c>
      <c r="BC217" s="19">
        <v>100</v>
      </c>
      <c r="BD217" s="16">
        <f t="shared" si="173"/>
        <v>80</v>
      </c>
      <c r="BE217" s="16">
        <f t="shared" si="174"/>
        <v>40</v>
      </c>
      <c r="BF217" s="18">
        <f t="shared" si="175"/>
        <v>50</v>
      </c>
      <c r="BG217" s="16">
        <v>0</v>
      </c>
      <c r="BH217" s="19">
        <v>0</v>
      </c>
      <c r="BI217" s="19">
        <v>0</v>
      </c>
      <c r="BJ217" s="16">
        <f t="shared" si="210"/>
        <v>0</v>
      </c>
      <c r="BK217" s="16">
        <f t="shared" si="211"/>
        <v>0</v>
      </c>
      <c r="BL217" s="18"/>
      <c r="BM217" s="16"/>
      <c r="BN217" s="19"/>
      <c r="BO217" s="19"/>
      <c r="BP217" s="16"/>
      <c r="BQ217" s="16"/>
      <c r="BR217" s="18"/>
      <c r="BS217" s="16"/>
      <c r="BT217" s="19"/>
      <c r="BU217" s="19"/>
      <c r="BV217" s="16"/>
      <c r="BW217" s="16"/>
      <c r="BX217" s="18"/>
      <c r="BY217" s="16"/>
      <c r="BZ217" s="19"/>
      <c r="CA217" s="19"/>
      <c r="CB217" s="16"/>
      <c r="CC217" s="16"/>
      <c r="CD217" s="20"/>
      <c r="CE217" s="21"/>
    </row>
    <row r="218" spans="1:83" x14ac:dyDescent="0.25">
      <c r="B218" s="70">
        <v>187</v>
      </c>
      <c r="C218" s="79" t="s">
        <v>355</v>
      </c>
      <c r="D218" s="13" t="s">
        <v>359</v>
      </c>
      <c r="E218" s="23"/>
      <c r="F218" s="23"/>
      <c r="G218" s="23"/>
      <c r="H218" s="40">
        <v>10</v>
      </c>
      <c r="I218" s="30">
        <v>4.5</v>
      </c>
      <c r="J218" s="40">
        <v>10</v>
      </c>
      <c r="K218" s="16">
        <f t="shared" si="167"/>
        <v>45</v>
      </c>
      <c r="L218" s="19">
        <v>2</v>
      </c>
      <c r="M218" s="19">
        <v>0</v>
      </c>
      <c r="N218" s="16">
        <f t="shared" si="169"/>
        <v>0</v>
      </c>
      <c r="O218" s="16">
        <f t="shared" si="170"/>
        <v>9</v>
      </c>
      <c r="P218" s="18">
        <f t="shared" si="155"/>
        <v>8</v>
      </c>
      <c r="Q218" s="16">
        <f t="shared" si="156"/>
        <v>36</v>
      </c>
      <c r="R218" s="19">
        <v>0</v>
      </c>
      <c r="S218" s="18">
        <v>0</v>
      </c>
      <c r="T218" s="16">
        <f t="shared" si="157"/>
        <v>0</v>
      </c>
      <c r="U218" s="16">
        <f t="shared" si="158"/>
        <v>0</v>
      </c>
      <c r="V218" s="18">
        <f t="shared" si="159"/>
        <v>8</v>
      </c>
      <c r="W218" s="16">
        <f t="shared" si="160"/>
        <v>36</v>
      </c>
      <c r="X218" s="19">
        <v>0</v>
      </c>
      <c r="Y218" s="19">
        <v>0</v>
      </c>
      <c r="Z218" s="16">
        <f t="shared" si="161"/>
        <v>0</v>
      </c>
      <c r="AA218" s="16">
        <f t="shared" si="162"/>
        <v>0</v>
      </c>
      <c r="AB218" s="18">
        <f t="shared" si="163"/>
        <v>8</v>
      </c>
      <c r="AC218" s="16">
        <f t="shared" si="164"/>
        <v>36</v>
      </c>
      <c r="AD218" s="19">
        <v>0</v>
      </c>
      <c r="AE218" s="19">
        <v>0</v>
      </c>
      <c r="AF218" s="16">
        <f t="shared" si="165"/>
        <v>0</v>
      </c>
      <c r="AG218" s="16">
        <f t="shared" si="166"/>
        <v>0</v>
      </c>
      <c r="AH218" s="18">
        <f t="shared" si="196"/>
        <v>8</v>
      </c>
      <c r="AI218" s="16">
        <f t="shared" si="197"/>
        <v>36</v>
      </c>
      <c r="AJ218" s="19">
        <v>0</v>
      </c>
      <c r="AK218" s="19">
        <v>0</v>
      </c>
      <c r="AL218" s="16">
        <f t="shared" si="198"/>
        <v>0</v>
      </c>
      <c r="AM218" s="16">
        <f t="shared" si="199"/>
        <v>0</v>
      </c>
      <c r="AN218" s="18">
        <f t="shared" si="200"/>
        <v>8</v>
      </c>
      <c r="AO218" s="16">
        <f t="shared" si="201"/>
        <v>36</v>
      </c>
      <c r="AP218" s="19">
        <v>0</v>
      </c>
      <c r="AQ218" s="19">
        <v>0</v>
      </c>
      <c r="AR218" s="16">
        <f t="shared" si="202"/>
        <v>0</v>
      </c>
      <c r="AS218" s="16">
        <f t="shared" si="203"/>
        <v>0</v>
      </c>
      <c r="AT218" s="18">
        <f t="shared" si="204"/>
        <v>8</v>
      </c>
      <c r="AU218" s="16">
        <f t="shared" si="205"/>
        <v>36</v>
      </c>
      <c r="AV218" s="19">
        <v>0</v>
      </c>
      <c r="AW218" s="19">
        <v>0</v>
      </c>
      <c r="AX218" s="16">
        <f t="shared" si="206"/>
        <v>0</v>
      </c>
      <c r="AY218" s="16">
        <f t="shared" si="207"/>
        <v>0</v>
      </c>
      <c r="AZ218" s="18">
        <f t="shared" si="171"/>
        <v>8</v>
      </c>
      <c r="BA218" s="16">
        <f t="shared" si="172"/>
        <v>36</v>
      </c>
      <c r="BB218" s="19">
        <v>2</v>
      </c>
      <c r="BC218" s="19">
        <v>0</v>
      </c>
      <c r="BD218" s="16">
        <f t="shared" si="173"/>
        <v>0</v>
      </c>
      <c r="BE218" s="16">
        <f t="shared" si="174"/>
        <v>9</v>
      </c>
      <c r="BF218" s="18">
        <f t="shared" si="175"/>
        <v>6</v>
      </c>
      <c r="BG218" s="16">
        <f t="shared" si="176"/>
        <v>27</v>
      </c>
      <c r="BH218" s="19">
        <v>0</v>
      </c>
      <c r="BI218" s="19">
        <v>0</v>
      </c>
      <c r="BJ218" s="16">
        <f t="shared" si="177"/>
        <v>0</v>
      </c>
      <c r="BK218" s="16">
        <f t="shared" si="178"/>
        <v>0</v>
      </c>
      <c r="BL218" s="18">
        <f t="shared" si="179"/>
        <v>6</v>
      </c>
      <c r="BM218" s="16">
        <f t="shared" si="180"/>
        <v>27</v>
      </c>
      <c r="BN218" s="19">
        <v>0</v>
      </c>
      <c r="BO218" s="19">
        <v>0</v>
      </c>
      <c r="BP218" s="16">
        <f t="shared" si="181"/>
        <v>0</v>
      </c>
      <c r="BQ218" s="16">
        <f t="shared" si="182"/>
        <v>0</v>
      </c>
      <c r="BR218" s="18">
        <f t="shared" si="183"/>
        <v>6</v>
      </c>
      <c r="BS218" s="16">
        <f t="shared" si="184"/>
        <v>27</v>
      </c>
      <c r="BT218" s="19">
        <v>0</v>
      </c>
      <c r="BU218" s="19">
        <v>0</v>
      </c>
      <c r="BV218" s="16">
        <f t="shared" si="185"/>
        <v>0</v>
      </c>
      <c r="BW218" s="16">
        <f t="shared" si="186"/>
        <v>0</v>
      </c>
      <c r="BX218" s="18">
        <f t="shared" si="187"/>
        <v>6</v>
      </c>
      <c r="BY218" s="16">
        <f t="shared" si="188"/>
        <v>27</v>
      </c>
      <c r="BZ218" s="19">
        <v>0</v>
      </c>
      <c r="CA218" s="19">
        <v>0</v>
      </c>
      <c r="CB218" s="16">
        <f t="shared" si="189"/>
        <v>0</v>
      </c>
      <c r="CC218" s="16">
        <f t="shared" si="190"/>
        <v>0</v>
      </c>
      <c r="CD218" s="20">
        <f t="shared" si="195"/>
        <v>6</v>
      </c>
      <c r="CE218" s="21">
        <f t="shared" si="194"/>
        <v>27</v>
      </c>
    </row>
    <row r="219" spans="1:83" x14ac:dyDescent="0.25">
      <c r="B219" s="70">
        <v>188</v>
      </c>
      <c r="C219" s="79" t="s">
        <v>356</v>
      </c>
      <c r="D219" s="13" t="s">
        <v>360</v>
      </c>
      <c r="E219" s="23"/>
      <c r="F219" s="23"/>
      <c r="G219" s="23"/>
      <c r="H219" s="40">
        <v>100</v>
      </c>
      <c r="I219" s="30">
        <v>0.88</v>
      </c>
      <c r="J219" s="40">
        <v>100</v>
      </c>
      <c r="K219" s="16">
        <f t="shared" si="167"/>
        <v>88</v>
      </c>
      <c r="L219" s="19">
        <v>0</v>
      </c>
      <c r="M219" s="19">
        <v>0</v>
      </c>
      <c r="N219" s="16">
        <f t="shared" si="169"/>
        <v>0</v>
      </c>
      <c r="O219" s="16">
        <f t="shared" si="170"/>
        <v>0</v>
      </c>
      <c r="P219" s="18">
        <f t="shared" si="155"/>
        <v>100</v>
      </c>
      <c r="Q219" s="16">
        <f t="shared" si="156"/>
        <v>88</v>
      </c>
      <c r="R219" s="19">
        <v>2</v>
      </c>
      <c r="S219" s="18">
        <v>0</v>
      </c>
      <c r="T219" s="16">
        <f t="shared" si="157"/>
        <v>0</v>
      </c>
      <c r="U219" s="16">
        <f t="shared" si="158"/>
        <v>1.76</v>
      </c>
      <c r="V219" s="18">
        <f t="shared" si="159"/>
        <v>98</v>
      </c>
      <c r="W219" s="16">
        <f t="shared" si="160"/>
        <v>86.24</v>
      </c>
      <c r="X219" s="19">
        <v>2</v>
      </c>
      <c r="Y219" s="19">
        <v>0</v>
      </c>
      <c r="Z219" s="16">
        <f t="shared" si="161"/>
        <v>0</v>
      </c>
      <c r="AA219" s="16">
        <f t="shared" si="162"/>
        <v>1.76</v>
      </c>
      <c r="AB219" s="18">
        <f t="shared" si="163"/>
        <v>96</v>
      </c>
      <c r="AC219" s="16">
        <f t="shared" si="164"/>
        <v>84.48</v>
      </c>
      <c r="AD219" s="19">
        <v>0</v>
      </c>
      <c r="AE219" s="19">
        <v>0</v>
      </c>
      <c r="AF219" s="16">
        <f t="shared" si="165"/>
        <v>0</v>
      </c>
      <c r="AG219" s="16">
        <f t="shared" si="166"/>
        <v>0</v>
      </c>
      <c r="AH219" s="18">
        <f t="shared" si="196"/>
        <v>96</v>
      </c>
      <c r="AI219" s="16">
        <f t="shared" si="197"/>
        <v>84.48</v>
      </c>
      <c r="AJ219" s="19">
        <v>0</v>
      </c>
      <c r="AK219" s="19">
        <v>0</v>
      </c>
      <c r="AL219" s="16">
        <f t="shared" si="198"/>
        <v>0</v>
      </c>
      <c r="AM219" s="16">
        <f t="shared" si="199"/>
        <v>0</v>
      </c>
      <c r="AN219" s="18">
        <f t="shared" si="200"/>
        <v>96</v>
      </c>
      <c r="AO219" s="16">
        <f t="shared" si="201"/>
        <v>84.48</v>
      </c>
      <c r="AP219" s="19">
        <v>0</v>
      </c>
      <c r="AQ219" s="19">
        <v>0</v>
      </c>
      <c r="AR219" s="16">
        <f t="shared" si="202"/>
        <v>0</v>
      </c>
      <c r="AS219" s="16">
        <f t="shared" si="203"/>
        <v>0</v>
      </c>
      <c r="AT219" s="18">
        <f t="shared" si="204"/>
        <v>96</v>
      </c>
      <c r="AU219" s="16">
        <f t="shared" si="205"/>
        <v>84.48</v>
      </c>
      <c r="AV219" s="19">
        <v>0</v>
      </c>
      <c r="AW219" s="19">
        <v>0</v>
      </c>
      <c r="AX219" s="16">
        <f t="shared" si="206"/>
        <v>0</v>
      </c>
      <c r="AY219" s="16">
        <f t="shared" si="207"/>
        <v>0</v>
      </c>
      <c r="AZ219" s="18">
        <f t="shared" si="171"/>
        <v>96</v>
      </c>
      <c r="BA219" s="16">
        <f t="shared" si="172"/>
        <v>84.48</v>
      </c>
      <c r="BB219" s="19">
        <v>0</v>
      </c>
      <c r="BC219" s="19">
        <v>0</v>
      </c>
      <c r="BD219" s="16">
        <f t="shared" si="173"/>
        <v>0</v>
      </c>
      <c r="BE219" s="16">
        <f t="shared" si="174"/>
        <v>0</v>
      </c>
      <c r="BF219" s="18">
        <f t="shared" si="175"/>
        <v>96</v>
      </c>
      <c r="BG219" s="16">
        <f t="shared" si="176"/>
        <v>84.48</v>
      </c>
      <c r="BH219" s="19">
        <v>0</v>
      </c>
      <c r="BI219" s="19">
        <v>0</v>
      </c>
      <c r="BJ219" s="16">
        <f t="shared" si="177"/>
        <v>0</v>
      </c>
      <c r="BK219" s="16">
        <f t="shared" si="178"/>
        <v>0</v>
      </c>
      <c r="BL219" s="18">
        <f t="shared" si="179"/>
        <v>96</v>
      </c>
      <c r="BM219" s="16">
        <f t="shared" si="180"/>
        <v>84.48</v>
      </c>
      <c r="BN219" s="19">
        <v>0</v>
      </c>
      <c r="BO219" s="19">
        <v>0</v>
      </c>
      <c r="BP219" s="16">
        <f t="shared" si="181"/>
        <v>0</v>
      </c>
      <c r="BQ219" s="16">
        <f t="shared" si="182"/>
        <v>0</v>
      </c>
      <c r="BR219" s="18">
        <f t="shared" si="183"/>
        <v>96</v>
      </c>
      <c r="BS219" s="16">
        <f t="shared" si="184"/>
        <v>84.48</v>
      </c>
      <c r="BT219" s="19">
        <v>0</v>
      </c>
      <c r="BU219" s="19">
        <v>0</v>
      </c>
      <c r="BV219" s="16">
        <f t="shared" si="185"/>
        <v>0</v>
      </c>
      <c r="BW219" s="16">
        <f t="shared" si="186"/>
        <v>0</v>
      </c>
      <c r="BX219" s="18">
        <f t="shared" si="187"/>
        <v>96</v>
      </c>
      <c r="BY219" s="16">
        <f t="shared" si="188"/>
        <v>84.48</v>
      </c>
      <c r="BZ219" s="19">
        <v>0</v>
      </c>
      <c r="CA219" s="19">
        <v>0</v>
      </c>
      <c r="CB219" s="16">
        <f t="shared" si="189"/>
        <v>0</v>
      </c>
      <c r="CC219" s="16">
        <f t="shared" si="190"/>
        <v>0</v>
      </c>
      <c r="CD219" s="20">
        <f t="shared" si="195"/>
        <v>96</v>
      </c>
      <c r="CE219" s="21">
        <f t="shared" si="194"/>
        <v>84.48</v>
      </c>
    </row>
    <row r="220" spans="1:83" x14ac:dyDescent="0.25">
      <c r="B220" s="70">
        <v>189</v>
      </c>
      <c r="C220" s="79" t="s">
        <v>357</v>
      </c>
      <c r="D220" s="13" t="s">
        <v>361</v>
      </c>
      <c r="E220" s="23"/>
      <c r="F220" s="23"/>
      <c r="G220" s="23"/>
      <c r="H220" s="40">
        <v>32</v>
      </c>
      <c r="I220" s="30">
        <v>0.7</v>
      </c>
      <c r="J220" s="40">
        <v>32</v>
      </c>
      <c r="K220" s="16">
        <f t="shared" si="167"/>
        <v>22.4</v>
      </c>
      <c r="L220" s="19">
        <v>6</v>
      </c>
      <c r="M220" s="19">
        <v>0</v>
      </c>
      <c r="N220" s="16">
        <f t="shared" si="169"/>
        <v>0</v>
      </c>
      <c r="O220" s="16">
        <f t="shared" si="170"/>
        <v>4.1999999999999993</v>
      </c>
      <c r="P220" s="18">
        <f t="shared" si="155"/>
        <v>26</v>
      </c>
      <c r="Q220" s="16">
        <f t="shared" si="156"/>
        <v>18.2</v>
      </c>
      <c r="R220" s="19">
        <v>4</v>
      </c>
      <c r="S220" s="18">
        <v>0</v>
      </c>
      <c r="T220" s="16">
        <f t="shared" si="157"/>
        <v>0</v>
      </c>
      <c r="U220" s="16">
        <f t="shared" si="158"/>
        <v>2.8</v>
      </c>
      <c r="V220" s="18">
        <f t="shared" si="159"/>
        <v>22</v>
      </c>
      <c r="W220" s="16">
        <f t="shared" si="160"/>
        <v>15.399999999999999</v>
      </c>
      <c r="X220" s="19">
        <v>1</v>
      </c>
      <c r="Y220" s="19">
        <v>0</v>
      </c>
      <c r="Z220" s="16">
        <f t="shared" si="161"/>
        <v>0</v>
      </c>
      <c r="AA220" s="16">
        <f t="shared" si="162"/>
        <v>0.7</v>
      </c>
      <c r="AB220" s="18">
        <f t="shared" si="163"/>
        <v>21</v>
      </c>
      <c r="AC220" s="16">
        <f t="shared" si="164"/>
        <v>14.7</v>
      </c>
      <c r="AD220" s="19">
        <v>3</v>
      </c>
      <c r="AE220" s="19">
        <v>0</v>
      </c>
      <c r="AF220" s="16">
        <f t="shared" si="165"/>
        <v>0</v>
      </c>
      <c r="AG220" s="16">
        <f t="shared" si="166"/>
        <v>2.0999999999999996</v>
      </c>
      <c r="AH220" s="18">
        <f t="shared" si="196"/>
        <v>18</v>
      </c>
      <c r="AI220" s="16">
        <f t="shared" si="197"/>
        <v>12.6</v>
      </c>
      <c r="AJ220" s="19">
        <v>0</v>
      </c>
      <c r="AK220" s="19">
        <v>0</v>
      </c>
      <c r="AL220" s="16">
        <f t="shared" si="198"/>
        <v>0</v>
      </c>
      <c r="AM220" s="16">
        <f t="shared" si="199"/>
        <v>0</v>
      </c>
      <c r="AN220" s="18">
        <f t="shared" si="200"/>
        <v>18</v>
      </c>
      <c r="AO220" s="16">
        <f t="shared" si="201"/>
        <v>12.6</v>
      </c>
      <c r="AP220" s="19">
        <v>1</v>
      </c>
      <c r="AQ220" s="19">
        <v>0</v>
      </c>
      <c r="AR220" s="16">
        <f t="shared" si="202"/>
        <v>0</v>
      </c>
      <c r="AS220" s="16">
        <f t="shared" si="203"/>
        <v>0.7</v>
      </c>
      <c r="AT220" s="18">
        <f t="shared" si="204"/>
        <v>17</v>
      </c>
      <c r="AU220" s="16">
        <f t="shared" si="205"/>
        <v>11.899999999999999</v>
      </c>
      <c r="AV220" s="19">
        <v>0</v>
      </c>
      <c r="AW220" s="19">
        <v>0</v>
      </c>
      <c r="AX220" s="16">
        <f t="shared" si="206"/>
        <v>0</v>
      </c>
      <c r="AY220" s="16">
        <f t="shared" si="207"/>
        <v>0</v>
      </c>
      <c r="AZ220" s="18">
        <f t="shared" si="171"/>
        <v>17</v>
      </c>
      <c r="BA220" s="16">
        <f t="shared" si="172"/>
        <v>11.899999999999999</v>
      </c>
      <c r="BB220" s="19">
        <v>0</v>
      </c>
      <c r="BC220" s="19">
        <v>0</v>
      </c>
      <c r="BD220" s="16">
        <f t="shared" si="173"/>
        <v>0</v>
      </c>
      <c r="BE220" s="16">
        <f t="shared" si="174"/>
        <v>0</v>
      </c>
      <c r="BF220" s="18">
        <f t="shared" si="175"/>
        <v>17</v>
      </c>
      <c r="BG220" s="16">
        <f t="shared" si="176"/>
        <v>11.899999999999999</v>
      </c>
      <c r="BH220" s="19">
        <v>0</v>
      </c>
      <c r="BI220" s="19">
        <v>0</v>
      </c>
      <c r="BJ220" s="16">
        <f t="shared" si="177"/>
        <v>0</v>
      </c>
      <c r="BK220" s="16">
        <f t="shared" si="178"/>
        <v>0</v>
      </c>
      <c r="BL220" s="18">
        <f t="shared" si="179"/>
        <v>17</v>
      </c>
      <c r="BM220" s="16">
        <f t="shared" si="180"/>
        <v>11.899999999999999</v>
      </c>
      <c r="BN220" s="19">
        <v>0</v>
      </c>
      <c r="BO220" s="19">
        <v>0</v>
      </c>
      <c r="BP220" s="16">
        <f t="shared" si="181"/>
        <v>0</v>
      </c>
      <c r="BQ220" s="16">
        <f t="shared" si="182"/>
        <v>0</v>
      </c>
      <c r="BR220" s="18">
        <f t="shared" si="183"/>
        <v>17</v>
      </c>
      <c r="BS220" s="16">
        <f t="shared" si="184"/>
        <v>11.899999999999999</v>
      </c>
      <c r="BT220" s="19">
        <v>0</v>
      </c>
      <c r="BU220" s="19">
        <v>0</v>
      </c>
      <c r="BV220" s="16">
        <f t="shared" si="185"/>
        <v>0</v>
      </c>
      <c r="BW220" s="16">
        <f t="shared" si="186"/>
        <v>0</v>
      </c>
      <c r="BX220" s="18">
        <f t="shared" si="187"/>
        <v>17</v>
      </c>
      <c r="BY220" s="16">
        <f t="shared" si="188"/>
        <v>11.899999999999999</v>
      </c>
      <c r="BZ220" s="19">
        <v>0</v>
      </c>
      <c r="CA220" s="19">
        <v>0</v>
      </c>
      <c r="CB220" s="16">
        <f t="shared" si="189"/>
        <v>0</v>
      </c>
      <c r="CC220" s="16">
        <f t="shared" si="190"/>
        <v>0</v>
      </c>
      <c r="CD220" s="20">
        <f t="shared" si="195"/>
        <v>17</v>
      </c>
      <c r="CE220" s="21">
        <f t="shared" si="194"/>
        <v>11.899999999999999</v>
      </c>
    </row>
    <row r="221" spans="1:83" x14ac:dyDescent="0.25">
      <c r="B221" s="70">
        <v>190</v>
      </c>
      <c r="C221" s="79" t="s">
        <v>358</v>
      </c>
      <c r="D221" s="13" t="s">
        <v>362</v>
      </c>
      <c r="E221" s="23"/>
      <c r="F221" s="23"/>
      <c r="G221" s="23"/>
      <c r="H221" s="40">
        <v>32</v>
      </c>
      <c r="I221" s="30">
        <v>0.7</v>
      </c>
      <c r="J221" s="40">
        <v>32</v>
      </c>
      <c r="K221" s="16">
        <f t="shared" ref="K221" si="222">SUM(J221*I221)</f>
        <v>22.4</v>
      </c>
      <c r="L221" s="19">
        <v>6</v>
      </c>
      <c r="M221" s="19">
        <v>0</v>
      </c>
      <c r="N221" s="16">
        <f t="shared" ref="N221" si="223">M221*I221</f>
        <v>0</v>
      </c>
      <c r="O221" s="16">
        <f t="shared" ref="O221" si="224">L221*I221</f>
        <v>4.1999999999999993</v>
      </c>
      <c r="P221" s="18">
        <f t="shared" ref="P221" si="225">J221-L221+M221</f>
        <v>26</v>
      </c>
      <c r="Q221" s="16">
        <f t="shared" ref="Q221" si="226">P221*I221</f>
        <v>18.2</v>
      </c>
      <c r="R221" s="19">
        <v>3</v>
      </c>
      <c r="S221" s="18">
        <v>0</v>
      </c>
      <c r="T221" s="16">
        <f t="shared" ref="T221" si="227">S221*I221</f>
        <v>0</v>
      </c>
      <c r="U221" s="16">
        <f t="shared" ref="U221" si="228">R221*I221</f>
        <v>2.0999999999999996</v>
      </c>
      <c r="V221" s="18">
        <f t="shared" ref="V221" si="229">P221-R221+S221</f>
        <v>23</v>
      </c>
      <c r="W221" s="16">
        <f t="shared" ref="W221" si="230">V221*I221</f>
        <v>16.099999999999998</v>
      </c>
      <c r="X221" s="19">
        <v>1</v>
      </c>
      <c r="Y221" s="19">
        <v>0</v>
      </c>
      <c r="Z221" s="16">
        <f t="shared" ref="Z221" si="231">Y221*I221</f>
        <v>0</v>
      </c>
      <c r="AA221" s="16">
        <f t="shared" ref="AA221" si="232">X221*I221</f>
        <v>0.7</v>
      </c>
      <c r="AB221" s="18">
        <f t="shared" ref="AB221" si="233">V221-X221+Y221</f>
        <v>22</v>
      </c>
      <c r="AC221" s="16">
        <f t="shared" ref="AC221:AC229" si="234">AB221*I221</f>
        <v>15.399999999999999</v>
      </c>
      <c r="AD221" s="19">
        <v>3</v>
      </c>
      <c r="AE221" s="19">
        <v>0</v>
      </c>
      <c r="AF221" s="16">
        <f t="shared" ref="AF221:AF229" si="235">AE221*I221</f>
        <v>0</v>
      </c>
      <c r="AG221" s="16">
        <f t="shared" ref="AG221:AG229" si="236">AD221*I221</f>
        <v>2.0999999999999996</v>
      </c>
      <c r="AH221" s="18">
        <f t="shared" si="196"/>
        <v>19</v>
      </c>
      <c r="AI221" s="16">
        <f t="shared" si="197"/>
        <v>13.299999999999999</v>
      </c>
      <c r="AJ221" s="19">
        <v>0</v>
      </c>
      <c r="AK221" s="19">
        <v>0</v>
      </c>
      <c r="AL221" s="16">
        <f t="shared" si="198"/>
        <v>0</v>
      </c>
      <c r="AM221" s="16">
        <f t="shared" si="199"/>
        <v>0</v>
      </c>
      <c r="AN221" s="18">
        <f t="shared" si="200"/>
        <v>19</v>
      </c>
      <c r="AO221" s="16">
        <f t="shared" si="201"/>
        <v>13.299999999999999</v>
      </c>
      <c r="AP221" s="19">
        <v>1</v>
      </c>
      <c r="AQ221" s="19">
        <v>0</v>
      </c>
      <c r="AR221" s="16">
        <f t="shared" si="202"/>
        <v>0</v>
      </c>
      <c r="AS221" s="16">
        <f t="shared" si="203"/>
        <v>0.7</v>
      </c>
      <c r="AT221" s="18">
        <f t="shared" si="204"/>
        <v>18</v>
      </c>
      <c r="AU221" s="16">
        <f t="shared" si="205"/>
        <v>12.6</v>
      </c>
      <c r="AV221" s="19">
        <v>0</v>
      </c>
      <c r="AW221" s="19">
        <v>0</v>
      </c>
      <c r="AX221" s="16">
        <f t="shared" si="206"/>
        <v>0</v>
      </c>
      <c r="AY221" s="16">
        <f t="shared" si="207"/>
        <v>0</v>
      </c>
      <c r="AZ221" s="18">
        <f t="shared" ref="AZ221:AZ229" si="237">AT221-AV221+AW221</f>
        <v>18</v>
      </c>
      <c r="BA221" s="16">
        <f t="shared" ref="BA221:BA229" si="238">AZ221*I221</f>
        <v>12.6</v>
      </c>
      <c r="BB221" s="19">
        <v>0</v>
      </c>
      <c r="BC221" s="19">
        <v>0</v>
      </c>
      <c r="BD221" s="16">
        <f t="shared" ref="BD221:BD229" si="239">BC221*I221</f>
        <v>0</v>
      </c>
      <c r="BE221" s="16">
        <f t="shared" ref="BE221:BE229" si="240">BB221*I221</f>
        <v>0</v>
      </c>
      <c r="BF221" s="18">
        <f t="shared" ref="BF221:BF229" si="241">AZ221-BB221+BC221</f>
        <v>18</v>
      </c>
      <c r="BG221" s="16">
        <f t="shared" ref="BG221:BG229" si="242">BF221*I221</f>
        <v>12.6</v>
      </c>
      <c r="BH221" s="19">
        <v>0</v>
      </c>
      <c r="BI221" s="19">
        <v>0</v>
      </c>
      <c r="BJ221" s="16">
        <f t="shared" ref="BJ221:BJ228" si="243">BI221*I221</f>
        <v>0</v>
      </c>
      <c r="BK221" s="16">
        <f t="shared" ref="BK221:BK228" si="244">BH221*I221</f>
        <v>0</v>
      </c>
      <c r="BL221" s="18">
        <f t="shared" ref="BL221:BL229" si="245">BF221-BH221+BI221</f>
        <v>18</v>
      </c>
      <c r="BM221" s="16">
        <f t="shared" ref="BM221:BM228" si="246">BL221*I221</f>
        <v>12.6</v>
      </c>
      <c r="BN221" s="19">
        <v>0</v>
      </c>
      <c r="BO221" s="19">
        <v>0</v>
      </c>
      <c r="BP221" s="16">
        <f t="shared" ref="BP221:BP229" si="247">BO221*I221</f>
        <v>0</v>
      </c>
      <c r="BQ221" s="16">
        <f t="shared" ref="BQ221:BQ229" si="248">BN221*I221</f>
        <v>0</v>
      </c>
      <c r="BR221" s="18">
        <f t="shared" ref="BR221:BR229" si="249">BL221-BN221+BO221</f>
        <v>18</v>
      </c>
      <c r="BS221" s="16">
        <f t="shared" ref="BS221:BS229" si="250">BR221*I221</f>
        <v>12.6</v>
      </c>
      <c r="BT221" s="19">
        <v>0</v>
      </c>
      <c r="BU221" s="19">
        <v>0</v>
      </c>
      <c r="BV221" s="16">
        <f t="shared" ref="BV221:BV228" si="251">BU221*I221</f>
        <v>0</v>
      </c>
      <c r="BW221" s="16">
        <f t="shared" ref="BW221:BW228" si="252">BT221*I221</f>
        <v>0</v>
      </c>
      <c r="BX221" s="18">
        <f t="shared" ref="BX221:BX228" si="253">BR221-BT221+BU221</f>
        <v>18</v>
      </c>
      <c r="BY221" s="16">
        <f t="shared" ref="BY221:BY228" si="254">BX221*I221</f>
        <v>12.6</v>
      </c>
      <c r="BZ221" s="19">
        <v>0</v>
      </c>
      <c r="CA221" s="19">
        <v>0</v>
      </c>
      <c r="CB221" s="16">
        <f t="shared" ref="CB221:CB228" si="255">CA221*I221</f>
        <v>0</v>
      </c>
      <c r="CC221" s="16">
        <f t="shared" ref="CC221:CC228" si="256">BZ221*I221</f>
        <v>0</v>
      </c>
      <c r="CD221" s="20">
        <f t="shared" ref="CD221:CD228" si="257">BX221-BZ221+CA221</f>
        <v>18</v>
      </c>
      <c r="CE221" s="21">
        <f t="shared" ref="CE221" si="258">CD221*I221</f>
        <v>12.6</v>
      </c>
    </row>
    <row r="222" spans="1:83" x14ac:dyDescent="0.25">
      <c r="B222" s="70">
        <v>191</v>
      </c>
      <c r="C222" s="79" t="s">
        <v>410</v>
      </c>
      <c r="D222" s="13" t="s">
        <v>411</v>
      </c>
      <c r="E222" s="23"/>
      <c r="F222" s="23"/>
      <c r="G222" s="23"/>
      <c r="H222" s="40"/>
      <c r="I222" s="30">
        <v>51</v>
      </c>
      <c r="J222" s="40"/>
      <c r="K222" s="16"/>
      <c r="L222" s="19"/>
      <c r="M222" s="19"/>
      <c r="N222" s="16"/>
      <c r="O222" s="16"/>
      <c r="P222" s="18"/>
      <c r="Q222" s="16"/>
      <c r="R222" s="19"/>
      <c r="S222" s="18"/>
      <c r="T222" s="16"/>
      <c r="U222" s="16"/>
      <c r="V222" s="18"/>
      <c r="W222" s="16"/>
      <c r="X222" s="19"/>
      <c r="Y222" s="19"/>
      <c r="Z222" s="16"/>
      <c r="AA222" s="16"/>
      <c r="AB222" s="18">
        <v>0</v>
      </c>
      <c r="AC222" s="16">
        <f t="shared" si="234"/>
        <v>0</v>
      </c>
      <c r="AD222" s="19">
        <v>0</v>
      </c>
      <c r="AE222" s="19">
        <v>0</v>
      </c>
      <c r="AF222" s="16">
        <f t="shared" si="235"/>
        <v>0</v>
      </c>
      <c r="AG222" s="16">
        <f t="shared" si="236"/>
        <v>0</v>
      </c>
      <c r="AH222" s="18">
        <f t="shared" si="196"/>
        <v>0</v>
      </c>
      <c r="AI222" s="16">
        <f t="shared" si="197"/>
        <v>0</v>
      </c>
      <c r="AJ222" s="19">
        <v>0</v>
      </c>
      <c r="AK222" s="19">
        <v>2</v>
      </c>
      <c r="AL222" s="16">
        <f t="shared" si="198"/>
        <v>102</v>
      </c>
      <c r="AM222" s="16">
        <f t="shared" si="199"/>
        <v>0</v>
      </c>
      <c r="AN222" s="18">
        <f t="shared" si="200"/>
        <v>2</v>
      </c>
      <c r="AO222" s="16">
        <f t="shared" si="201"/>
        <v>102</v>
      </c>
      <c r="AP222" s="19">
        <v>0</v>
      </c>
      <c r="AQ222" s="19">
        <v>0</v>
      </c>
      <c r="AR222" s="16">
        <f t="shared" si="202"/>
        <v>0</v>
      </c>
      <c r="AS222" s="16">
        <f t="shared" si="203"/>
        <v>0</v>
      </c>
      <c r="AT222" s="18">
        <f t="shared" si="204"/>
        <v>2</v>
      </c>
      <c r="AU222" s="16">
        <f t="shared" si="205"/>
        <v>102</v>
      </c>
      <c r="AV222" s="19">
        <v>0</v>
      </c>
      <c r="AW222" s="19">
        <v>0</v>
      </c>
      <c r="AX222" s="16">
        <f t="shared" si="206"/>
        <v>0</v>
      </c>
      <c r="AY222" s="16">
        <f t="shared" si="207"/>
        <v>0</v>
      </c>
      <c r="AZ222" s="18">
        <f t="shared" si="237"/>
        <v>2</v>
      </c>
      <c r="BA222" s="16">
        <f t="shared" si="238"/>
        <v>102</v>
      </c>
      <c r="BB222" s="19">
        <v>0</v>
      </c>
      <c r="BC222" s="19">
        <v>0</v>
      </c>
      <c r="BD222" s="16">
        <f t="shared" si="239"/>
        <v>0</v>
      </c>
      <c r="BE222" s="16">
        <f t="shared" si="240"/>
        <v>0</v>
      </c>
      <c r="BF222" s="18">
        <f t="shared" si="241"/>
        <v>2</v>
      </c>
      <c r="BG222" s="16">
        <f t="shared" si="242"/>
        <v>102</v>
      </c>
      <c r="BH222" s="19">
        <v>0</v>
      </c>
      <c r="BI222" s="19">
        <v>0</v>
      </c>
      <c r="BJ222" s="16">
        <f t="shared" si="243"/>
        <v>0</v>
      </c>
      <c r="BK222" s="16">
        <f t="shared" si="244"/>
        <v>0</v>
      </c>
      <c r="BL222" s="18">
        <f t="shared" si="245"/>
        <v>2</v>
      </c>
      <c r="BM222" s="16">
        <f t="shared" si="246"/>
        <v>102</v>
      </c>
      <c r="BN222" s="19">
        <v>0</v>
      </c>
      <c r="BO222" s="19">
        <v>0</v>
      </c>
      <c r="BP222" s="16">
        <f t="shared" si="247"/>
        <v>0</v>
      </c>
      <c r="BQ222" s="16">
        <f t="shared" si="248"/>
        <v>0</v>
      </c>
      <c r="BR222" s="18">
        <f t="shared" si="249"/>
        <v>2</v>
      </c>
      <c r="BS222" s="16">
        <f t="shared" si="250"/>
        <v>102</v>
      </c>
      <c r="BT222" s="19">
        <v>0</v>
      </c>
      <c r="BU222" s="19">
        <v>0</v>
      </c>
      <c r="BV222" s="16">
        <f t="shared" si="251"/>
        <v>0</v>
      </c>
      <c r="BW222" s="16">
        <f t="shared" si="252"/>
        <v>0</v>
      </c>
      <c r="BX222" s="18">
        <f t="shared" si="253"/>
        <v>2</v>
      </c>
      <c r="BY222" s="16">
        <f t="shared" si="254"/>
        <v>102</v>
      </c>
      <c r="BZ222" s="19">
        <v>0</v>
      </c>
      <c r="CA222" s="19">
        <v>0</v>
      </c>
      <c r="CB222" s="16">
        <f t="shared" si="255"/>
        <v>0</v>
      </c>
      <c r="CC222" s="16">
        <f t="shared" si="256"/>
        <v>0</v>
      </c>
      <c r="CD222" s="20">
        <f t="shared" si="257"/>
        <v>2</v>
      </c>
      <c r="CE222" s="21"/>
    </row>
    <row r="223" spans="1:83" x14ac:dyDescent="0.25">
      <c r="B223" s="70">
        <v>192</v>
      </c>
      <c r="C223" s="79" t="s">
        <v>419</v>
      </c>
      <c r="D223" s="13" t="s">
        <v>412</v>
      </c>
      <c r="E223" s="23"/>
      <c r="F223" s="23"/>
      <c r="G223" s="23"/>
      <c r="H223" s="40"/>
      <c r="I223" s="30">
        <v>43</v>
      </c>
      <c r="J223" s="40"/>
      <c r="K223" s="16"/>
      <c r="L223" s="19"/>
      <c r="M223" s="19"/>
      <c r="N223" s="16"/>
      <c r="O223" s="16"/>
      <c r="P223" s="18"/>
      <c r="Q223" s="16"/>
      <c r="R223" s="19"/>
      <c r="S223" s="18"/>
      <c r="T223" s="16"/>
      <c r="U223" s="16"/>
      <c r="V223" s="18"/>
      <c r="W223" s="16"/>
      <c r="X223" s="19"/>
      <c r="Y223" s="19"/>
      <c r="Z223" s="16"/>
      <c r="AA223" s="16"/>
      <c r="AB223" s="18">
        <v>0</v>
      </c>
      <c r="AC223" s="16">
        <f t="shared" si="234"/>
        <v>0</v>
      </c>
      <c r="AD223" s="19">
        <v>0</v>
      </c>
      <c r="AE223" s="19">
        <v>0</v>
      </c>
      <c r="AF223" s="16">
        <f t="shared" si="235"/>
        <v>0</v>
      </c>
      <c r="AG223" s="16">
        <f t="shared" si="236"/>
        <v>0</v>
      </c>
      <c r="AH223" s="18">
        <f t="shared" si="196"/>
        <v>0</v>
      </c>
      <c r="AI223" s="16">
        <f t="shared" si="197"/>
        <v>0</v>
      </c>
      <c r="AJ223" s="19">
        <v>0</v>
      </c>
      <c r="AK223" s="19">
        <v>2</v>
      </c>
      <c r="AL223" s="16">
        <f t="shared" si="198"/>
        <v>86</v>
      </c>
      <c r="AM223" s="16">
        <f t="shared" si="199"/>
        <v>0</v>
      </c>
      <c r="AN223" s="18">
        <f t="shared" si="200"/>
        <v>2</v>
      </c>
      <c r="AO223" s="16">
        <f t="shared" si="201"/>
        <v>86</v>
      </c>
      <c r="AP223" s="19">
        <v>0</v>
      </c>
      <c r="AQ223" s="19">
        <v>0</v>
      </c>
      <c r="AR223" s="16">
        <f t="shared" si="202"/>
        <v>0</v>
      </c>
      <c r="AS223" s="16">
        <f t="shared" si="203"/>
        <v>0</v>
      </c>
      <c r="AT223" s="18">
        <f t="shared" si="204"/>
        <v>2</v>
      </c>
      <c r="AU223" s="16">
        <f t="shared" si="205"/>
        <v>86</v>
      </c>
      <c r="AV223" s="19">
        <v>0</v>
      </c>
      <c r="AW223" s="19">
        <v>0</v>
      </c>
      <c r="AX223" s="16">
        <f t="shared" si="206"/>
        <v>0</v>
      </c>
      <c r="AY223" s="16">
        <f t="shared" si="207"/>
        <v>0</v>
      </c>
      <c r="AZ223" s="18">
        <f t="shared" si="237"/>
        <v>2</v>
      </c>
      <c r="BA223" s="16">
        <f t="shared" si="238"/>
        <v>86</v>
      </c>
      <c r="BB223" s="19">
        <v>0</v>
      </c>
      <c r="BC223" s="19">
        <v>0</v>
      </c>
      <c r="BD223" s="16">
        <f t="shared" si="239"/>
        <v>0</v>
      </c>
      <c r="BE223" s="16">
        <f t="shared" si="240"/>
        <v>0</v>
      </c>
      <c r="BF223" s="18">
        <f t="shared" si="241"/>
        <v>2</v>
      </c>
      <c r="BG223" s="16">
        <f t="shared" si="242"/>
        <v>86</v>
      </c>
      <c r="BH223" s="19">
        <v>0</v>
      </c>
      <c r="BI223" s="19">
        <v>0</v>
      </c>
      <c r="BJ223" s="16">
        <f t="shared" si="243"/>
        <v>0</v>
      </c>
      <c r="BK223" s="16">
        <f t="shared" si="244"/>
        <v>0</v>
      </c>
      <c r="BL223" s="18">
        <f t="shared" si="245"/>
        <v>2</v>
      </c>
      <c r="BM223" s="16">
        <f t="shared" si="246"/>
        <v>86</v>
      </c>
      <c r="BN223" s="19">
        <v>0</v>
      </c>
      <c r="BO223" s="19">
        <v>0</v>
      </c>
      <c r="BP223" s="16">
        <f t="shared" si="247"/>
        <v>0</v>
      </c>
      <c r="BQ223" s="16">
        <f t="shared" si="248"/>
        <v>0</v>
      </c>
      <c r="BR223" s="18">
        <f t="shared" si="249"/>
        <v>2</v>
      </c>
      <c r="BS223" s="16">
        <f t="shared" si="250"/>
        <v>86</v>
      </c>
      <c r="BT223" s="19">
        <v>0</v>
      </c>
      <c r="BU223" s="19">
        <v>0</v>
      </c>
      <c r="BV223" s="16">
        <f t="shared" si="251"/>
        <v>0</v>
      </c>
      <c r="BW223" s="16">
        <f t="shared" si="252"/>
        <v>0</v>
      </c>
      <c r="BX223" s="18">
        <f t="shared" si="253"/>
        <v>2</v>
      </c>
      <c r="BY223" s="16">
        <f t="shared" si="254"/>
        <v>86</v>
      </c>
      <c r="BZ223" s="19">
        <v>0</v>
      </c>
      <c r="CA223" s="19">
        <v>0</v>
      </c>
      <c r="CB223" s="16">
        <f t="shared" si="255"/>
        <v>0</v>
      </c>
      <c r="CC223" s="16">
        <f t="shared" si="256"/>
        <v>0</v>
      </c>
      <c r="CD223" s="20">
        <f t="shared" si="257"/>
        <v>2</v>
      </c>
      <c r="CE223" s="21"/>
    </row>
    <row r="224" spans="1:83" x14ac:dyDescent="0.25">
      <c r="B224" s="70">
        <v>193</v>
      </c>
      <c r="C224" s="79" t="s">
        <v>420</v>
      </c>
      <c r="D224" s="13" t="s">
        <v>413</v>
      </c>
      <c r="E224" s="23"/>
      <c r="F224" s="23"/>
      <c r="G224" s="23"/>
      <c r="H224" s="40"/>
      <c r="I224" s="30">
        <v>43</v>
      </c>
      <c r="J224" s="40"/>
      <c r="K224" s="16"/>
      <c r="L224" s="19"/>
      <c r="M224" s="19"/>
      <c r="N224" s="16"/>
      <c r="O224" s="16"/>
      <c r="P224" s="18"/>
      <c r="Q224" s="16"/>
      <c r="R224" s="19"/>
      <c r="S224" s="18"/>
      <c r="T224" s="16"/>
      <c r="U224" s="16"/>
      <c r="V224" s="18"/>
      <c r="W224" s="16"/>
      <c r="X224" s="19"/>
      <c r="Y224" s="19"/>
      <c r="Z224" s="16"/>
      <c r="AA224" s="16"/>
      <c r="AB224" s="18">
        <v>0</v>
      </c>
      <c r="AC224" s="16">
        <f t="shared" si="234"/>
        <v>0</v>
      </c>
      <c r="AD224" s="19">
        <v>0</v>
      </c>
      <c r="AE224" s="19">
        <v>0</v>
      </c>
      <c r="AF224" s="16">
        <f t="shared" si="235"/>
        <v>0</v>
      </c>
      <c r="AG224" s="16">
        <f t="shared" si="236"/>
        <v>0</v>
      </c>
      <c r="AH224" s="18">
        <f t="shared" si="196"/>
        <v>0</v>
      </c>
      <c r="AI224" s="16">
        <f t="shared" si="197"/>
        <v>0</v>
      </c>
      <c r="AJ224" s="19">
        <v>0</v>
      </c>
      <c r="AK224" s="19">
        <v>2</v>
      </c>
      <c r="AL224" s="16">
        <f t="shared" si="198"/>
        <v>86</v>
      </c>
      <c r="AM224" s="16">
        <f t="shared" si="199"/>
        <v>0</v>
      </c>
      <c r="AN224" s="18">
        <f t="shared" si="200"/>
        <v>2</v>
      </c>
      <c r="AO224" s="16">
        <f t="shared" si="201"/>
        <v>86</v>
      </c>
      <c r="AP224" s="19">
        <v>0</v>
      </c>
      <c r="AQ224" s="19">
        <v>0</v>
      </c>
      <c r="AR224" s="16">
        <f t="shared" si="202"/>
        <v>0</v>
      </c>
      <c r="AS224" s="16">
        <f t="shared" si="203"/>
        <v>0</v>
      </c>
      <c r="AT224" s="18">
        <f t="shared" si="204"/>
        <v>2</v>
      </c>
      <c r="AU224" s="16">
        <f t="shared" si="205"/>
        <v>86</v>
      </c>
      <c r="AV224" s="19">
        <v>0</v>
      </c>
      <c r="AW224" s="19">
        <v>0</v>
      </c>
      <c r="AX224" s="16">
        <f t="shared" si="206"/>
        <v>0</v>
      </c>
      <c r="AY224" s="16">
        <f t="shared" si="207"/>
        <v>0</v>
      </c>
      <c r="AZ224" s="18">
        <f t="shared" si="237"/>
        <v>2</v>
      </c>
      <c r="BA224" s="16">
        <f t="shared" si="238"/>
        <v>86</v>
      </c>
      <c r="BB224" s="19">
        <v>0</v>
      </c>
      <c r="BC224" s="19">
        <v>0</v>
      </c>
      <c r="BD224" s="16">
        <f t="shared" si="239"/>
        <v>0</v>
      </c>
      <c r="BE224" s="16">
        <f t="shared" si="240"/>
        <v>0</v>
      </c>
      <c r="BF224" s="18">
        <f t="shared" si="241"/>
        <v>2</v>
      </c>
      <c r="BG224" s="16">
        <f t="shared" si="242"/>
        <v>86</v>
      </c>
      <c r="BH224" s="19">
        <v>0</v>
      </c>
      <c r="BI224" s="19">
        <v>0</v>
      </c>
      <c r="BJ224" s="16">
        <f t="shared" si="243"/>
        <v>0</v>
      </c>
      <c r="BK224" s="16">
        <f t="shared" si="244"/>
        <v>0</v>
      </c>
      <c r="BL224" s="18">
        <f t="shared" si="245"/>
        <v>2</v>
      </c>
      <c r="BM224" s="16">
        <f t="shared" si="246"/>
        <v>86</v>
      </c>
      <c r="BN224" s="19">
        <v>0</v>
      </c>
      <c r="BO224" s="19">
        <v>0</v>
      </c>
      <c r="BP224" s="16">
        <f t="shared" si="247"/>
        <v>0</v>
      </c>
      <c r="BQ224" s="16">
        <f t="shared" si="248"/>
        <v>0</v>
      </c>
      <c r="BR224" s="18">
        <f t="shared" si="249"/>
        <v>2</v>
      </c>
      <c r="BS224" s="16">
        <f t="shared" si="250"/>
        <v>86</v>
      </c>
      <c r="BT224" s="19">
        <v>0</v>
      </c>
      <c r="BU224" s="19">
        <v>0</v>
      </c>
      <c r="BV224" s="16">
        <f t="shared" si="251"/>
        <v>0</v>
      </c>
      <c r="BW224" s="16">
        <f t="shared" si="252"/>
        <v>0</v>
      </c>
      <c r="BX224" s="18">
        <f t="shared" si="253"/>
        <v>2</v>
      </c>
      <c r="BY224" s="16">
        <f t="shared" si="254"/>
        <v>86</v>
      </c>
      <c r="BZ224" s="19">
        <v>0</v>
      </c>
      <c r="CA224" s="19">
        <v>0</v>
      </c>
      <c r="CB224" s="16">
        <f t="shared" si="255"/>
        <v>0</v>
      </c>
      <c r="CC224" s="16">
        <f t="shared" si="256"/>
        <v>0</v>
      </c>
      <c r="CD224" s="20">
        <f t="shared" si="257"/>
        <v>2</v>
      </c>
      <c r="CE224" s="21"/>
    </row>
    <row r="225" spans="2:83" x14ac:dyDescent="0.25">
      <c r="B225" s="70">
        <v>194</v>
      </c>
      <c r="C225" s="79" t="s">
        <v>421</v>
      </c>
      <c r="D225" s="13" t="s">
        <v>414</v>
      </c>
      <c r="E225" s="23"/>
      <c r="F225" s="23"/>
      <c r="G225" s="23"/>
      <c r="H225" s="40"/>
      <c r="I225" s="30">
        <v>43</v>
      </c>
      <c r="J225" s="40"/>
      <c r="K225" s="16"/>
      <c r="L225" s="19"/>
      <c r="M225" s="19"/>
      <c r="N225" s="16"/>
      <c r="O225" s="16"/>
      <c r="P225" s="18"/>
      <c r="Q225" s="16"/>
      <c r="R225" s="19"/>
      <c r="S225" s="18"/>
      <c r="T225" s="16"/>
      <c r="U225" s="16"/>
      <c r="V225" s="18"/>
      <c r="W225" s="16"/>
      <c r="X225" s="19"/>
      <c r="Y225" s="19"/>
      <c r="Z225" s="16"/>
      <c r="AA225" s="16"/>
      <c r="AB225" s="18">
        <v>0</v>
      </c>
      <c r="AC225" s="16">
        <f t="shared" si="234"/>
        <v>0</v>
      </c>
      <c r="AD225" s="19">
        <v>0</v>
      </c>
      <c r="AE225" s="19">
        <v>0</v>
      </c>
      <c r="AF225" s="16">
        <f t="shared" si="235"/>
        <v>0</v>
      </c>
      <c r="AG225" s="16">
        <f t="shared" si="236"/>
        <v>0</v>
      </c>
      <c r="AH225" s="18">
        <f t="shared" si="196"/>
        <v>0</v>
      </c>
      <c r="AI225" s="16">
        <f t="shared" si="197"/>
        <v>0</v>
      </c>
      <c r="AJ225" s="19">
        <v>0</v>
      </c>
      <c r="AK225" s="19">
        <v>2</v>
      </c>
      <c r="AL225" s="16">
        <f t="shared" si="198"/>
        <v>86</v>
      </c>
      <c r="AM225" s="16">
        <f t="shared" si="199"/>
        <v>0</v>
      </c>
      <c r="AN225" s="18">
        <f t="shared" si="200"/>
        <v>2</v>
      </c>
      <c r="AO225" s="16">
        <f t="shared" si="201"/>
        <v>86</v>
      </c>
      <c r="AP225" s="19">
        <v>0</v>
      </c>
      <c r="AQ225" s="19">
        <v>0</v>
      </c>
      <c r="AR225" s="16">
        <f t="shared" si="202"/>
        <v>0</v>
      </c>
      <c r="AS225" s="16">
        <f t="shared" si="203"/>
        <v>0</v>
      </c>
      <c r="AT225" s="18">
        <f t="shared" si="204"/>
        <v>2</v>
      </c>
      <c r="AU225" s="16">
        <f t="shared" si="205"/>
        <v>86</v>
      </c>
      <c r="AV225" s="19">
        <v>0</v>
      </c>
      <c r="AW225" s="19">
        <v>0</v>
      </c>
      <c r="AX225" s="16">
        <f t="shared" si="206"/>
        <v>0</v>
      </c>
      <c r="AY225" s="16">
        <f t="shared" si="207"/>
        <v>0</v>
      </c>
      <c r="AZ225" s="18">
        <f t="shared" si="237"/>
        <v>2</v>
      </c>
      <c r="BA225" s="16">
        <f t="shared" si="238"/>
        <v>86</v>
      </c>
      <c r="BB225" s="19">
        <v>0</v>
      </c>
      <c r="BC225" s="19">
        <v>0</v>
      </c>
      <c r="BD225" s="16">
        <f t="shared" si="239"/>
        <v>0</v>
      </c>
      <c r="BE225" s="16">
        <f t="shared" si="240"/>
        <v>0</v>
      </c>
      <c r="BF225" s="18">
        <f t="shared" si="241"/>
        <v>2</v>
      </c>
      <c r="BG225" s="16">
        <f t="shared" si="242"/>
        <v>86</v>
      </c>
      <c r="BH225" s="19">
        <v>0</v>
      </c>
      <c r="BI225" s="19">
        <v>0</v>
      </c>
      <c r="BJ225" s="16">
        <f t="shared" si="243"/>
        <v>0</v>
      </c>
      <c r="BK225" s="16">
        <f t="shared" si="244"/>
        <v>0</v>
      </c>
      <c r="BL225" s="18">
        <f t="shared" si="245"/>
        <v>2</v>
      </c>
      <c r="BM225" s="16">
        <f t="shared" si="246"/>
        <v>86</v>
      </c>
      <c r="BN225" s="19">
        <v>0</v>
      </c>
      <c r="BO225" s="19">
        <v>0</v>
      </c>
      <c r="BP225" s="16">
        <f t="shared" si="247"/>
        <v>0</v>
      </c>
      <c r="BQ225" s="16">
        <f t="shared" si="248"/>
        <v>0</v>
      </c>
      <c r="BR225" s="18">
        <f t="shared" si="249"/>
        <v>2</v>
      </c>
      <c r="BS225" s="16">
        <f t="shared" si="250"/>
        <v>86</v>
      </c>
      <c r="BT225" s="19">
        <v>0</v>
      </c>
      <c r="BU225" s="19">
        <v>0</v>
      </c>
      <c r="BV225" s="16">
        <f t="shared" si="251"/>
        <v>0</v>
      </c>
      <c r="BW225" s="16">
        <f t="shared" si="252"/>
        <v>0</v>
      </c>
      <c r="BX225" s="18">
        <f t="shared" si="253"/>
        <v>2</v>
      </c>
      <c r="BY225" s="16">
        <f t="shared" si="254"/>
        <v>86</v>
      </c>
      <c r="BZ225" s="19">
        <v>0</v>
      </c>
      <c r="CA225" s="19">
        <v>0</v>
      </c>
      <c r="CB225" s="16">
        <f t="shared" si="255"/>
        <v>0</v>
      </c>
      <c r="CC225" s="16">
        <f t="shared" si="256"/>
        <v>0</v>
      </c>
      <c r="CD225" s="20">
        <f t="shared" si="257"/>
        <v>2</v>
      </c>
      <c r="CE225" s="21"/>
    </row>
    <row r="226" spans="2:83" x14ac:dyDescent="0.25">
      <c r="B226" s="70">
        <v>195</v>
      </c>
      <c r="C226" s="79" t="s">
        <v>422</v>
      </c>
      <c r="D226" s="13" t="s">
        <v>415</v>
      </c>
      <c r="E226" s="23"/>
      <c r="F226" s="23"/>
      <c r="G226" s="23"/>
      <c r="H226" s="40"/>
      <c r="I226" s="30">
        <v>151</v>
      </c>
      <c r="J226" s="40"/>
      <c r="K226" s="16"/>
      <c r="L226" s="19"/>
      <c r="M226" s="19"/>
      <c r="N226" s="16"/>
      <c r="O226" s="16"/>
      <c r="P226" s="18"/>
      <c r="Q226" s="16"/>
      <c r="R226" s="19"/>
      <c r="S226" s="18"/>
      <c r="T226" s="16"/>
      <c r="U226" s="16"/>
      <c r="V226" s="18"/>
      <c r="W226" s="16"/>
      <c r="X226" s="19"/>
      <c r="Y226" s="19"/>
      <c r="Z226" s="16"/>
      <c r="AA226" s="16"/>
      <c r="AB226" s="18">
        <v>0</v>
      </c>
      <c r="AC226" s="16">
        <f t="shared" si="234"/>
        <v>0</v>
      </c>
      <c r="AD226" s="19">
        <v>0</v>
      </c>
      <c r="AE226" s="19">
        <v>0</v>
      </c>
      <c r="AF226" s="16">
        <f t="shared" si="235"/>
        <v>0</v>
      </c>
      <c r="AG226" s="16">
        <f t="shared" si="236"/>
        <v>0</v>
      </c>
      <c r="AH226" s="18">
        <f t="shared" si="196"/>
        <v>0</v>
      </c>
      <c r="AI226" s="16">
        <f t="shared" si="197"/>
        <v>0</v>
      </c>
      <c r="AJ226" s="19">
        <v>0</v>
      </c>
      <c r="AK226" s="19">
        <v>1</v>
      </c>
      <c r="AL226" s="16">
        <f t="shared" si="198"/>
        <v>151</v>
      </c>
      <c r="AM226" s="16">
        <f t="shared" si="199"/>
        <v>0</v>
      </c>
      <c r="AN226" s="18">
        <f t="shared" si="200"/>
        <v>1</v>
      </c>
      <c r="AO226" s="16">
        <f t="shared" si="201"/>
        <v>151</v>
      </c>
      <c r="AP226" s="19">
        <v>0</v>
      </c>
      <c r="AQ226" s="19">
        <v>0</v>
      </c>
      <c r="AR226" s="16">
        <f t="shared" si="202"/>
        <v>0</v>
      </c>
      <c r="AS226" s="16">
        <f t="shared" si="203"/>
        <v>0</v>
      </c>
      <c r="AT226" s="18">
        <f t="shared" si="204"/>
        <v>1</v>
      </c>
      <c r="AU226" s="16">
        <f t="shared" si="205"/>
        <v>151</v>
      </c>
      <c r="AV226" s="19">
        <v>0</v>
      </c>
      <c r="AW226" s="19">
        <v>0</v>
      </c>
      <c r="AX226" s="16">
        <f t="shared" si="206"/>
        <v>0</v>
      </c>
      <c r="AY226" s="16">
        <f t="shared" si="207"/>
        <v>0</v>
      </c>
      <c r="AZ226" s="18">
        <f t="shared" si="237"/>
        <v>1</v>
      </c>
      <c r="BA226" s="16">
        <f t="shared" si="238"/>
        <v>151</v>
      </c>
      <c r="BB226" s="19">
        <v>0</v>
      </c>
      <c r="BC226" s="19">
        <v>0</v>
      </c>
      <c r="BD226" s="16">
        <f t="shared" si="239"/>
        <v>0</v>
      </c>
      <c r="BE226" s="16">
        <f t="shared" si="240"/>
        <v>0</v>
      </c>
      <c r="BF226" s="18">
        <f t="shared" si="241"/>
        <v>1</v>
      </c>
      <c r="BG226" s="16">
        <f t="shared" si="242"/>
        <v>151</v>
      </c>
      <c r="BH226" s="19">
        <v>0</v>
      </c>
      <c r="BI226" s="19">
        <v>0</v>
      </c>
      <c r="BJ226" s="16">
        <f t="shared" si="243"/>
        <v>0</v>
      </c>
      <c r="BK226" s="16">
        <f t="shared" si="244"/>
        <v>0</v>
      </c>
      <c r="BL226" s="18">
        <f t="shared" si="245"/>
        <v>1</v>
      </c>
      <c r="BM226" s="16">
        <f t="shared" si="246"/>
        <v>151</v>
      </c>
      <c r="BN226" s="19">
        <v>0</v>
      </c>
      <c r="BO226" s="19">
        <v>0</v>
      </c>
      <c r="BP226" s="16">
        <f t="shared" si="247"/>
        <v>0</v>
      </c>
      <c r="BQ226" s="16">
        <f t="shared" si="248"/>
        <v>0</v>
      </c>
      <c r="BR226" s="18">
        <f t="shared" si="249"/>
        <v>1</v>
      </c>
      <c r="BS226" s="16">
        <f t="shared" si="250"/>
        <v>151</v>
      </c>
      <c r="BT226" s="19">
        <v>0</v>
      </c>
      <c r="BU226" s="19">
        <v>0</v>
      </c>
      <c r="BV226" s="16">
        <f t="shared" si="251"/>
        <v>0</v>
      </c>
      <c r="BW226" s="16">
        <f t="shared" si="252"/>
        <v>0</v>
      </c>
      <c r="BX226" s="18">
        <f t="shared" si="253"/>
        <v>1</v>
      </c>
      <c r="BY226" s="16">
        <f t="shared" si="254"/>
        <v>151</v>
      </c>
      <c r="BZ226" s="19">
        <v>0</v>
      </c>
      <c r="CA226" s="19">
        <v>0</v>
      </c>
      <c r="CB226" s="16">
        <f t="shared" si="255"/>
        <v>0</v>
      </c>
      <c r="CC226" s="16">
        <f t="shared" si="256"/>
        <v>0</v>
      </c>
      <c r="CD226" s="20">
        <f t="shared" si="257"/>
        <v>1</v>
      </c>
      <c r="CE226" s="21"/>
    </row>
    <row r="227" spans="2:83" x14ac:dyDescent="0.25">
      <c r="B227" s="70">
        <v>196</v>
      </c>
      <c r="C227" s="79" t="s">
        <v>423</v>
      </c>
      <c r="D227" s="13" t="s">
        <v>416</v>
      </c>
      <c r="E227" s="23"/>
      <c r="F227" s="23"/>
      <c r="G227" s="23"/>
      <c r="H227" s="40"/>
      <c r="I227" s="30">
        <v>101</v>
      </c>
      <c r="J227" s="40"/>
      <c r="K227" s="16"/>
      <c r="L227" s="19"/>
      <c r="M227" s="19"/>
      <c r="N227" s="16"/>
      <c r="O227" s="16"/>
      <c r="P227" s="18"/>
      <c r="Q227" s="16"/>
      <c r="R227" s="19"/>
      <c r="S227" s="18"/>
      <c r="T227" s="16"/>
      <c r="U227" s="16"/>
      <c r="V227" s="18"/>
      <c r="W227" s="16"/>
      <c r="X227" s="19"/>
      <c r="Y227" s="19"/>
      <c r="Z227" s="16"/>
      <c r="AA227" s="16"/>
      <c r="AB227" s="18">
        <v>0</v>
      </c>
      <c r="AC227" s="16">
        <f t="shared" si="234"/>
        <v>0</v>
      </c>
      <c r="AD227" s="19">
        <v>0</v>
      </c>
      <c r="AE227" s="19">
        <v>0</v>
      </c>
      <c r="AF227" s="16">
        <f t="shared" si="235"/>
        <v>0</v>
      </c>
      <c r="AG227" s="16">
        <f t="shared" si="236"/>
        <v>0</v>
      </c>
      <c r="AH227" s="18">
        <f t="shared" si="196"/>
        <v>0</v>
      </c>
      <c r="AI227" s="16">
        <f t="shared" si="197"/>
        <v>0</v>
      </c>
      <c r="AJ227" s="19">
        <v>0</v>
      </c>
      <c r="AK227" s="19">
        <v>1</v>
      </c>
      <c r="AL227" s="16">
        <f t="shared" si="198"/>
        <v>101</v>
      </c>
      <c r="AM227" s="16">
        <f t="shared" si="199"/>
        <v>0</v>
      </c>
      <c r="AN227" s="18">
        <f t="shared" si="200"/>
        <v>1</v>
      </c>
      <c r="AO227" s="16">
        <f t="shared" si="201"/>
        <v>101</v>
      </c>
      <c r="AP227" s="19">
        <v>0</v>
      </c>
      <c r="AQ227" s="19">
        <v>0</v>
      </c>
      <c r="AR227" s="16">
        <f t="shared" si="202"/>
        <v>0</v>
      </c>
      <c r="AS227" s="16">
        <f t="shared" si="203"/>
        <v>0</v>
      </c>
      <c r="AT227" s="18">
        <f t="shared" si="204"/>
        <v>1</v>
      </c>
      <c r="AU227" s="16">
        <f t="shared" si="205"/>
        <v>101</v>
      </c>
      <c r="AV227" s="19">
        <v>0</v>
      </c>
      <c r="AW227" s="19">
        <v>0</v>
      </c>
      <c r="AX227" s="16">
        <f t="shared" si="206"/>
        <v>0</v>
      </c>
      <c r="AY227" s="16">
        <f t="shared" si="207"/>
        <v>0</v>
      </c>
      <c r="AZ227" s="18">
        <f t="shared" si="237"/>
        <v>1</v>
      </c>
      <c r="BA227" s="16">
        <f t="shared" si="238"/>
        <v>101</v>
      </c>
      <c r="BB227" s="19">
        <v>0</v>
      </c>
      <c r="BC227" s="19">
        <v>0</v>
      </c>
      <c r="BD227" s="16">
        <f t="shared" si="239"/>
        <v>0</v>
      </c>
      <c r="BE227" s="16">
        <f t="shared" si="240"/>
        <v>0</v>
      </c>
      <c r="BF227" s="18">
        <f t="shared" si="241"/>
        <v>1</v>
      </c>
      <c r="BG227" s="16">
        <f t="shared" si="242"/>
        <v>101</v>
      </c>
      <c r="BH227" s="19">
        <v>0</v>
      </c>
      <c r="BI227" s="19">
        <v>0</v>
      </c>
      <c r="BJ227" s="16">
        <f t="shared" si="243"/>
        <v>0</v>
      </c>
      <c r="BK227" s="16">
        <f t="shared" si="244"/>
        <v>0</v>
      </c>
      <c r="BL227" s="18">
        <f t="shared" si="245"/>
        <v>1</v>
      </c>
      <c r="BM227" s="16">
        <f t="shared" si="246"/>
        <v>101</v>
      </c>
      <c r="BN227" s="19">
        <v>0</v>
      </c>
      <c r="BO227" s="19">
        <v>0</v>
      </c>
      <c r="BP227" s="16">
        <f t="shared" si="247"/>
        <v>0</v>
      </c>
      <c r="BQ227" s="16">
        <f t="shared" si="248"/>
        <v>0</v>
      </c>
      <c r="BR227" s="18">
        <f t="shared" si="249"/>
        <v>1</v>
      </c>
      <c r="BS227" s="16">
        <f t="shared" si="250"/>
        <v>101</v>
      </c>
      <c r="BT227" s="19">
        <v>0</v>
      </c>
      <c r="BU227" s="19">
        <v>0</v>
      </c>
      <c r="BV227" s="16">
        <f t="shared" si="251"/>
        <v>0</v>
      </c>
      <c r="BW227" s="16">
        <f t="shared" si="252"/>
        <v>0</v>
      </c>
      <c r="BX227" s="18">
        <f t="shared" si="253"/>
        <v>1</v>
      </c>
      <c r="BY227" s="16">
        <f t="shared" si="254"/>
        <v>101</v>
      </c>
      <c r="BZ227" s="19">
        <v>0</v>
      </c>
      <c r="CA227" s="19">
        <v>0</v>
      </c>
      <c r="CB227" s="16">
        <f t="shared" si="255"/>
        <v>0</v>
      </c>
      <c r="CC227" s="16">
        <f t="shared" si="256"/>
        <v>0</v>
      </c>
      <c r="CD227" s="20">
        <f t="shared" si="257"/>
        <v>1</v>
      </c>
      <c r="CE227" s="21"/>
    </row>
    <row r="228" spans="2:83" x14ac:dyDescent="0.25">
      <c r="B228" s="70">
        <v>197</v>
      </c>
      <c r="C228" s="79" t="s">
        <v>424</v>
      </c>
      <c r="D228" s="13" t="s">
        <v>417</v>
      </c>
      <c r="E228" s="23"/>
      <c r="F228" s="23"/>
      <c r="G228" s="23"/>
      <c r="H228" s="40"/>
      <c r="I228" s="30">
        <v>101</v>
      </c>
      <c r="J228" s="40"/>
      <c r="K228" s="16"/>
      <c r="L228" s="19"/>
      <c r="M228" s="19"/>
      <c r="N228" s="16"/>
      <c r="O228" s="16"/>
      <c r="P228" s="18"/>
      <c r="Q228" s="16"/>
      <c r="R228" s="19"/>
      <c r="S228" s="18"/>
      <c r="T228" s="16"/>
      <c r="U228" s="16"/>
      <c r="V228" s="18"/>
      <c r="W228" s="16"/>
      <c r="X228" s="19"/>
      <c r="Y228" s="19"/>
      <c r="Z228" s="16"/>
      <c r="AA228" s="16"/>
      <c r="AB228" s="18">
        <v>0</v>
      </c>
      <c r="AC228" s="16">
        <f t="shared" si="234"/>
        <v>0</v>
      </c>
      <c r="AD228" s="19">
        <v>0</v>
      </c>
      <c r="AE228" s="19">
        <v>0</v>
      </c>
      <c r="AF228" s="16">
        <f t="shared" si="235"/>
        <v>0</v>
      </c>
      <c r="AG228" s="16">
        <f t="shared" si="236"/>
        <v>0</v>
      </c>
      <c r="AH228" s="18">
        <f t="shared" si="196"/>
        <v>0</v>
      </c>
      <c r="AI228" s="16">
        <f t="shared" si="197"/>
        <v>0</v>
      </c>
      <c r="AJ228" s="19">
        <v>0</v>
      </c>
      <c r="AK228" s="19">
        <v>1</v>
      </c>
      <c r="AL228" s="16">
        <f t="shared" si="198"/>
        <v>101</v>
      </c>
      <c r="AM228" s="16">
        <f t="shared" si="199"/>
        <v>0</v>
      </c>
      <c r="AN228" s="18">
        <f t="shared" si="200"/>
        <v>1</v>
      </c>
      <c r="AO228" s="16">
        <f t="shared" si="201"/>
        <v>101</v>
      </c>
      <c r="AP228" s="19">
        <v>0</v>
      </c>
      <c r="AQ228" s="19">
        <v>0</v>
      </c>
      <c r="AR228" s="16">
        <f t="shared" si="202"/>
        <v>0</v>
      </c>
      <c r="AS228" s="16">
        <f t="shared" si="203"/>
        <v>0</v>
      </c>
      <c r="AT228" s="18">
        <f t="shared" si="204"/>
        <v>1</v>
      </c>
      <c r="AU228" s="16">
        <f t="shared" si="205"/>
        <v>101</v>
      </c>
      <c r="AV228" s="19">
        <v>0</v>
      </c>
      <c r="AW228" s="19">
        <v>0</v>
      </c>
      <c r="AX228" s="16">
        <f t="shared" si="206"/>
        <v>0</v>
      </c>
      <c r="AY228" s="16">
        <f t="shared" si="207"/>
        <v>0</v>
      </c>
      <c r="AZ228" s="18">
        <f t="shared" si="237"/>
        <v>1</v>
      </c>
      <c r="BA228" s="16">
        <f t="shared" si="238"/>
        <v>101</v>
      </c>
      <c r="BB228" s="19">
        <v>0</v>
      </c>
      <c r="BC228" s="19">
        <v>0</v>
      </c>
      <c r="BD228" s="16">
        <f t="shared" si="239"/>
        <v>0</v>
      </c>
      <c r="BE228" s="16">
        <f t="shared" si="240"/>
        <v>0</v>
      </c>
      <c r="BF228" s="18">
        <f t="shared" si="241"/>
        <v>1</v>
      </c>
      <c r="BG228" s="16">
        <f t="shared" si="242"/>
        <v>101</v>
      </c>
      <c r="BH228" s="19">
        <v>0</v>
      </c>
      <c r="BI228" s="19">
        <v>0</v>
      </c>
      <c r="BJ228" s="16">
        <f t="shared" si="243"/>
        <v>0</v>
      </c>
      <c r="BK228" s="16">
        <f t="shared" si="244"/>
        <v>0</v>
      </c>
      <c r="BL228" s="18">
        <f t="shared" si="245"/>
        <v>1</v>
      </c>
      <c r="BM228" s="16">
        <f t="shared" si="246"/>
        <v>101</v>
      </c>
      <c r="BN228" s="19">
        <v>0</v>
      </c>
      <c r="BO228" s="19">
        <v>0</v>
      </c>
      <c r="BP228" s="16">
        <f t="shared" si="247"/>
        <v>0</v>
      </c>
      <c r="BQ228" s="16">
        <f t="shared" si="248"/>
        <v>0</v>
      </c>
      <c r="BR228" s="18">
        <f t="shared" si="249"/>
        <v>1</v>
      </c>
      <c r="BS228" s="16">
        <f t="shared" si="250"/>
        <v>101</v>
      </c>
      <c r="BT228" s="19">
        <v>0</v>
      </c>
      <c r="BU228" s="19">
        <v>0</v>
      </c>
      <c r="BV228" s="16">
        <f t="shared" si="251"/>
        <v>0</v>
      </c>
      <c r="BW228" s="16">
        <f t="shared" si="252"/>
        <v>0</v>
      </c>
      <c r="BX228" s="18">
        <f t="shared" si="253"/>
        <v>1</v>
      </c>
      <c r="BY228" s="16">
        <f t="shared" si="254"/>
        <v>101</v>
      </c>
      <c r="BZ228" s="19">
        <v>0</v>
      </c>
      <c r="CA228" s="19">
        <v>0</v>
      </c>
      <c r="CB228" s="16">
        <f t="shared" si="255"/>
        <v>0</v>
      </c>
      <c r="CC228" s="16">
        <f t="shared" si="256"/>
        <v>0</v>
      </c>
      <c r="CD228" s="20">
        <f t="shared" si="257"/>
        <v>1</v>
      </c>
      <c r="CE228" s="21"/>
    </row>
    <row r="229" spans="2:83" x14ac:dyDescent="0.25">
      <c r="B229" s="70">
        <v>198</v>
      </c>
      <c r="C229" s="79" t="s">
        <v>425</v>
      </c>
      <c r="D229" s="13" t="s">
        <v>418</v>
      </c>
      <c r="E229" s="23"/>
      <c r="F229" s="23"/>
      <c r="G229" s="23"/>
      <c r="H229" s="40"/>
      <c r="I229" s="30">
        <v>101</v>
      </c>
      <c r="J229" s="40"/>
      <c r="K229" s="16"/>
      <c r="L229" s="19"/>
      <c r="M229" s="19"/>
      <c r="N229" s="16"/>
      <c r="O229" s="16"/>
      <c r="P229" s="18"/>
      <c r="Q229" s="16"/>
      <c r="R229" s="19"/>
      <c r="S229" s="18"/>
      <c r="T229" s="16"/>
      <c r="U229" s="16"/>
      <c r="V229" s="18"/>
      <c r="W229" s="16"/>
      <c r="X229" s="19"/>
      <c r="Y229" s="19"/>
      <c r="Z229" s="16"/>
      <c r="AA229" s="16"/>
      <c r="AB229" s="18">
        <v>0</v>
      </c>
      <c r="AC229" s="16">
        <f t="shared" si="234"/>
        <v>0</v>
      </c>
      <c r="AD229" s="19">
        <v>0</v>
      </c>
      <c r="AE229" s="19">
        <v>0</v>
      </c>
      <c r="AF229" s="16">
        <f t="shared" si="235"/>
        <v>0</v>
      </c>
      <c r="AG229" s="16">
        <f t="shared" si="236"/>
        <v>0</v>
      </c>
      <c r="AH229" s="18">
        <f t="shared" si="196"/>
        <v>0</v>
      </c>
      <c r="AI229" s="16">
        <f t="shared" si="197"/>
        <v>0</v>
      </c>
      <c r="AJ229" s="19">
        <v>0</v>
      </c>
      <c r="AK229" s="19">
        <v>1</v>
      </c>
      <c r="AL229" s="16">
        <f t="shared" si="198"/>
        <v>101</v>
      </c>
      <c r="AM229" s="16">
        <f t="shared" si="199"/>
        <v>0</v>
      </c>
      <c r="AN229" s="18">
        <f t="shared" si="200"/>
        <v>1</v>
      </c>
      <c r="AO229" s="16">
        <f t="shared" si="201"/>
        <v>101</v>
      </c>
      <c r="AP229" s="19">
        <v>0</v>
      </c>
      <c r="AQ229" s="19">
        <v>0</v>
      </c>
      <c r="AR229" s="16">
        <f t="shared" si="202"/>
        <v>0</v>
      </c>
      <c r="AS229" s="16">
        <f t="shared" si="203"/>
        <v>0</v>
      </c>
      <c r="AT229" s="18">
        <f t="shared" si="204"/>
        <v>1</v>
      </c>
      <c r="AU229" s="16">
        <f t="shared" si="205"/>
        <v>101</v>
      </c>
      <c r="AV229" s="19">
        <v>0</v>
      </c>
      <c r="AW229" s="19">
        <v>0</v>
      </c>
      <c r="AX229" s="16">
        <f t="shared" si="206"/>
        <v>0</v>
      </c>
      <c r="AY229" s="16">
        <f t="shared" si="207"/>
        <v>0</v>
      </c>
      <c r="AZ229" s="18">
        <f t="shared" si="237"/>
        <v>1</v>
      </c>
      <c r="BA229" s="16">
        <f t="shared" si="238"/>
        <v>101</v>
      </c>
      <c r="BB229" s="19">
        <v>0</v>
      </c>
      <c r="BC229" s="19">
        <v>0</v>
      </c>
      <c r="BD229" s="16">
        <f t="shared" si="239"/>
        <v>0</v>
      </c>
      <c r="BE229" s="16">
        <f t="shared" si="240"/>
        <v>0</v>
      </c>
      <c r="BF229" s="18">
        <f t="shared" si="241"/>
        <v>1</v>
      </c>
      <c r="BG229" s="16">
        <f t="shared" si="242"/>
        <v>101</v>
      </c>
      <c r="BH229" s="19">
        <v>0</v>
      </c>
      <c r="BI229" s="19">
        <v>0</v>
      </c>
      <c r="BJ229" s="16">
        <v>0</v>
      </c>
      <c r="BK229" s="16">
        <v>0</v>
      </c>
      <c r="BL229" s="18">
        <f t="shared" si="245"/>
        <v>1</v>
      </c>
      <c r="BM229" s="16"/>
      <c r="BN229" s="19">
        <v>0</v>
      </c>
      <c r="BO229" s="19">
        <v>0</v>
      </c>
      <c r="BP229" s="16">
        <f t="shared" si="247"/>
        <v>0</v>
      </c>
      <c r="BQ229" s="16">
        <f t="shared" si="248"/>
        <v>0</v>
      </c>
      <c r="BR229" s="18">
        <f t="shared" si="249"/>
        <v>1</v>
      </c>
      <c r="BS229" s="16">
        <f t="shared" si="250"/>
        <v>101</v>
      </c>
      <c r="BT229" s="19">
        <v>0</v>
      </c>
      <c r="BU229" s="19">
        <v>0</v>
      </c>
      <c r="BV229" s="16"/>
      <c r="BW229" s="16"/>
      <c r="BX229" s="18"/>
      <c r="BY229" s="16"/>
      <c r="BZ229" s="19"/>
      <c r="CA229" s="19"/>
      <c r="CB229" s="16"/>
      <c r="CC229" s="16"/>
      <c r="CD229" s="20"/>
      <c r="CE229" s="21"/>
    </row>
    <row r="230" spans="2:83" x14ac:dyDescent="0.25">
      <c r="B230" s="70"/>
      <c r="C230" s="79"/>
      <c r="D230" s="13"/>
      <c r="E230" s="23"/>
      <c r="F230" s="23"/>
      <c r="G230" s="23"/>
      <c r="H230" s="40"/>
      <c r="I230" s="30"/>
      <c r="J230" s="40"/>
      <c r="K230" s="16"/>
      <c r="L230" s="19"/>
      <c r="M230" s="19"/>
      <c r="N230" s="16"/>
      <c r="O230" s="16"/>
      <c r="P230" s="18"/>
      <c r="Q230" s="16"/>
      <c r="R230" s="19"/>
      <c r="S230" s="18"/>
      <c r="T230" s="16"/>
      <c r="U230" s="16"/>
      <c r="V230" s="18"/>
      <c r="W230" s="16"/>
      <c r="X230" s="19"/>
      <c r="Y230" s="19"/>
      <c r="Z230" s="16"/>
      <c r="AA230" s="16"/>
      <c r="AB230" s="18"/>
      <c r="AC230" s="16"/>
      <c r="AD230" s="19"/>
      <c r="AE230" s="19"/>
      <c r="AF230" s="16"/>
      <c r="AG230" s="16"/>
      <c r="AH230" s="18">
        <f t="shared" si="196"/>
        <v>0</v>
      </c>
      <c r="AI230" s="16">
        <f t="shared" si="197"/>
        <v>0</v>
      </c>
      <c r="AJ230" s="19"/>
      <c r="AK230" s="19"/>
      <c r="AL230" s="16">
        <f t="shared" si="198"/>
        <v>0</v>
      </c>
      <c r="AM230" s="16">
        <f t="shared" si="199"/>
        <v>0</v>
      </c>
      <c r="AN230" s="18">
        <f t="shared" si="200"/>
        <v>0</v>
      </c>
      <c r="AO230" s="16">
        <f t="shared" si="201"/>
        <v>0</v>
      </c>
      <c r="AP230" s="19"/>
      <c r="AQ230" s="19"/>
      <c r="AR230" s="16">
        <f t="shared" si="202"/>
        <v>0</v>
      </c>
      <c r="AS230" s="16">
        <f t="shared" si="203"/>
        <v>0</v>
      </c>
      <c r="AT230" s="18">
        <f t="shared" si="204"/>
        <v>0</v>
      </c>
      <c r="AU230" s="16">
        <f t="shared" si="205"/>
        <v>0</v>
      </c>
      <c r="AV230" s="19"/>
      <c r="AW230" s="19"/>
      <c r="AX230" s="16">
        <f t="shared" si="206"/>
        <v>0</v>
      </c>
      <c r="AY230" s="16">
        <f t="shared" si="207"/>
        <v>0</v>
      </c>
      <c r="AZ230" s="18"/>
      <c r="BA230" s="16"/>
      <c r="BB230" s="19"/>
      <c r="BC230" s="19"/>
      <c r="BD230" s="16"/>
      <c r="BE230" s="16"/>
      <c r="BF230" s="18"/>
      <c r="BG230" s="16"/>
      <c r="BH230" s="19"/>
      <c r="BI230" s="19"/>
      <c r="BJ230" s="16"/>
      <c r="BK230" s="16"/>
      <c r="BL230" s="18"/>
      <c r="BM230" s="16"/>
      <c r="BN230" s="19"/>
      <c r="BO230" s="19"/>
      <c r="BP230" s="16"/>
      <c r="BQ230" s="16"/>
      <c r="BR230" s="18"/>
      <c r="BS230" s="16"/>
      <c r="BT230" s="19"/>
      <c r="BU230" s="19"/>
      <c r="BV230" s="16"/>
      <c r="BW230" s="16"/>
      <c r="BX230" s="18"/>
      <c r="BY230" s="16"/>
      <c r="BZ230" s="19"/>
      <c r="CA230" s="19"/>
      <c r="CB230" s="16"/>
      <c r="CC230" s="16"/>
      <c r="CD230" s="20"/>
      <c r="CE230" s="21"/>
    </row>
    <row r="231" spans="2:83" x14ac:dyDescent="0.25">
      <c r="B231" s="70"/>
      <c r="C231" s="79"/>
      <c r="D231" s="13"/>
      <c r="E231" s="23"/>
      <c r="F231" s="23"/>
      <c r="G231" s="23"/>
      <c r="H231" s="40"/>
      <c r="I231" s="30"/>
      <c r="J231" s="40"/>
      <c r="K231" s="16"/>
      <c r="L231" s="19"/>
      <c r="M231" s="19"/>
      <c r="N231" s="16"/>
      <c r="O231" s="16"/>
      <c r="P231" s="18"/>
      <c r="Q231" s="16"/>
      <c r="R231" s="19"/>
      <c r="S231" s="18"/>
      <c r="T231" s="16"/>
      <c r="U231" s="16"/>
      <c r="V231" s="18"/>
      <c r="W231" s="16"/>
      <c r="X231" s="19"/>
      <c r="Y231" s="19"/>
      <c r="Z231" s="16"/>
      <c r="AA231" s="16"/>
      <c r="AB231" s="18"/>
      <c r="AC231" s="16"/>
      <c r="AD231" s="19"/>
      <c r="AE231" s="19"/>
      <c r="AF231" s="16"/>
      <c r="AG231" s="16"/>
      <c r="AH231" s="18">
        <f t="shared" si="196"/>
        <v>0</v>
      </c>
      <c r="AI231" s="16">
        <f t="shared" si="197"/>
        <v>0</v>
      </c>
      <c r="AJ231" s="19"/>
      <c r="AK231" s="19"/>
      <c r="AL231" s="16">
        <f t="shared" si="198"/>
        <v>0</v>
      </c>
      <c r="AM231" s="16">
        <f t="shared" si="199"/>
        <v>0</v>
      </c>
      <c r="AN231" s="18">
        <f t="shared" si="200"/>
        <v>0</v>
      </c>
      <c r="AO231" s="16">
        <f t="shared" si="201"/>
        <v>0</v>
      </c>
      <c r="AP231" s="19"/>
      <c r="AQ231" s="19"/>
      <c r="AR231" s="16">
        <f t="shared" si="202"/>
        <v>0</v>
      </c>
      <c r="AS231" s="16">
        <f t="shared" si="203"/>
        <v>0</v>
      </c>
      <c r="AT231" s="18">
        <f t="shared" si="204"/>
        <v>0</v>
      </c>
      <c r="AU231" s="16">
        <f t="shared" si="205"/>
        <v>0</v>
      </c>
      <c r="AV231" s="19"/>
      <c r="AW231" s="19"/>
      <c r="AX231" s="16">
        <f t="shared" si="206"/>
        <v>0</v>
      </c>
      <c r="AY231" s="16">
        <f t="shared" si="207"/>
        <v>0</v>
      </c>
      <c r="AZ231" s="18"/>
      <c r="BA231" s="16"/>
      <c r="BB231" s="19"/>
      <c r="BC231" s="19"/>
      <c r="BD231" s="16"/>
      <c r="BE231" s="16"/>
      <c r="BF231" s="18"/>
      <c r="BG231" s="16"/>
      <c r="BH231" s="19"/>
      <c r="BI231" s="19"/>
      <c r="BJ231" s="16"/>
      <c r="BK231" s="16"/>
      <c r="BL231" s="18"/>
      <c r="BM231" s="16"/>
      <c r="BN231" s="19"/>
      <c r="BO231" s="19"/>
      <c r="BP231" s="16"/>
      <c r="BQ231" s="16"/>
      <c r="BR231" s="18"/>
      <c r="BS231" s="16"/>
      <c r="BT231" s="19"/>
      <c r="BU231" s="19"/>
      <c r="BV231" s="16"/>
      <c r="BW231" s="16"/>
      <c r="BX231" s="18"/>
      <c r="BY231" s="16"/>
      <c r="BZ231" s="19"/>
      <c r="CA231" s="19"/>
      <c r="CB231" s="16"/>
      <c r="CC231" s="16"/>
      <c r="CD231" s="20"/>
      <c r="CE231" s="21"/>
    </row>
    <row r="232" spans="2:83" x14ac:dyDescent="0.25">
      <c r="B232" s="70"/>
      <c r="C232" s="79"/>
      <c r="D232" s="13"/>
      <c r="E232" s="23"/>
      <c r="F232" s="23"/>
      <c r="G232" s="23"/>
      <c r="H232" s="40"/>
      <c r="I232" s="30"/>
      <c r="J232" s="40"/>
      <c r="K232" s="16"/>
      <c r="L232" s="19"/>
      <c r="M232" s="19"/>
      <c r="N232" s="16"/>
      <c r="O232" s="16"/>
      <c r="P232" s="18"/>
      <c r="Q232" s="16"/>
      <c r="R232" s="19"/>
      <c r="S232" s="18"/>
      <c r="T232" s="16"/>
      <c r="U232" s="16"/>
      <c r="V232" s="18"/>
      <c r="W232" s="16"/>
      <c r="X232" s="19"/>
      <c r="Y232" s="19"/>
      <c r="Z232" s="16"/>
      <c r="AA232" s="16"/>
      <c r="AB232" s="18"/>
      <c r="AC232" s="16"/>
      <c r="AD232" s="19"/>
      <c r="AE232" s="19"/>
      <c r="AF232" s="16"/>
      <c r="AG232" s="16"/>
      <c r="AH232" s="18">
        <f t="shared" si="196"/>
        <v>0</v>
      </c>
      <c r="AI232" s="16">
        <f t="shared" si="197"/>
        <v>0</v>
      </c>
      <c r="AJ232" s="19"/>
      <c r="AK232" s="19"/>
      <c r="AL232" s="16">
        <f t="shared" si="198"/>
        <v>0</v>
      </c>
      <c r="AM232" s="16">
        <f t="shared" si="199"/>
        <v>0</v>
      </c>
      <c r="AN232" s="18">
        <f t="shared" si="200"/>
        <v>0</v>
      </c>
      <c r="AO232" s="16">
        <f t="shared" si="201"/>
        <v>0</v>
      </c>
      <c r="AP232" s="19"/>
      <c r="AQ232" s="19"/>
      <c r="AR232" s="16">
        <f t="shared" si="202"/>
        <v>0</v>
      </c>
      <c r="AS232" s="16">
        <f t="shared" si="203"/>
        <v>0</v>
      </c>
      <c r="AT232" s="18">
        <f t="shared" si="204"/>
        <v>0</v>
      </c>
      <c r="AU232" s="16">
        <f t="shared" si="205"/>
        <v>0</v>
      </c>
      <c r="AV232" s="19"/>
      <c r="AW232" s="19"/>
      <c r="AX232" s="16">
        <f t="shared" si="206"/>
        <v>0</v>
      </c>
      <c r="AY232" s="16">
        <f t="shared" si="207"/>
        <v>0</v>
      </c>
      <c r="AZ232" s="18"/>
      <c r="BA232" s="16"/>
      <c r="BB232" s="19"/>
      <c r="BC232" s="19"/>
      <c r="BD232" s="16"/>
      <c r="BE232" s="16"/>
      <c r="BF232" s="18"/>
      <c r="BG232" s="16"/>
      <c r="BH232" s="19"/>
      <c r="BI232" s="19"/>
      <c r="BJ232" s="16"/>
      <c r="BK232" s="16"/>
      <c r="BL232" s="18"/>
      <c r="BM232" s="16"/>
      <c r="BN232" s="19"/>
      <c r="BO232" s="19"/>
      <c r="BP232" s="16"/>
      <c r="BQ232" s="16"/>
      <c r="BR232" s="18"/>
      <c r="BS232" s="16"/>
      <c r="BT232" s="19"/>
      <c r="BU232" s="19"/>
      <c r="BV232" s="16"/>
      <c r="BW232" s="16"/>
      <c r="BX232" s="18"/>
      <c r="BY232" s="16"/>
      <c r="BZ232" s="19"/>
      <c r="CA232" s="19"/>
      <c r="CB232" s="16"/>
      <c r="CC232" s="16"/>
      <c r="CD232" s="20"/>
      <c r="CE232" s="21"/>
    </row>
    <row r="233" spans="2:83" x14ac:dyDescent="0.25">
      <c r="B233" s="70"/>
      <c r="C233" s="79"/>
      <c r="D233" s="13"/>
      <c r="E233" s="23"/>
      <c r="F233" s="23"/>
      <c r="G233" s="23"/>
      <c r="H233" s="40"/>
      <c r="I233" s="30"/>
      <c r="J233" s="40"/>
      <c r="K233" s="16"/>
      <c r="L233" s="19"/>
      <c r="M233" s="19"/>
      <c r="N233" s="16"/>
      <c r="O233" s="16"/>
      <c r="P233" s="18"/>
      <c r="Q233" s="16"/>
      <c r="R233" s="19"/>
      <c r="S233" s="18"/>
      <c r="T233" s="16"/>
      <c r="U233" s="16"/>
      <c r="V233" s="18"/>
      <c r="W233" s="16"/>
      <c r="X233" s="19"/>
      <c r="Y233" s="19"/>
      <c r="Z233" s="16"/>
      <c r="AA233" s="16"/>
      <c r="AB233" s="18"/>
      <c r="AC233" s="16"/>
      <c r="AD233" s="19"/>
      <c r="AE233" s="19"/>
      <c r="AF233" s="16"/>
      <c r="AG233" s="16"/>
      <c r="AH233" s="18">
        <f t="shared" si="196"/>
        <v>0</v>
      </c>
      <c r="AI233" s="16">
        <f t="shared" si="197"/>
        <v>0</v>
      </c>
      <c r="AJ233" s="19"/>
      <c r="AK233" s="19"/>
      <c r="AL233" s="16">
        <f t="shared" si="198"/>
        <v>0</v>
      </c>
      <c r="AM233" s="16">
        <f t="shared" si="199"/>
        <v>0</v>
      </c>
      <c r="AN233" s="18">
        <f t="shared" si="200"/>
        <v>0</v>
      </c>
      <c r="AO233" s="16">
        <f t="shared" si="201"/>
        <v>0</v>
      </c>
      <c r="AP233" s="19"/>
      <c r="AQ233" s="19"/>
      <c r="AR233" s="16">
        <f t="shared" si="202"/>
        <v>0</v>
      </c>
      <c r="AS233" s="16">
        <f t="shared" si="203"/>
        <v>0</v>
      </c>
      <c r="AT233" s="18">
        <f t="shared" si="204"/>
        <v>0</v>
      </c>
      <c r="AU233" s="16">
        <f t="shared" si="205"/>
        <v>0</v>
      </c>
      <c r="AV233" s="19"/>
      <c r="AW233" s="19"/>
      <c r="AX233" s="16">
        <f t="shared" si="206"/>
        <v>0</v>
      </c>
      <c r="AY233" s="16">
        <f t="shared" si="207"/>
        <v>0</v>
      </c>
      <c r="AZ233" s="18"/>
      <c r="BA233" s="16"/>
      <c r="BB233" s="19"/>
      <c r="BC233" s="19"/>
      <c r="BD233" s="16"/>
      <c r="BE233" s="16"/>
      <c r="BF233" s="18"/>
      <c r="BG233" s="16"/>
      <c r="BH233" s="19"/>
      <c r="BI233" s="19"/>
      <c r="BJ233" s="16"/>
      <c r="BK233" s="16"/>
      <c r="BL233" s="18"/>
      <c r="BM233" s="16"/>
      <c r="BN233" s="19"/>
      <c r="BO233" s="19"/>
      <c r="BP233" s="16"/>
      <c r="BQ233" s="16"/>
      <c r="BR233" s="18"/>
      <c r="BS233" s="16"/>
      <c r="BT233" s="19"/>
      <c r="BU233" s="19"/>
      <c r="BV233" s="16"/>
      <c r="BW233" s="16"/>
      <c r="BX233" s="18"/>
      <c r="BY233" s="16"/>
      <c r="BZ233" s="19"/>
      <c r="CA233" s="19"/>
      <c r="CB233" s="16"/>
      <c r="CC233" s="16"/>
      <c r="CD233" s="20"/>
      <c r="CE233" s="21"/>
    </row>
    <row r="234" spans="2:83" s="52" customFormat="1" ht="21" customHeight="1" x14ac:dyDescent="0.25">
      <c r="B234" s="1"/>
      <c r="C234" s="1"/>
      <c r="D234" s="42"/>
      <c r="E234" s="43"/>
      <c r="F234" s="43"/>
      <c r="G234" s="43"/>
      <c r="H234" s="44"/>
      <c r="I234" s="45"/>
      <c r="J234" s="44"/>
      <c r="K234" s="46">
        <f>SUM(K4:K233)</f>
        <v>26533.25</v>
      </c>
      <c r="L234" s="47"/>
      <c r="M234" s="47"/>
      <c r="N234" s="46">
        <f>SUM(N4:N233)</f>
        <v>2743</v>
      </c>
      <c r="O234" s="46">
        <f>SUM(O4:O233)</f>
        <v>3335.3799999999997</v>
      </c>
      <c r="P234" s="48"/>
      <c r="Q234" s="46">
        <f>SUM(Q4:Q233)</f>
        <v>25940.869999999995</v>
      </c>
      <c r="R234" s="49"/>
      <c r="S234" s="50"/>
      <c r="T234" s="46">
        <f>SUM(T4:T233)</f>
        <v>480</v>
      </c>
      <c r="U234" s="46">
        <f>SUM(U4:U233)</f>
        <v>810.99999999999989</v>
      </c>
      <c r="V234" s="48"/>
      <c r="W234" s="46">
        <f>SUM(W4:W233)</f>
        <v>25609.869999999995</v>
      </c>
      <c r="X234" s="47"/>
      <c r="Y234" s="47"/>
      <c r="Z234" s="46">
        <f>SUM(Z4:Z233)</f>
        <v>0</v>
      </c>
      <c r="AA234" s="46">
        <f>SUM(AA4:AA233)</f>
        <v>1904.8600000000001</v>
      </c>
      <c r="AB234" s="47"/>
      <c r="AC234" s="46">
        <f>SUM(AC4:AC233)</f>
        <v>23705.010000000002</v>
      </c>
      <c r="AD234" s="47"/>
      <c r="AE234" s="47"/>
      <c r="AF234" s="46">
        <f>SUM(AF4:AF233)</f>
        <v>0</v>
      </c>
      <c r="AG234" s="46">
        <f>SUM(AG4:AG233)</f>
        <v>1229.75</v>
      </c>
      <c r="AH234" s="47"/>
      <c r="AI234" s="46">
        <f>SUM(AI4:AI233)</f>
        <v>22475.260000000002</v>
      </c>
      <c r="AJ234" s="49"/>
      <c r="AK234" s="49"/>
      <c r="AL234" s="46">
        <f>SUM(AL4:AL233)</f>
        <v>2490.67</v>
      </c>
      <c r="AM234" s="46">
        <f>SUM(AM4:AM233)</f>
        <v>624.30000000000007</v>
      </c>
      <c r="AN234" s="47"/>
      <c r="AO234" s="46">
        <f>SUM(AO4:AO233)</f>
        <v>24341.630000000008</v>
      </c>
      <c r="AP234" s="47"/>
      <c r="AQ234" s="47"/>
      <c r="AR234" s="46">
        <f>SUM(AR4:AR233)</f>
        <v>2083.6</v>
      </c>
      <c r="AS234" s="46">
        <f>SUM(AS4:AS233)</f>
        <v>886.55</v>
      </c>
      <c r="AT234" s="47"/>
      <c r="AU234" s="46">
        <f>SUM(AU4:AU233)</f>
        <v>25538.68</v>
      </c>
      <c r="AV234" s="47"/>
      <c r="AW234" s="47"/>
      <c r="AX234" s="51">
        <f>SUM(AX4:AX233)</f>
        <v>0</v>
      </c>
      <c r="AY234" s="51">
        <f>SUM(AY4:AY233)</f>
        <v>563.17000000000007</v>
      </c>
      <c r="BA234" s="53">
        <f>SUM(BA4:BA233)</f>
        <v>21943.21</v>
      </c>
      <c r="BD234" s="51">
        <f>SUM(BD4:BD233)</f>
        <v>1039</v>
      </c>
      <c r="BE234" s="51">
        <f>SUM(BE4:BE233)</f>
        <v>1108.1500000000001</v>
      </c>
      <c r="BG234" s="53">
        <f>SUM(BG4:BG233)</f>
        <v>24015.060000000009</v>
      </c>
      <c r="BJ234" s="51">
        <f>SUM(BJ4:BJ233)</f>
        <v>0</v>
      </c>
      <c r="BK234" s="51">
        <f>SUM(BK4:BK233)</f>
        <v>0</v>
      </c>
      <c r="BM234" s="53">
        <f>SUM(BM4:BM233)</f>
        <v>20214.609999999997</v>
      </c>
      <c r="BP234" s="54">
        <f>SUM(BP4:BP233)</f>
        <v>0</v>
      </c>
      <c r="BQ234" s="54">
        <f>SUM(BQ4:BQ233)</f>
        <v>0</v>
      </c>
      <c r="BS234" s="53">
        <f>SUM(BS4:BS233)</f>
        <v>20315.609999999997</v>
      </c>
      <c r="BV234" s="51">
        <f>SUM(BV4:BV233)</f>
        <v>0</v>
      </c>
      <c r="BW234" s="54">
        <f>SUM(BW4:BW233)</f>
        <v>0</v>
      </c>
      <c r="BY234" s="53">
        <f>SUM(BY4:BY233)</f>
        <v>20214.609999999997</v>
      </c>
      <c r="CA234" s="52">
        <f>SUM(CA4:CA233)</f>
        <v>0</v>
      </c>
      <c r="CB234" s="51">
        <f>SUM(CB4:CB233)</f>
        <v>0</v>
      </c>
      <c r="CC234" s="54">
        <f>SUM(CC4:CC233)</f>
        <v>0</v>
      </c>
      <c r="CE234" s="52">
        <f>SUM(CE4:CE233)</f>
        <v>19513.009999999995</v>
      </c>
    </row>
    <row r="235" spans="2:83" s="52" customFormat="1" ht="21" customHeight="1" x14ac:dyDescent="0.25">
      <c r="B235" s="1"/>
      <c r="C235" s="1"/>
      <c r="D235" s="42"/>
      <c r="E235" s="43"/>
      <c r="F235" s="43"/>
      <c r="G235" s="43"/>
      <c r="H235" s="44">
        <f>SUM(H4:H234)</f>
        <v>7868</v>
      </c>
      <c r="I235" s="45">
        <f>SUM(I4:I234)</f>
        <v>5999.2499999999991</v>
      </c>
      <c r="J235" s="44"/>
      <c r="K235" s="54"/>
      <c r="L235" s="47"/>
      <c r="M235" s="47"/>
      <c r="N235" s="54"/>
      <c r="O235" s="54"/>
      <c r="P235" s="48"/>
      <c r="Q235" s="54"/>
      <c r="R235" s="49"/>
      <c r="S235" s="50"/>
      <c r="T235" s="54"/>
      <c r="U235" s="54"/>
      <c r="V235" s="48"/>
      <c r="W235" s="54"/>
      <c r="X235" s="47"/>
      <c r="Y235" s="47"/>
      <c r="Z235" s="54"/>
      <c r="AA235" s="54"/>
      <c r="AB235" s="47"/>
      <c r="AC235" s="54"/>
      <c r="AD235" s="47"/>
      <c r="AE235" s="47"/>
      <c r="AF235" s="54"/>
      <c r="AG235" s="54"/>
      <c r="AH235" s="47"/>
      <c r="AI235" s="54"/>
      <c r="AJ235" s="49"/>
      <c r="AK235" s="49"/>
      <c r="AL235" s="54"/>
      <c r="AM235" s="54"/>
      <c r="AN235" s="47"/>
      <c r="AO235" s="54"/>
      <c r="AP235" s="47"/>
      <c r="AQ235" s="47"/>
      <c r="AR235" s="54"/>
      <c r="AS235" s="54"/>
      <c r="AT235" s="47"/>
      <c r="AU235" s="54"/>
      <c r="AV235" s="47"/>
      <c r="AW235" s="47"/>
      <c r="AX235" s="51"/>
      <c r="AY235" s="51"/>
      <c r="BA235" s="51"/>
      <c r="BD235" s="51"/>
      <c r="BE235" s="51"/>
      <c r="BG235" s="51"/>
      <c r="BJ235" s="51"/>
      <c r="BK235" s="51"/>
      <c r="BM235" s="51"/>
      <c r="BP235" s="54"/>
      <c r="BQ235" s="54"/>
      <c r="BS235" s="51"/>
      <c r="BV235" s="51"/>
      <c r="BW235" s="51"/>
      <c r="BY235" s="51"/>
      <c r="CB235" s="51"/>
      <c r="CC235" s="51"/>
      <c r="CD235" s="52">
        <f>SUM(CD4:CD234)</f>
        <v>6339</v>
      </c>
    </row>
    <row r="236" spans="2:83" x14ac:dyDescent="0.25">
      <c r="D236" s="1"/>
      <c r="I236" s="45"/>
      <c r="K236" s="7"/>
      <c r="N236" s="7"/>
      <c r="O236" s="7"/>
      <c r="Q236" s="7"/>
      <c r="T236" s="7"/>
      <c r="U236" s="7"/>
      <c r="W236" s="7"/>
      <c r="Z236" s="7"/>
      <c r="AA236" s="7"/>
      <c r="AC236" s="7"/>
      <c r="AF236" s="7"/>
      <c r="AG236" s="7"/>
      <c r="AI236" s="7"/>
      <c r="AL236" s="1"/>
      <c r="AM236" s="1"/>
      <c r="AO236" s="1"/>
      <c r="AR236" s="1"/>
      <c r="AS236" s="1"/>
    </row>
    <row r="237" spans="2:83" x14ac:dyDescent="0.3">
      <c r="D237" s="43"/>
      <c r="I237" s="7"/>
      <c r="K237" s="7"/>
      <c r="N237" s="7"/>
      <c r="O237" s="7">
        <f>K234+N234-O234</f>
        <v>25940.87</v>
      </c>
      <c r="Q237" s="7"/>
      <c r="T237" s="7"/>
      <c r="U237" s="7">
        <f>Q234+T234-U234</f>
        <v>25609.869999999995</v>
      </c>
      <c r="W237" s="7"/>
      <c r="Z237" s="7"/>
      <c r="AA237" s="7">
        <f>W234+Z234-AA234</f>
        <v>23705.009999999995</v>
      </c>
      <c r="AC237" s="7"/>
      <c r="AF237" s="7"/>
      <c r="AG237" s="7">
        <f>AC234+AF234-AG234</f>
        <v>22475.260000000002</v>
      </c>
      <c r="AI237" s="7"/>
      <c r="AL237" s="1"/>
      <c r="AM237" s="55">
        <f>AI234+AL234-AM234</f>
        <v>24341.63</v>
      </c>
      <c r="AO237" s="1"/>
      <c r="AR237" s="1"/>
      <c r="AS237" s="55">
        <f>AO234+AR234-AS234</f>
        <v>25538.680000000008</v>
      </c>
      <c r="AY237" s="55">
        <f>AU234+AX234-AY234</f>
        <v>24975.510000000002</v>
      </c>
      <c r="BE237" s="55">
        <f>BA234+BD234-BE234</f>
        <v>21874.059999999998</v>
      </c>
      <c r="BJ237" s="55" t="e">
        <f>SUM(#REF!,#REF!,#REF!)</f>
        <v>#REF!</v>
      </c>
      <c r="BK237" s="55">
        <f>BG234+BJ234-BK234</f>
        <v>24015.060000000009</v>
      </c>
      <c r="BQ237" s="55">
        <f>BM234+BP234-BQ234</f>
        <v>20214.609999999997</v>
      </c>
      <c r="BW237" s="55">
        <f>BS234+BV234-BW234</f>
        <v>20315.609999999997</v>
      </c>
      <c r="CC237" s="55">
        <f>BY234+CB234-CC234</f>
        <v>20214.609999999997</v>
      </c>
    </row>
    <row r="238" spans="2:83" x14ac:dyDescent="0.3">
      <c r="I238" s="7"/>
      <c r="K238" s="7"/>
      <c r="N238" s="7"/>
      <c r="O238" s="7"/>
      <c r="Q238" s="7"/>
      <c r="T238" s="7"/>
      <c r="U238" s="7"/>
      <c r="W238" s="7"/>
      <c r="Z238" s="7">
        <f>Z234+T234+N234</f>
        <v>3223</v>
      </c>
      <c r="AA238" s="7">
        <f>(AA234+U234+O234)</f>
        <v>6051.24</v>
      </c>
      <c r="AC238" s="7"/>
      <c r="AF238" s="7"/>
      <c r="AG238" s="7"/>
      <c r="AI238" s="7"/>
      <c r="AL238" s="1"/>
      <c r="AM238" s="1"/>
      <c r="AO238" s="1"/>
      <c r="AR238" s="1"/>
      <c r="AS238" s="1"/>
    </row>
    <row r="239" spans="2:83" x14ac:dyDescent="0.3">
      <c r="D239" s="56"/>
      <c r="E239" s="56"/>
      <c r="F239" s="56"/>
      <c r="G239" s="56"/>
      <c r="I239" s="7"/>
      <c r="K239" s="7"/>
      <c r="N239" s="7"/>
      <c r="O239" s="7"/>
      <c r="Q239" s="7"/>
      <c r="T239" s="7"/>
      <c r="U239" s="7"/>
      <c r="V239" s="2"/>
      <c r="W239" s="47"/>
      <c r="Z239" s="7"/>
      <c r="AA239" s="7"/>
      <c r="AC239" s="7"/>
      <c r="AD239" s="55"/>
      <c r="AF239" s="7"/>
      <c r="AG239" s="7"/>
      <c r="AI239" s="7"/>
      <c r="AL239" s="1"/>
      <c r="AM239" s="1"/>
      <c r="AO239" s="1"/>
      <c r="AR239" s="55">
        <f>SUM(AF234,AL234,AR234)</f>
        <v>4574.2700000000004</v>
      </c>
      <c r="AS239" s="55">
        <f>SUM(AG234,AM234,AS234)</f>
        <v>2740.6000000000004</v>
      </c>
      <c r="BI239" s="1" t="s">
        <v>309</v>
      </c>
      <c r="BJ239" s="55" t="s">
        <v>310</v>
      </c>
      <c r="BK239" s="55">
        <f>SUM(AY234+BE234+BK234)</f>
        <v>1671.3200000000002</v>
      </c>
    </row>
    <row r="240" spans="2:83" x14ac:dyDescent="0.3">
      <c r="G240" s="56" t="s">
        <v>311</v>
      </c>
      <c r="I240" s="7"/>
      <c r="K240" s="57"/>
      <c r="N240" s="7"/>
      <c r="O240" s="7"/>
      <c r="Q240" s="7"/>
      <c r="T240" s="7"/>
      <c r="U240" s="7"/>
      <c r="W240" s="7"/>
      <c r="Z240" s="7"/>
      <c r="AA240" s="7"/>
      <c r="AC240" s="7"/>
      <c r="AD240" s="54"/>
      <c r="AF240" s="7"/>
      <c r="AG240" s="7"/>
      <c r="AI240" s="7"/>
      <c r="AL240" s="1"/>
      <c r="AM240" s="1"/>
      <c r="AO240" s="1"/>
      <c r="AR240" s="1"/>
      <c r="AS240" s="1"/>
      <c r="BE240" s="55">
        <f>+SUM(BB234+BH234+AV234)</f>
        <v>0</v>
      </c>
    </row>
    <row r="241" spans="4:45" x14ac:dyDescent="0.3">
      <c r="G241" s="56" t="s">
        <v>312</v>
      </c>
      <c r="I241" s="7"/>
      <c r="K241" s="7"/>
      <c r="N241" s="7"/>
      <c r="O241" s="7"/>
      <c r="Q241" s="7"/>
      <c r="T241" s="7"/>
      <c r="U241" s="7"/>
      <c r="W241" s="7"/>
      <c r="Z241" s="7"/>
      <c r="AA241" s="7"/>
      <c r="AC241" s="7"/>
      <c r="AD241" s="55"/>
      <c r="AF241" s="7"/>
      <c r="AG241" s="7"/>
      <c r="AI241" s="7"/>
      <c r="AL241" s="1"/>
      <c r="AM241" s="1"/>
      <c r="AO241" s="1"/>
      <c r="AR241" s="1"/>
      <c r="AS241" s="1"/>
    </row>
    <row r="242" spans="4:45" x14ac:dyDescent="0.3">
      <c r="D242" s="56"/>
      <c r="G242" s="56" t="s">
        <v>313</v>
      </c>
      <c r="I242" s="7"/>
      <c r="K242" s="7"/>
      <c r="N242" s="7"/>
      <c r="O242" s="7"/>
      <c r="Q242" s="7"/>
      <c r="T242" s="7"/>
      <c r="U242" s="7"/>
      <c r="W242" s="47"/>
      <c r="Z242" s="47"/>
      <c r="AA242" s="47"/>
      <c r="AC242" s="47"/>
      <c r="AF242" s="7"/>
      <c r="AG242" s="7"/>
      <c r="AI242" s="7"/>
      <c r="AL242" s="1"/>
      <c r="AM242" s="1"/>
      <c r="AO242" s="1"/>
      <c r="AR242" s="1"/>
      <c r="AS242" s="1"/>
    </row>
    <row r="243" spans="4:45" x14ac:dyDescent="0.3">
      <c r="I243" s="7"/>
      <c r="K243" s="7"/>
      <c r="N243" s="7"/>
      <c r="O243" s="7"/>
      <c r="Q243" s="7"/>
      <c r="R243" s="58"/>
      <c r="S243" s="58"/>
      <c r="T243" s="58"/>
      <c r="U243" s="58"/>
      <c r="V243" s="58"/>
      <c r="W243" s="58"/>
      <c r="X243" s="58"/>
      <c r="Z243" s="7"/>
      <c r="AA243" s="7"/>
      <c r="AC243" s="7"/>
      <c r="AF243" s="7"/>
      <c r="AG243" s="7"/>
      <c r="AI243" s="7"/>
      <c r="AL243" s="1"/>
      <c r="AM243" s="1"/>
      <c r="AO243" s="1"/>
      <c r="AR243" s="1"/>
      <c r="AS243" s="1"/>
    </row>
    <row r="244" spans="4:45" x14ac:dyDescent="0.3">
      <c r="I244" s="7"/>
      <c r="K244" s="7"/>
      <c r="N244" s="7"/>
      <c r="O244" s="7"/>
      <c r="Q244" s="7"/>
      <c r="R244" s="58"/>
      <c r="S244" s="58"/>
      <c r="T244" s="58"/>
      <c r="U244" s="58"/>
      <c r="V244" s="58"/>
      <c r="W244" s="58"/>
      <c r="X244" s="58"/>
      <c r="Z244" s="7"/>
      <c r="AA244" s="7"/>
      <c r="AC244" s="7"/>
      <c r="AF244" s="7"/>
      <c r="AG244" s="7"/>
      <c r="AI244" s="7"/>
      <c r="AL244" s="1"/>
      <c r="AM244" s="1"/>
      <c r="AO244" s="1"/>
      <c r="AR244" s="1"/>
      <c r="AS244" s="1"/>
    </row>
    <row r="245" spans="4:45" x14ac:dyDescent="0.3">
      <c r="D245" s="56"/>
      <c r="E245" s="56"/>
      <c r="F245" s="56"/>
      <c r="G245" s="56"/>
      <c r="I245" s="7"/>
      <c r="K245" s="7"/>
      <c r="N245" s="7"/>
      <c r="O245" s="7"/>
      <c r="Q245" s="7"/>
      <c r="T245" s="7"/>
      <c r="U245" s="7"/>
      <c r="W245" s="7"/>
      <c r="Z245" s="7"/>
      <c r="AA245" s="7"/>
      <c r="AC245" s="7"/>
      <c r="AF245" s="7"/>
      <c r="AG245" s="7"/>
      <c r="AI245" s="7"/>
      <c r="AL245" s="1"/>
      <c r="AM245" s="1"/>
      <c r="AO245" s="1"/>
      <c r="AR245" s="1"/>
      <c r="AS245" s="1"/>
    </row>
    <row r="246" spans="4:45" x14ac:dyDescent="0.3">
      <c r="I246" s="7"/>
      <c r="K246" s="7"/>
      <c r="N246" s="7"/>
      <c r="O246" s="7"/>
      <c r="Q246" s="7"/>
      <c r="T246" s="7"/>
      <c r="U246" s="7"/>
      <c r="W246" s="7"/>
      <c r="Z246" s="7"/>
      <c r="AA246" s="7"/>
      <c r="AC246" s="7"/>
      <c r="AF246" s="7"/>
      <c r="AG246" s="7"/>
      <c r="AI246" s="7"/>
      <c r="AL246" s="1"/>
      <c r="AM246" s="1"/>
      <c r="AO246" s="1"/>
      <c r="AR246" s="1"/>
      <c r="AS246" s="1"/>
    </row>
    <row r="247" spans="4:45" x14ac:dyDescent="0.3">
      <c r="I247" s="7"/>
      <c r="K247" s="7"/>
      <c r="N247" s="7"/>
      <c r="O247" s="7"/>
      <c r="Q247" s="7"/>
      <c r="T247" s="7"/>
      <c r="U247" s="7"/>
      <c r="W247" s="7"/>
      <c r="Z247" s="7"/>
      <c r="AA247" s="7"/>
      <c r="AC247" s="7"/>
      <c r="AF247" s="7"/>
      <c r="AG247" s="7"/>
      <c r="AI247" s="7"/>
      <c r="AL247" s="1"/>
      <c r="AM247" s="1"/>
      <c r="AO247" s="1"/>
      <c r="AR247" s="1"/>
      <c r="AS247" s="1"/>
    </row>
    <row r="248" spans="4:45" x14ac:dyDescent="0.3">
      <c r="D248" s="56"/>
      <c r="E248" s="56"/>
      <c r="F248" s="56"/>
      <c r="G248" s="56"/>
      <c r="I248" s="7"/>
      <c r="K248" s="7"/>
      <c r="N248" s="7"/>
      <c r="O248" s="7"/>
      <c r="Q248" s="7"/>
      <c r="T248" s="7"/>
      <c r="U248" s="7"/>
      <c r="W248" s="7"/>
      <c r="Z248" s="7"/>
      <c r="AA248" s="7"/>
      <c r="AC248" s="7"/>
      <c r="AF248" s="7"/>
      <c r="AG248" s="7"/>
      <c r="AI248" s="7"/>
      <c r="AL248" s="1"/>
      <c r="AM248" s="1"/>
      <c r="AO248" s="1"/>
      <c r="AR248" s="1"/>
      <c r="AS248" s="1"/>
    </row>
    <row r="249" spans="4:45" x14ac:dyDescent="0.3">
      <c r="I249" s="7"/>
      <c r="K249" s="7"/>
      <c r="N249" s="7"/>
      <c r="O249" s="7"/>
      <c r="Q249" s="7"/>
      <c r="T249" s="7"/>
      <c r="U249" s="7"/>
      <c r="W249" s="7"/>
      <c r="Z249" s="7"/>
      <c r="AA249" s="7"/>
      <c r="AC249" s="7"/>
      <c r="AF249" s="7"/>
      <c r="AG249" s="7"/>
      <c r="AI249" s="7"/>
      <c r="AL249" s="1"/>
      <c r="AM249" s="1"/>
      <c r="AO249" s="1"/>
      <c r="AR249" s="1"/>
      <c r="AS249" s="1"/>
    </row>
    <row r="250" spans="4:45" x14ac:dyDescent="0.3">
      <c r="I250" s="7"/>
      <c r="K250" s="7"/>
      <c r="N250" s="7"/>
      <c r="O250" s="7"/>
      <c r="Q250" s="7"/>
      <c r="T250" s="7"/>
      <c r="U250" s="7"/>
      <c r="W250" s="7"/>
      <c r="Z250" s="7"/>
      <c r="AA250" s="7"/>
      <c r="AC250" s="7"/>
      <c r="AF250" s="7"/>
      <c r="AG250" s="7"/>
      <c r="AI250" s="7"/>
      <c r="AL250" s="1"/>
      <c r="AM250" s="1"/>
      <c r="AO250" s="1"/>
      <c r="AR250" s="1"/>
      <c r="AS250" s="1"/>
    </row>
    <row r="251" spans="4:45" x14ac:dyDescent="0.3">
      <c r="I251" s="7"/>
      <c r="K251" s="7"/>
      <c r="N251" s="7"/>
      <c r="O251" s="7"/>
      <c r="Q251" s="7"/>
      <c r="T251" s="7"/>
      <c r="U251" s="7"/>
      <c r="W251" s="7"/>
      <c r="Z251" s="7"/>
      <c r="AA251" s="7"/>
      <c r="AC251" s="7"/>
      <c r="AF251" s="7"/>
      <c r="AG251" s="7"/>
      <c r="AI251" s="7"/>
      <c r="AL251" s="1"/>
      <c r="AM251" s="1"/>
      <c r="AO251" s="1"/>
      <c r="AR251" s="1"/>
      <c r="AS251" s="1"/>
    </row>
    <row r="252" spans="4:45" x14ac:dyDescent="0.3">
      <c r="I252" s="7"/>
      <c r="K252" s="7"/>
      <c r="N252" s="7"/>
      <c r="O252" s="7"/>
      <c r="Q252" s="7"/>
      <c r="T252" s="7"/>
      <c r="U252" s="7"/>
      <c r="W252" s="7"/>
      <c r="Z252" s="7"/>
      <c r="AA252" s="7"/>
      <c r="AC252" s="7"/>
      <c r="AF252" s="7"/>
      <c r="AG252" s="7"/>
      <c r="AI252" s="7"/>
      <c r="AL252" s="1"/>
      <c r="AM252" s="1"/>
      <c r="AO252" s="1"/>
      <c r="AR252" s="1"/>
      <c r="AS252" s="1"/>
    </row>
    <row r="253" spans="4:45" x14ac:dyDescent="0.3">
      <c r="I253" s="7"/>
      <c r="K253" s="7"/>
      <c r="N253" s="7"/>
      <c r="O253" s="7"/>
      <c r="Q253" s="7"/>
      <c r="T253" s="7"/>
      <c r="U253" s="7"/>
      <c r="W253" s="7"/>
      <c r="Z253" s="7"/>
      <c r="AA253" s="7"/>
      <c r="AC253" s="7"/>
      <c r="AF253" s="7"/>
      <c r="AG253" s="7"/>
      <c r="AI253" s="7"/>
      <c r="AL253" s="1"/>
      <c r="AM253" s="1"/>
      <c r="AO253" s="1"/>
      <c r="AR253" s="1"/>
      <c r="AS253" s="1"/>
    </row>
    <row r="254" spans="4:45" x14ac:dyDescent="0.3">
      <c r="I254" s="7"/>
      <c r="K254" s="7"/>
      <c r="N254" s="7"/>
      <c r="O254" s="7"/>
      <c r="Q254" s="7"/>
      <c r="T254" s="7"/>
      <c r="U254" s="7"/>
      <c r="W254" s="7"/>
      <c r="Z254" s="7"/>
      <c r="AA254" s="7"/>
      <c r="AC254" s="7"/>
      <c r="AF254" s="7"/>
      <c r="AG254" s="7"/>
      <c r="AI254" s="7"/>
      <c r="AL254" s="1"/>
      <c r="AM254" s="1"/>
      <c r="AO254" s="1"/>
      <c r="AR254" s="1"/>
      <c r="AS254" s="1"/>
    </row>
    <row r="255" spans="4:45" x14ac:dyDescent="0.3">
      <c r="I255" s="7"/>
      <c r="K255" s="7"/>
      <c r="N255" s="7"/>
      <c r="O255" s="7"/>
      <c r="Q255" s="7"/>
      <c r="T255" s="7"/>
      <c r="U255" s="7"/>
      <c r="W255" s="7"/>
      <c r="Z255" s="7"/>
      <c r="AA255" s="7"/>
      <c r="AC255" s="7"/>
      <c r="AF255" s="7"/>
      <c r="AG255" s="7"/>
      <c r="AI255" s="7"/>
      <c r="AL255" s="1"/>
      <c r="AM255" s="1"/>
      <c r="AO255" s="1"/>
      <c r="AR255" s="1"/>
      <c r="AS255" s="1"/>
    </row>
    <row r="256" spans="4:45" x14ac:dyDescent="0.3">
      <c r="I256" s="7"/>
      <c r="K256" s="7"/>
      <c r="N256" s="7"/>
      <c r="O256" s="7"/>
      <c r="Q256" s="7"/>
      <c r="T256" s="7"/>
      <c r="U256" s="7"/>
      <c r="W256" s="7"/>
      <c r="Z256" s="7"/>
      <c r="AA256" s="7"/>
      <c r="AC256" s="7"/>
      <c r="AF256" s="7"/>
      <c r="AG256" s="7"/>
      <c r="AI256" s="7"/>
      <c r="AL256" s="1"/>
      <c r="AM256" s="1"/>
      <c r="AO256" s="1"/>
      <c r="AR256" s="1"/>
      <c r="AS256" s="1"/>
    </row>
    <row r="257" spans="9:45" x14ac:dyDescent="0.3">
      <c r="I257" s="7"/>
      <c r="K257" s="7"/>
      <c r="N257" s="7"/>
      <c r="O257" s="7"/>
      <c r="Q257" s="7"/>
      <c r="T257" s="7"/>
      <c r="U257" s="7"/>
      <c r="W257" s="7"/>
      <c r="Z257" s="7"/>
      <c r="AA257" s="7"/>
      <c r="AC257" s="7"/>
      <c r="AF257" s="7"/>
      <c r="AG257" s="7"/>
      <c r="AI257" s="7"/>
      <c r="AL257" s="1"/>
      <c r="AM257" s="1"/>
      <c r="AO257" s="1"/>
      <c r="AR257" s="1"/>
      <c r="AS257" s="1"/>
    </row>
    <row r="258" spans="9:45" x14ac:dyDescent="0.3">
      <c r="I258" s="7"/>
      <c r="K258" s="7"/>
      <c r="N258" s="7"/>
      <c r="O258" s="7"/>
      <c r="Q258" s="7"/>
      <c r="T258" s="7"/>
      <c r="U258" s="7"/>
      <c r="W258" s="7"/>
      <c r="Z258" s="7"/>
      <c r="AA258" s="7"/>
      <c r="AC258" s="7"/>
      <c r="AF258" s="7"/>
      <c r="AG258" s="7"/>
      <c r="AI258" s="7"/>
      <c r="AL258" s="1"/>
      <c r="AM258" s="1"/>
      <c r="AO258" s="1"/>
      <c r="AR258" s="1"/>
      <c r="AS258" s="1"/>
    </row>
    <row r="259" spans="9:45" x14ac:dyDescent="0.3">
      <c r="I259" s="7"/>
      <c r="K259" s="7"/>
      <c r="N259" s="7"/>
      <c r="O259" s="7"/>
      <c r="Q259" s="7"/>
      <c r="T259" s="7"/>
      <c r="U259" s="7"/>
      <c r="W259" s="7"/>
      <c r="Z259" s="7"/>
      <c r="AA259" s="7"/>
      <c r="AC259" s="7"/>
      <c r="AF259" s="7"/>
      <c r="AG259" s="7"/>
      <c r="AI259" s="7"/>
      <c r="AL259" s="1"/>
      <c r="AM259" s="1"/>
      <c r="AO259" s="1"/>
      <c r="AR259" s="1"/>
      <c r="AS259" s="1"/>
    </row>
    <row r="260" spans="9:45" x14ac:dyDescent="0.3">
      <c r="I260" s="7"/>
      <c r="K260" s="7"/>
      <c r="N260" s="7"/>
      <c r="O260" s="7"/>
      <c r="Q260" s="7"/>
      <c r="T260" s="7"/>
      <c r="U260" s="7"/>
      <c r="W260" s="7"/>
      <c r="Z260" s="7"/>
      <c r="AA260" s="7"/>
      <c r="AC260" s="7"/>
      <c r="AF260" s="7"/>
      <c r="AG260" s="7"/>
      <c r="AI260" s="7"/>
      <c r="AL260" s="1"/>
      <c r="AM260" s="1"/>
      <c r="AO260" s="1"/>
      <c r="AR260" s="1"/>
      <c r="AS260" s="1"/>
    </row>
    <row r="261" spans="9:45" x14ac:dyDescent="0.3">
      <c r="I261" s="7"/>
      <c r="K261" s="7"/>
      <c r="N261" s="7"/>
      <c r="O261" s="7"/>
      <c r="Q261" s="7"/>
      <c r="T261" s="7"/>
      <c r="U261" s="7"/>
      <c r="W261" s="7"/>
      <c r="Z261" s="7"/>
      <c r="AA261" s="7"/>
      <c r="AC261" s="7"/>
      <c r="AF261" s="7"/>
      <c r="AG261" s="7"/>
      <c r="AI261" s="7"/>
      <c r="AL261" s="1"/>
      <c r="AM261" s="1"/>
      <c r="AO261" s="1"/>
      <c r="AR261" s="1"/>
      <c r="AS261" s="1"/>
    </row>
    <row r="262" spans="9:45" x14ac:dyDescent="0.3">
      <c r="I262" s="7"/>
      <c r="K262" s="7"/>
      <c r="N262" s="7"/>
      <c r="O262" s="7"/>
      <c r="Q262" s="7"/>
      <c r="T262" s="7"/>
      <c r="U262" s="7"/>
      <c r="W262" s="7"/>
      <c r="Z262" s="7"/>
      <c r="AA262" s="7"/>
      <c r="AC262" s="7"/>
      <c r="AF262" s="7"/>
      <c r="AG262" s="7"/>
      <c r="AI262" s="7"/>
      <c r="AL262" s="1"/>
      <c r="AM262" s="1"/>
      <c r="AO262" s="1"/>
      <c r="AR262" s="1"/>
      <c r="AS262" s="1"/>
    </row>
    <row r="263" spans="9:45" x14ac:dyDescent="0.3">
      <c r="I263" s="7"/>
      <c r="K263" s="7"/>
      <c r="N263" s="7"/>
      <c r="O263" s="7"/>
      <c r="Q263" s="7"/>
      <c r="T263" s="7"/>
      <c r="U263" s="7"/>
      <c r="W263" s="7"/>
      <c r="Z263" s="7"/>
      <c r="AA263" s="7"/>
      <c r="AC263" s="7"/>
      <c r="AF263" s="7"/>
      <c r="AG263" s="7"/>
      <c r="AI263" s="7"/>
      <c r="AL263" s="1"/>
      <c r="AM263" s="1"/>
      <c r="AO263" s="1"/>
      <c r="AR263" s="1"/>
      <c r="AS263" s="1"/>
    </row>
    <row r="264" spans="9:45" x14ac:dyDescent="0.3">
      <c r="I264" s="7"/>
      <c r="K264" s="7"/>
      <c r="N264" s="7"/>
      <c r="O264" s="7"/>
      <c r="Q264" s="7"/>
      <c r="T264" s="7"/>
      <c r="U264" s="7"/>
      <c r="W264" s="7"/>
      <c r="Z264" s="7"/>
      <c r="AA264" s="7"/>
      <c r="AC264" s="7"/>
      <c r="AF264" s="7"/>
      <c r="AG264" s="7"/>
      <c r="AI264" s="7"/>
      <c r="AL264" s="1"/>
      <c r="AM264" s="1"/>
      <c r="AO264" s="1"/>
      <c r="AR264" s="1"/>
      <c r="AS264" s="1"/>
    </row>
    <row r="265" spans="9:45" x14ac:dyDescent="0.3">
      <c r="I265" s="7"/>
      <c r="K265" s="7"/>
      <c r="N265" s="7"/>
      <c r="O265" s="7"/>
      <c r="Q265" s="7"/>
      <c r="T265" s="7"/>
      <c r="U265" s="7"/>
      <c r="W265" s="7"/>
      <c r="Z265" s="7"/>
      <c r="AA265" s="7"/>
      <c r="AC265" s="7"/>
      <c r="AF265" s="7"/>
      <c r="AG265" s="7"/>
      <c r="AI265" s="7"/>
      <c r="AL265" s="1"/>
      <c r="AM265" s="1"/>
      <c r="AO265" s="1"/>
      <c r="AR265" s="1"/>
      <c r="AS265" s="1"/>
    </row>
    <row r="266" spans="9:45" x14ac:dyDescent="0.3">
      <c r="I266" s="7"/>
      <c r="K266" s="7"/>
      <c r="N266" s="7"/>
      <c r="O266" s="7"/>
      <c r="Q266" s="7"/>
      <c r="T266" s="7"/>
      <c r="U266" s="7"/>
      <c r="W266" s="7"/>
      <c r="Z266" s="7"/>
      <c r="AA266" s="7"/>
      <c r="AC266" s="7"/>
      <c r="AF266" s="7"/>
      <c r="AG266" s="7"/>
      <c r="AI266" s="7"/>
      <c r="AL266" s="1"/>
      <c r="AM266" s="1"/>
      <c r="AO266" s="1"/>
      <c r="AR266" s="1"/>
      <c r="AS266" s="1"/>
    </row>
    <row r="267" spans="9:45" x14ac:dyDescent="0.3">
      <c r="I267" s="7"/>
      <c r="K267" s="7"/>
      <c r="N267" s="7"/>
      <c r="O267" s="7"/>
      <c r="Q267" s="7"/>
      <c r="T267" s="7"/>
      <c r="U267" s="7"/>
      <c r="W267" s="7"/>
      <c r="Z267" s="7"/>
      <c r="AA267" s="7"/>
      <c r="AC267" s="7"/>
      <c r="AF267" s="7"/>
      <c r="AG267" s="7"/>
      <c r="AI267" s="7"/>
      <c r="AL267" s="1"/>
      <c r="AM267" s="1"/>
      <c r="AO267" s="1"/>
      <c r="AR267" s="1"/>
      <c r="AS267" s="1"/>
    </row>
    <row r="268" spans="9:45" x14ac:dyDescent="0.3">
      <c r="I268" s="7"/>
      <c r="K268" s="7"/>
      <c r="N268" s="7"/>
      <c r="O268" s="7"/>
      <c r="Q268" s="7"/>
      <c r="T268" s="7"/>
      <c r="U268" s="7"/>
      <c r="W268" s="7"/>
      <c r="Z268" s="7"/>
      <c r="AA268" s="7"/>
      <c r="AC268" s="7"/>
      <c r="AF268" s="7"/>
      <c r="AG268" s="7"/>
      <c r="AI268" s="7"/>
      <c r="AL268" s="1"/>
      <c r="AM268" s="1"/>
      <c r="AO268" s="1"/>
      <c r="AR268" s="1"/>
      <c r="AS268" s="1"/>
    </row>
    <row r="269" spans="9:45" x14ac:dyDescent="0.3">
      <c r="I269" s="7"/>
      <c r="K269" s="7"/>
      <c r="N269" s="7"/>
      <c r="O269" s="7"/>
      <c r="Q269" s="7"/>
      <c r="T269" s="7"/>
      <c r="U269" s="7"/>
      <c r="W269" s="7"/>
      <c r="Z269" s="7"/>
      <c r="AA269" s="7"/>
      <c r="AC269" s="7"/>
      <c r="AF269" s="7"/>
      <c r="AG269" s="7"/>
      <c r="AI269" s="7"/>
      <c r="AL269" s="1"/>
      <c r="AM269" s="1"/>
      <c r="AO269" s="1"/>
      <c r="AR269" s="1"/>
      <c r="AS269" s="1"/>
    </row>
    <row r="270" spans="9:45" x14ac:dyDescent="0.3">
      <c r="I270" s="7"/>
      <c r="K270" s="7"/>
      <c r="N270" s="7"/>
      <c r="O270" s="7"/>
      <c r="Q270" s="7"/>
      <c r="T270" s="7"/>
      <c r="U270" s="7"/>
      <c r="W270" s="7"/>
      <c r="Z270" s="7"/>
      <c r="AA270" s="7"/>
      <c r="AC270" s="7"/>
      <c r="AF270" s="7"/>
      <c r="AG270" s="7"/>
      <c r="AI270" s="7"/>
      <c r="AL270" s="1"/>
      <c r="AM270" s="1"/>
      <c r="AO270" s="1"/>
      <c r="AR270" s="1"/>
      <c r="AS270" s="1"/>
    </row>
    <row r="271" spans="9:45" x14ac:dyDescent="0.3">
      <c r="I271" s="7"/>
      <c r="K271" s="7"/>
      <c r="N271" s="7"/>
      <c r="O271" s="7"/>
      <c r="Q271" s="7"/>
      <c r="T271" s="7"/>
      <c r="U271" s="7"/>
      <c r="W271" s="7"/>
      <c r="Z271" s="7"/>
      <c r="AA271" s="7"/>
      <c r="AC271" s="7"/>
      <c r="AF271" s="7"/>
      <c r="AG271" s="7"/>
      <c r="AI271" s="7"/>
      <c r="AL271" s="1"/>
      <c r="AM271" s="1"/>
      <c r="AO271" s="1"/>
      <c r="AR271" s="1"/>
      <c r="AS271" s="1"/>
    </row>
    <row r="272" spans="9:45" x14ac:dyDescent="0.3">
      <c r="I272" s="7"/>
      <c r="K272" s="7"/>
      <c r="N272" s="7"/>
      <c r="O272" s="7"/>
      <c r="Q272" s="7"/>
      <c r="T272" s="7"/>
      <c r="U272" s="7"/>
      <c r="W272" s="7"/>
      <c r="Z272" s="7"/>
      <c r="AA272" s="7"/>
      <c r="AC272" s="7"/>
      <c r="AF272" s="7"/>
      <c r="AG272" s="7"/>
      <c r="AI272" s="7"/>
      <c r="AL272" s="1"/>
      <c r="AM272" s="1"/>
      <c r="AO272" s="1"/>
      <c r="AR272" s="1"/>
      <c r="AS272" s="1"/>
    </row>
    <row r="273" spans="9:45" x14ac:dyDescent="0.3">
      <c r="I273" s="7"/>
      <c r="K273" s="7"/>
      <c r="N273" s="7"/>
      <c r="O273" s="7"/>
      <c r="Q273" s="7"/>
      <c r="T273" s="7"/>
      <c r="U273" s="7"/>
      <c r="W273" s="7"/>
      <c r="Z273" s="7"/>
      <c r="AA273" s="7"/>
      <c r="AC273" s="7"/>
      <c r="AF273" s="7"/>
      <c r="AG273" s="7"/>
      <c r="AI273" s="7"/>
      <c r="AL273" s="1"/>
      <c r="AM273" s="1"/>
      <c r="AO273" s="1"/>
      <c r="AR273" s="1"/>
      <c r="AS273" s="1"/>
    </row>
    <row r="274" spans="9:45" x14ac:dyDescent="0.3">
      <c r="I274" s="7"/>
      <c r="K274" s="7"/>
      <c r="N274" s="7"/>
      <c r="O274" s="7"/>
      <c r="Q274" s="7"/>
      <c r="T274" s="7"/>
      <c r="U274" s="7"/>
      <c r="W274" s="7"/>
      <c r="Z274" s="7"/>
      <c r="AA274" s="7"/>
      <c r="AC274" s="7"/>
      <c r="AF274" s="7"/>
      <c r="AG274" s="7"/>
      <c r="AI274" s="7"/>
      <c r="AL274" s="1"/>
      <c r="AM274" s="1"/>
      <c r="AO274" s="1"/>
      <c r="AR274" s="1"/>
      <c r="AS274" s="1"/>
    </row>
    <row r="275" spans="9:45" x14ac:dyDescent="0.3">
      <c r="I275" s="7"/>
      <c r="K275" s="7"/>
      <c r="N275" s="7"/>
      <c r="O275" s="7"/>
      <c r="Q275" s="7"/>
      <c r="T275" s="7"/>
      <c r="U275" s="7"/>
      <c r="W275" s="7"/>
      <c r="Z275" s="7"/>
      <c r="AA275" s="7"/>
      <c r="AC275" s="7"/>
      <c r="AF275" s="7"/>
      <c r="AG275" s="7"/>
      <c r="AI275" s="7"/>
      <c r="AL275" s="1"/>
      <c r="AM275" s="1"/>
      <c r="AO275" s="1"/>
      <c r="AR275" s="1"/>
      <c r="AS275" s="1"/>
    </row>
    <row r="276" spans="9:45" x14ac:dyDescent="0.3">
      <c r="I276" s="7"/>
      <c r="K276" s="7"/>
      <c r="N276" s="7"/>
      <c r="O276" s="7"/>
      <c r="Q276" s="7"/>
      <c r="T276" s="7"/>
      <c r="U276" s="7"/>
      <c r="W276" s="7"/>
      <c r="Z276" s="7"/>
      <c r="AA276" s="7"/>
      <c r="AC276" s="7"/>
      <c r="AF276" s="7"/>
      <c r="AG276" s="7"/>
      <c r="AI276" s="7"/>
      <c r="AL276" s="1"/>
      <c r="AM276" s="1"/>
      <c r="AO276" s="1"/>
      <c r="AR276" s="1"/>
      <c r="AS276" s="1"/>
    </row>
    <row r="277" spans="9:45" x14ac:dyDescent="0.3">
      <c r="I277" s="7"/>
      <c r="K277" s="7"/>
      <c r="N277" s="7"/>
      <c r="O277" s="7"/>
      <c r="Q277" s="7"/>
      <c r="T277" s="7"/>
      <c r="U277" s="7"/>
      <c r="W277" s="7"/>
      <c r="Z277" s="7"/>
      <c r="AA277" s="7"/>
      <c r="AC277" s="7"/>
      <c r="AF277" s="7"/>
      <c r="AG277" s="7"/>
      <c r="AI277" s="7"/>
      <c r="AL277" s="1"/>
      <c r="AM277" s="1"/>
      <c r="AO277" s="1"/>
      <c r="AR277" s="1"/>
      <c r="AS277" s="1"/>
    </row>
    <row r="278" spans="9:45" x14ac:dyDescent="0.3">
      <c r="I278" s="7"/>
      <c r="K278" s="7"/>
      <c r="N278" s="7"/>
      <c r="O278" s="7"/>
      <c r="Q278" s="7"/>
      <c r="T278" s="7"/>
      <c r="U278" s="7"/>
      <c r="W278" s="7"/>
      <c r="Z278" s="7"/>
      <c r="AA278" s="7"/>
      <c r="AC278" s="7"/>
      <c r="AF278" s="7"/>
      <c r="AG278" s="7"/>
      <c r="AI278" s="7"/>
      <c r="AL278" s="1"/>
      <c r="AM278" s="1"/>
      <c r="AO278" s="1"/>
      <c r="AR278" s="1"/>
      <c r="AS278" s="1"/>
    </row>
    <row r="279" spans="9:45" x14ac:dyDescent="0.3">
      <c r="I279" s="7"/>
      <c r="K279" s="7"/>
      <c r="N279" s="7"/>
      <c r="O279" s="7"/>
      <c r="Q279" s="7"/>
      <c r="T279" s="7"/>
      <c r="U279" s="7"/>
      <c r="W279" s="7"/>
      <c r="Z279" s="7"/>
      <c r="AA279" s="7"/>
      <c r="AC279" s="7"/>
      <c r="AF279" s="7"/>
      <c r="AG279" s="7"/>
      <c r="AI279" s="7"/>
      <c r="AL279" s="1"/>
      <c r="AM279" s="1"/>
      <c r="AO279" s="1"/>
      <c r="AR279" s="1"/>
      <c r="AS279" s="1"/>
    </row>
    <row r="280" spans="9:45" x14ac:dyDescent="0.3">
      <c r="I280" s="7"/>
      <c r="K280" s="7"/>
      <c r="N280" s="7"/>
      <c r="O280" s="7"/>
      <c r="Q280" s="7"/>
      <c r="T280" s="7"/>
      <c r="U280" s="7"/>
      <c r="W280" s="7"/>
      <c r="Z280" s="7"/>
      <c r="AA280" s="7"/>
      <c r="AC280" s="7"/>
      <c r="AF280" s="7"/>
      <c r="AG280" s="7"/>
      <c r="AI280" s="7"/>
      <c r="AL280" s="1"/>
      <c r="AM280" s="1"/>
      <c r="AO280" s="1"/>
      <c r="AR280" s="1"/>
      <c r="AS280" s="1"/>
    </row>
    <row r="281" spans="9:45" x14ac:dyDescent="0.3">
      <c r="I281" s="7"/>
      <c r="K281" s="7"/>
      <c r="N281" s="7"/>
      <c r="O281" s="7"/>
      <c r="Q281" s="7"/>
      <c r="T281" s="7"/>
      <c r="U281" s="7"/>
      <c r="W281" s="7"/>
      <c r="Z281" s="7"/>
      <c r="AA281" s="7"/>
      <c r="AC281" s="7"/>
      <c r="AF281" s="7"/>
      <c r="AG281" s="7"/>
      <c r="AI281" s="7"/>
      <c r="AL281" s="1"/>
      <c r="AM281" s="1"/>
      <c r="AO281" s="1"/>
      <c r="AR281" s="1"/>
      <c r="AS281" s="1"/>
    </row>
    <row r="282" spans="9:45" x14ac:dyDescent="0.3">
      <c r="I282" s="7"/>
      <c r="K282" s="7"/>
      <c r="N282" s="7"/>
      <c r="O282" s="7"/>
      <c r="Q282" s="7"/>
      <c r="T282" s="7"/>
      <c r="U282" s="7"/>
      <c r="W282" s="7"/>
      <c r="Z282" s="7"/>
      <c r="AA282" s="7"/>
      <c r="AC282" s="7"/>
      <c r="AF282" s="7"/>
      <c r="AG282" s="7"/>
      <c r="AI282" s="7"/>
      <c r="AL282" s="1"/>
      <c r="AM282" s="1"/>
      <c r="AO282" s="1"/>
      <c r="AR282" s="1"/>
      <c r="AS282" s="1"/>
    </row>
    <row r="283" spans="9:45" x14ac:dyDescent="0.3">
      <c r="I283" s="7"/>
      <c r="K283" s="7"/>
      <c r="N283" s="7"/>
      <c r="O283" s="7"/>
      <c r="Q283" s="7"/>
      <c r="T283" s="7"/>
      <c r="U283" s="7"/>
      <c r="W283" s="7"/>
      <c r="Z283" s="7"/>
      <c r="AA283" s="7"/>
      <c r="AC283" s="7"/>
      <c r="AF283" s="7"/>
      <c r="AG283" s="7"/>
      <c r="AI283" s="7"/>
      <c r="AL283" s="1"/>
      <c r="AM283" s="1"/>
      <c r="AO283" s="1"/>
      <c r="AR283" s="1"/>
      <c r="AS283" s="1"/>
    </row>
    <row r="284" spans="9:45" x14ac:dyDescent="0.3">
      <c r="I284" s="7"/>
      <c r="K284" s="7"/>
      <c r="N284" s="7"/>
      <c r="O284" s="7"/>
      <c r="Q284" s="7"/>
      <c r="T284" s="7"/>
      <c r="U284" s="7"/>
      <c r="W284" s="7"/>
      <c r="Z284" s="7"/>
      <c r="AA284" s="7"/>
      <c r="AC284" s="7"/>
      <c r="AF284" s="7"/>
      <c r="AG284" s="7"/>
      <c r="AI284" s="7"/>
      <c r="AL284" s="1"/>
      <c r="AM284" s="1"/>
      <c r="AO284" s="1"/>
      <c r="AR284" s="1"/>
      <c r="AS284" s="1"/>
    </row>
    <row r="285" spans="9:45" x14ac:dyDescent="0.3">
      <c r="I285" s="7"/>
      <c r="K285" s="7"/>
      <c r="N285" s="7"/>
      <c r="O285" s="7"/>
      <c r="Q285" s="7"/>
      <c r="T285" s="7"/>
      <c r="U285" s="7"/>
      <c r="W285" s="7"/>
      <c r="Z285" s="7"/>
      <c r="AA285" s="7"/>
      <c r="AC285" s="7"/>
      <c r="AF285" s="7"/>
      <c r="AG285" s="7"/>
      <c r="AI285" s="7"/>
      <c r="AL285" s="1"/>
      <c r="AM285" s="1"/>
      <c r="AO285" s="1"/>
      <c r="AR285" s="1"/>
      <c r="AS285" s="1"/>
    </row>
    <row r="286" spans="9:45" x14ac:dyDescent="0.3">
      <c r="I286" s="7"/>
      <c r="K286" s="7"/>
      <c r="N286" s="7"/>
      <c r="O286" s="7"/>
      <c r="Q286" s="7"/>
      <c r="T286" s="7"/>
      <c r="U286" s="7"/>
      <c r="W286" s="7"/>
      <c r="Z286" s="7"/>
      <c r="AA286" s="7"/>
      <c r="AC286" s="7"/>
      <c r="AF286" s="7"/>
      <c r="AG286" s="7"/>
      <c r="AI286" s="7"/>
      <c r="AL286" s="1"/>
      <c r="AM286" s="1"/>
      <c r="AO286" s="1"/>
      <c r="AR286" s="1"/>
      <c r="AS286" s="1"/>
    </row>
    <row r="287" spans="9:45" x14ac:dyDescent="0.3">
      <c r="I287" s="7"/>
      <c r="K287" s="7"/>
      <c r="N287" s="7"/>
      <c r="O287" s="7"/>
      <c r="Q287" s="7"/>
      <c r="T287" s="7"/>
      <c r="U287" s="7"/>
      <c r="W287" s="7"/>
      <c r="Z287" s="7"/>
      <c r="AA287" s="7"/>
      <c r="AC287" s="7"/>
      <c r="AF287" s="7"/>
      <c r="AG287" s="7"/>
      <c r="AI287" s="7"/>
      <c r="AL287" s="1"/>
      <c r="AM287" s="1"/>
      <c r="AO287" s="1"/>
      <c r="AR287" s="1"/>
      <c r="AS287" s="1"/>
    </row>
    <row r="288" spans="9:45" x14ac:dyDescent="0.3">
      <c r="I288" s="7"/>
      <c r="K288" s="7"/>
      <c r="N288" s="7"/>
      <c r="O288" s="7"/>
      <c r="Q288" s="7"/>
      <c r="T288" s="7"/>
      <c r="U288" s="7"/>
      <c r="W288" s="7"/>
      <c r="Z288" s="7"/>
      <c r="AA288" s="7"/>
      <c r="AC288" s="7"/>
      <c r="AF288" s="7"/>
      <c r="AG288" s="7"/>
      <c r="AI288" s="7"/>
      <c r="AL288" s="1"/>
      <c r="AM288" s="1"/>
      <c r="AO288" s="1"/>
      <c r="AR288" s="1"/>
      <c r="AS288" s="1"/>
    </row>
    <row r="289" spans="9:45" x14ac:dyDescent="0.3">
      <c r="I289" s="7"/>
      <c r="K289" s="7"/>
      <c r="N289" s="7"/>
      <c r="O289" s="7"/>
      <c r="Q289" s="7"/>
      <c r="T289" s="7"/>
      <c r="U289" s="7"/>
      <c r="W289" s="7"/>
      <c r="Z289" s="7"/>
      <c r="AA289" s="7"/>
      <c r="AC289" s="7"/>
      <c r="AF289" s="7"/>
      <c r="AG289" s="7"/>
      <c r="AI289" s="7"/>
      <c r="AL289" s="1"/>
      <c r="AM289" s="1"/>
      <c r="AO289" s="1"/>
      <c r="AR289" s="1"/>
      <c r="AS289" s="1"/>
    </row>
    <row r="290" spans="9:45" x14ac:dyDescent="0.3">
      <c r="I290" s="7"/>
      <c r="K290" s="7"/>
      <c r="N290" s="7"/>
      <c r="O290" s="7"/>
      <c r="Q290" s="7"/>
      <c r="T290" s="7"/>
      <c r="U290" s="7"/>
      <c r="W290" s="7"/>
      <c r="Z290" s="7"/>
      <c r="AA290" s="7"/>
      <c r="AC290" s="7"/>
      <c r="AF290" s="7"/>
      <c r="AG290" s="7"/>
      <c r="AI290" s="7"/>
      <c r="AL290" s="1"/>
      <c r="AM290" s="1"/>
      <c r="AO290" s="1"/>
      <c r="AR290" s="1"/>
      <c r="AS290" s="1"/>
    </row>
    <row r="291" spans="9:45" x14ac:dyDescent="0.3">
      <c r="I291" s="7"/>
      <c r="K291" s="7"/>
      <c r="N291" s="7"/>
      <c r="O291" s="7"/>
      <c r="Q291" s="7"/>
      <c r="T291" s="7"/>
      <c r="U291" s="7"/>
      <c r="W291" s="7"/>
      <c r="Z291" s="7"/>
      <c r="AA291" s="7"/>
      <c r="AC291" s="7"/>
      <c r="AF291" s="7"/>
      <c r="AG291" s="7"/>
      <c r="AI291" s="7"/>
      <c r="AL291" s="1"/>
      <c r="AM291" s="1"/>
      <c r="AO291" s="1"/>
      <c r="AR291" s="1"/>
      <c r="AS291" s="1"/>
    </row>
    <row r="292" spans="9:45" x14ac:dyDescent="0.3">
      <c r="I292" s="7"/>
      <c r="K292" s="7"/>
      <c r="N292" s="7"/>
      <c r="O292" s="7"/>
      <c r="Q292" s="7"/>
      <c r="T292" s="7"/>
      <c r="U292" s="7"/>
      <c r="W292" s="7"/>
      <c r="Z292" s="7"/>
      <c r="AA292" s="7"/>
      <c r="AC292" s="7"/>
      <c r="AF292" s="7"/>
      <c r="AG292" s="7"/>
      <c r="AI292" s="7"/>
      <c r="AL292" s="1"/>
      <c r="AM292" s="1"/>
      <c r="AO292" s="1"/>
      <c r="AR292" s="1"/>
      <c r="AS292" s="1"/>
    </row>
    <row r="293" spans="9:45" x14ac:dyDescent="0.3">
      <c r="I293" s="7"/>
      <c r="K293" s="7"/>
      <c r="N293" s="7"/>
      <c r="O293" s="7"/>
      <c r="Q293" s="7"/>
      <c r="T293" s="7"/>
      <c r="U293" s="7"/>
      <c r="W293" s="7"/>
      <c r="Z293" s="7"/>
      <c r="AA293" s="7"/>
      <c r="AC293" s="7"/>
      <c r="AF293" s="7"/>
      <c r="AG293" s="7"/>
      <c r="AI293" s="7"/>
      <c r="AL293" s="1"/>
      <c r="AM293" s="1"/>
      <c r="AO293" s="1"/>
      <c r="AR293" s="1"/>
      <c r="AS293" s="1"/>
    </row>
    <row r="294" spans="9:45" x14ac:dyDescent="0.3">
      <c r="I294" s="7"/>
      <c r="K294" s="7"/>
      <c r="N294" s="7"/>
      <c r="O294" s="7"/>
      <c r="Q294" s="7"/>
      <c r="T294" s="7"/>
      <c r="U294" s="7"/>
      <c r="W294" s="7"/>
      <c r="Z294" s="7"/>
      <c r="AA294" s="7"/>
      <c r="AC294" s="7"/>
      <c r="AF294" s="7"/>
      <c r="AG294" s="7"/>
      <c r="AI294" s="7"/>
      <c r="AL294" s="1"/>
      <c r="AM294" s="1"/>
      <c r="AO294" s="1"/>
      <c r="AR294" s="1"/>
      <c r="AS294" s="1"/>
    </row>
    <row r="295" spans="9:45" x14ac:dyDescent="0.3">
      <c r="I295" s="7"/>
      <c r="K295" s="7"/>
      <c r="N295" s="7"/>
      <c r="O295" s="7"/>
      <c r="Q295" s="7"/>
      <c r="T295" s="7"/>
      <c r="U295" s="7"/>
      <c r="W295" s="7"/>
      <c r="Z295" s="7"/>
      <c r="AA295" s="7"/>
      <c r="AC295" s="7"/>
      <c r="AF295" s="7"/>
      <c r="AG295" s="7"/>
      <c r="AI295" s="7"/>
      <c r="AL295" s="1"/>
      <c r="AM295" s="1"/>
      <c r="AO295" s="1"/>
      <c r="AR295" s="1"/>
      <c r="AS295" s="1"/>
    </row>
    <row r="296" spans="9:45" x14ac:dyDescent="0.3">
      <c r="I296" s="7"/>
      <c r="K296" s="7"/>
      <c r="N296" s="7"/>
      <c r="O296" s="7"/>
      <c r="Q296" s="7"/>
      <c r="T296" s="7"/>
      <c r="U296" s="7"/>
      <c r="W296" s="7"/>
      <c r="Z296" s="7"/>
      <c r="AA296" s="7"/>
      <c r="AC296" s="7"/>
      <c r="AF296" s="7"/>
      <c r="AG296" s="7"/>
      <c r="AI296" s="7"/>
      <c r="AL296" s="1"/>
      <c r="AM296" s="1"/>
      <c r="AO296" s="1"/>
      <c r="AR296" s="1"/>
      <c r="AS296" s="1"/>
    </row>
    <row r="297" spans="9:45" x14ac:dyDescent="0.3">
      <c r="I297" s="7"/>
      <c r="K297" s="7"/>
      <c r="N297" s="7"/>
      <c r="O297" s="7"/>
      <c r="Q297" s="7"/>
      <c r="T297" s="7"/>
      <c r="U297" s="7"/>
      <c r="W297" s="7"/>
      <c r="Z297" s="7"/>
      <c r="AA297" s="7"/>
      <c r="AC297" s="7"/>
      <c r="AF297" s="7"/>
      <c r="AG297" s="7"/>
      <c r="AI297" s="7"/>
      <c r="AL297" s="1"/>
      <c r="AM297" s="1"/>
      <c r="AO297" s="1"/>
      <c r="AR297" s="1"/>
      <c r="AS297" s="1"/>
    </row>
    <row r="298" spans="9:45" x14ac:dyDescent="0.3">
      <c r="I298" s="7"/>
      <c r="K298" s="7"/>
      <c r="N298" s="7"/>
      <c r="O298" s="7"/>
      <c r="Q298" s="7"/>
      <c r="T298" s="7"/>
      <c r="U298" s="7"/>
      <c r="W298" s="7"/>
      <c r="Z298" s="7"/>
      <c r="AA298" s="7"/>
      <c r="AC298" s="7"/>
      <c r="AF298" s="7"/>
      <c r="AG298" s="7"/>
      <c r="AI298" s="7"/>
      <c r="AL298" s="1"/>
      <c r="AM298" s="1"/>
      <c r="AO298" s="1"/>
      <c r="AR298" s="1"/>
      <c r="AS298" s="1"/>
    </row>
    <row r="299" spans="9:45" x14ac:dyDescent="0.3">
      <c r="I299" s="7"/>
      <c r="K299" s="7"/>
      <c r="N299" s="7"/>
      <c r="O299" s="7"/>
      <c r="Q299" s="7"/>
      <c r="T299" s="7"/>
      <c r="U299" s="7"/>
      <c r="W299" s="7"/>
      <c r="Z299" s="7"/>
      <c r="AA299" s="7"/>
      <c r="AC299" s="7"/>
      <c r="AF299" s="7"/>
      <c r="AG299" s="7"/>
      <c r="AI299" s="7"/>
      <c r="AL299" s="1"/>
      <c r="AM299" s="1"/>
      <c r="AO299" s="1"/>
      <c r="AR299" s="1"/>
      <c r="AS299" s="1"/>
    </row>
    <row r="300" spans="9:45" x14ac:dyDescent="0.3">
      <c r="I300" s="7"/>
      <c r="K300" s="7"/>
      <c r="N300" s="7"/>
      <c r="O300" s="7"/>
      <c r="Q300" s="7"/>
      <c r="T300" s="7"/>
      <c r="U300" s="7"/>
      <c r="W300" s="7"/>
      <c r="Z300" s="7"/>
      <c r="AA300" s="7"/>
      <c r="AC300" s="7"/>
      <c r="AF300" s="7"/>
      <c r="AG300" s="7"/>
      <c r="AI300" s="7"/>
      <c r="AL300" s="1"/>
      <c r="AM300" s="1"/>
      <c r="AO300" s="1"/>
      <c r="AR300" s="1"/>
      <c r="AS300" s="1"/>
    </row>
    <row r="301" spans="9:45" x14ac:dyDescent="0.3">
      <c r="I301" s="7"/>
      <c r="K301" s="7"/>
      <c r="N301" s="7"/>
      <c r="O301" s="7"/>
      <c r="Q301" s="7"/>
      <c r="T301" s="7"/>
      <c r="U301" s="7"/>
      <c r="W301" s="7"/>
      <c r="Z301" s="7"/>
      <c r="AA301" s="7"/>
      <c r="AC301" s="7"/>
      <c r="AF301" s="7"/>
      <c r="AG301" s="7"/>
      <c r="AI301" s="7"/>
      <c r="AL301" s="1"/>
      <c r="AM301" s="1"/>
      <c r="AO301" s="1"/>
      <c r="AR301" s="1"/>
      <c r="AS301" s="1"/>
    </row>
    <row r="302" spans="9:45" x14ac:dyDescent="0.3">
      <c r="I302" s="7"/>
      <c r="K302" s="7"/>
      <c r="N302" s="7"/>
      <c r="O302" s="7"/>
      <c r="Q302" s="7"/>
      <c r="T302" s="7"/>
      <c r="U302" s="7"/>
      <c r="W302" s="7"/>
      <c r="Z302" s="7"/>
      <c r="AA302" s="7"/>
      <c r="AC302" s="7"/>
      <c r="AF302" s="7"/>
      <c r="AG302" s="7"/>
      <c r="AI302" s="7"/>
      <c r="AL302" s="1"/>
      <c r="AM302" s="1"/>
      <c r="AO302" s="1"/>
      <c r="AR302" s="1"/>
      <c r="AS302" s="1"/>
    </row>
    <row r="303" spans="9:45" x14ac:dyDescent="0.3">
      <c r="I303" s="7"/>
      <c r="K303" s="7"/>
      <c r="N303" s="7"/>
      <c r="O303" s="7"/>
      <c r="Q303" s="7"/>
      <c r="T303" s="7"/>
      <c r="U303" s="7"/>
      <c r="W303" s="7"/>
      <c r="Z303" s="7"/>
      <c r="AA303" s="7"/>
      <c r="AC303" s="7"/>
      <c r="AF303" s="7"/>
      <c r="AG303" s="7"/>
      <c r="AI303" s="7"/>
      <c r="AL303" s="1"/>
      <c r="AM303" s="1"/>
      <c r="AO303" s="1"/>
      <c r="AR303" s="1"/>
      <c r="AS303" s="1"/>
    </row>
    <row r="304" spans="9:45" x14ac:dyDescent="0.3">
      <c r="I304" s="7"/>
      <c r="K304" s="7"/>
      <c r="N304" s="7"/>
      <c r="O304" s="7"/>
      <c r="Q304" s="7"/>
      <c r="T304" s="7"/>
      <c r="U304" s="7"/>
      <c r="W304" s="7"/>
      <c r="Z304" s="7"/>
      <c r="AA304" s="7"/>
      <c r="AC304" s="7"/>
      <c r="AF304" s="7"/>
      <c r="AG304" s="7"/>
      <c r="AI304" s="7"/>
      <c r="AL304" s="1"/>
      <c r="AM304" s="1"/>
      <c r="AO304" s="1"/>
      <c r="AR304" s="1"/>
      <c r="AS304" s="1"/>
    </row>
    <row r="305" spans="9:45" x14ac:dyDescent="0.3">
      <c r="I305" s="7"/>
      <c r="K305" s="7"/>
      <c r="N305" s="7"/>
      <c r="O305" s="7"/>
      <c r="Q305" s="7"/>
      <c r="T305" s="7"/>
      <c r="U305" s="7"/>
      <c r="W305" s="7"/>
      <c r="Z305" s="7"/>
      <c r="AA305" s="7"/>
      <c r="AC305" s="7"/>
      <c r="AF305" s="7"/>
      <c r="AG305" s="7"/>
      <c r="AI305" s="7"/>
      <c r="AL305" s="1"/>
      <c r="AM305" s="1"/>
      <c r="AO305" s="1"/>
      <c r="AR305" s="1"/>
      <c r="AS305" s="1"/>
    </row>
    <row r="306" spans="9:45" x14ac:dyDescent="0.3">
      <c r="I306" s="7"/>
      <c r="K306" s="7"/>
      <c r="N306" s="7"/>
      <c r="O306" s="7"/>
      <c r="Q306" s="7"/>
      <c r="T306" s="7"/>
      <c r="U306" s="7"/>
      <c r="W306" s="7"/>
      <c r="Z306" s="7"/>
      <c r="AA306" s="7"/>
      <c r="AC306" s="7"/>
      <c r="AF306" s="7"/>
      <c r="AG306" s="7"/>
      <c r="AI306" s="7"/>
      <c r="AL306" s="1"/>
      <c r="AM306" s="1"/>
      <c r="AO306" s="1"/>
      <c r="AR306" s="1"/>
      <c r="AS306" s="1"/>
    </row>
    <row r="307" spans="9:45" x14ac:dyDescent="0.3">
      <c r="I307" s="7"/>
      <c r="K307" s="7"/>
      <c r="N307" s="7"/>
      <c r="O307" s="7"/>
      <c r="Q307" s="7"/>
      <c r="T307" s="7"/>
      <c r="U307" s="7"/>
      <c r="W307" s="7"/>
      <c r="Z307" s="7"/>
      <c r="AA307" s="7"/>
      <c r="AC307" s="7"/>
      <c r="AF307" s="7"/>
      <c r="AG307" s="7"/>
      <c r="AI307" s="7"/>
      <c r="AL307" s="1"/>
      <c r="AM307" s="1"/>
      <c r="AO307" s="1"/>
      <c r="AR307" s="1"/>
      <c r="AS307" s="1"/>
    </row>
    <row r="308" spans="9:45" x14ac:dyDescent="0.3">
      <c r="I308" s="7"/>
      <c r="K308" s="7"/>
      <c r="N308" s="7"/>
      <c r="O308" s="7"/>
      <c r="Q308" s="7"/>
      <c r="T308" s="7"/>
      <c r="U308" s="7"/>
      <c r="W308" s="7"/>
      <c r="Z308" s="7"/>
      <c r="AA308" s="7"/>
      <c r="AC308" s="7"/>
      <c r="AF308" s="7"/>
      <c r="AG308" s="7"/>
      <c r="AI308" s="7"/>
      <c r="AL308" s="1"/>
      <c r="AM308" s="1"/>
      <c r="AO308" s="1"/>
      <c r="AR308" s="1"/>
      <c r="AS308" s="1"/>
    </row>
    <row r="309" spans="9:45" x14ac:dyDescent="0.3">
      <c r="I309" s="7"/>
      <c r="K309" s="7"/>
      <c r="N309" s="7"/>
      <c r="O309" s="7"/>
      <c r="Q309" s="7"/>
      <c r="T309" s="7"/>
      <c r="U309" s="7"/>
      <c r="W309" s="7"/>
      <c r="Z309" s="7"/>
      <c r="AA309" s="7"/>
      <c r="AC309" s="7"/>
      <c r="AF309" s="7"/>
      <c r="AG309" s="7"/>
      <c r="AI309" s="7"/>
      <c r="AL309" s="1"/>
      <c r="AM309" s="1"/>
      <c r="AO309" s="1"/>
      <c r="AR309" s="1"/>
      <c r="AS309" s="1"/>
    </row>
    <row r="310" spans="9:45" x14ac:dyDescent="0.3">
      <c r="I310" s="7"/>
      <c r="K310" s="7"/>
      <c r="N310" s="7"/>
      <c r="O310" s="7"/>
      <c r="Q310" s="7"/>
      <c r="T310" s="7"/>
      <c r="U310" s="7"/>
      <c r="W310" s="7"/>
      <c r="Z310" s="7"/>
      <c r="AA310" s="7"/>
      <c r="AC310" s="7"/>
      <c r="AF310" s="7"/>
      <c r="AG310" s="7"/>
      <c r="AI310" s="7"/>
      <c r="AL310" s="1"/>
      <c r="AM310" s="1"/>
      <c r="AO310" s="1"/>
      <c r="AR310" s="1"/>
      <c r="AS310" s="1"/>
    </row>
    <row r="311" spans="9:45" x14ac:dyDescent="0.3">
      <c r="I311" s="7"/>
      <c r="K311" s="7"/>
      <c r="N311" s="7"/>
      <c r="O311" s="7"/>
      <c r="Q311" s="7"/>
      <c r="T311" s="7"/>
      <c r="U311" s="7"/>
      <c r="W311" s="7"/>
      <c r="Z311" s="7"/>
      <c r="AA311" s="7"/>
      <c r="AC311" s="7"/>
      <c r="AF311" s="7"/>
      <c r="AG311" s="7"/>
      <c r="AI311" s="7"/>
      <c r="AL311" s="1"/>
      <c r="AM311" s="1"/>
      <c r="AO311" s="1"/>
      <c r="AR311" s="1"/>
      <c r="AS311" s="1"/>
    </row>
    <row r="312" spans="9:45" x14ac:dyDescent="0.3">
      <c r="I312" s="7"/>
      <c r="K312" s="7"/>
      <c r="N312" s="7"/>
      <c r="O312" s="7"/>
      <c r="Q312" s="7"/>
      <c r="T312" s="7"/>
      <c r="U312" s="7"/>
      <c r="W312" s="7"/>
      <c r="Z312" s="7"/>
      <c r="AA312" s="7"/>
      <c r="AC312" s="7"/>
      <c r="AF312" s="7"/>
      <c r="AG312" s="7"/>
      <c r="AI312" s="7"/>
      <c r="AL312" s="1"/>
      <c r="AM312" s="1"/>
      <c r="AO312" s="1"/>
      <c r="AR312" s="1"/>
      <c r="AS312" s="1"/>
    </row>
    <row r="313" spans="9:45" x14ac:dyDescent="0.3">
      <c r="I313" s="7"/>
      <c r="K313" s="7"/>
      <c r="N313" s="7"/>
      <c r="O313" s="7"/>
      <c r="Q313" s="7"/>
      <c r="T313" s="7"/>
      <c r="U313" s="7"/>
      <c r="W313" s="7"/>
      <c r="Z313" s="7"/>
      <c r="AA313" s="7"/>
      <c r="AC313" s="7"/>
      <c r="AF313" s="7"/>
      <c r="AG313" s="7"/>
      <c r="AI313" s="7"/>
      <c r="AL313" s="1"/>
      <c r="AM313" s="1"/>
      <c r="AO313" s="1"/>
      <c r="AR313" s="1"/>
      <c r="AS313" s="1"/>
    </row>
    <row r="314" spans="9:45" x14ac:dyDescent="0.3">
      <c r="I314" s="7"/>
      <c r="K314" s="7"/>
      <c r="N314" s="7"/>
      <c r="O314" s="7"/>
      <c r="Q314" s="7"/>
      <c r="T314" s="7"/>
      <c r="U314" s="7"/>
      <c r="W314" s="7"/>
      <c r="Z314" s="7"/>
      <c r="AA314" s="7"/>
      <c r="AC314" s="7"/>
      <c r="AF314" s="7"/>
      <c r="AG314" s="7"/>
      <c r="AI314" s="7"/>
      <c r="AL314" s="1"/>
      <c r="AM314" s="1"/>
      <c r="AO314" s="1"/>
      <c r="AR314" s="1"/>
      <c r="AS314" s="1"/>
    </row>
    <row r="315" spans="9:45" x14ac:dyDescent="0.3">
      <c r="I315" s="7"/>
      <c r="K315" s="7"/>
      <c r="N315" s="7"/>
      <c r="O315" s="7"/>
      <c r="Q315" s="7"/>
      <c r="T315" s="7"/>
      <c r="U315" s="7"/>
      <c r="W315" s="7"/>
      <c r="Z315" s="7"/>
      <c r="AA315" s="7"/>
      <c r="AC315" s="7"/>
      <c r="AF315" s="7"/>
      <c r="AG315" s="7"/>
      <c r="AI315" s="7"/>
      <c r="AL315" s="1"/>
      <c r="AM315" s="1"/>
      <c r="AO315" s="1"/>
      <c r="AR315" s="1"/>
      <c r="AS315" s="1"/>
    </row>
    <row r="316" spans="9:45" x14ac:dyDescent="0.3">
      <c r="I316" s="7"/>
      <c r="K316" s="7"/>
      <c r="N316" s="7"/>
      <c r="O316" s="7"/>
      <c r="Q316" s="7"/>
      <c r="T316" s="7"/>
      <c r="U316" s="7"/>
      <c r="W316" s="7"/>
      <c r="Z316" s="7"/>
      <c r="AA316" s="7"/>
      <c r="AC316" s="7"/>
      <c r="AF316" s="7"/>
      <c r="AG316" s="7"/>
      <c r="AI316" s="7"/>
      <c r="AL316" s="1"/>
      <c r="AM316" s="1"/>
      <c r="AO316" s="1"/>
      <c r="AR316" s="1"/>
      <c r="AS316" s="1"/>
    </row>
    <row r="317" spans="9:45" x14ac:dyDescent="0.3">
      <c r="I317" s="7"/>
      <c r="K317" s="7"/>
      <c r="N317" s="7"/>
      <c r="O317" s="7"/>
      <c r="Q317" s="7"/>
      <c r="T317" s="7"/>
      <c r="U317" s="7"/>
      <c r="W317" s="7"/>
      <c r="Z317" s="7"/>
      <c r="AA317" s="7"/>
      <c r="AC317" s="7"/>
      <c r="AF317" s="7"/>
      <c r="AG317" s="7"/>
      <c r="AI317" s="7"/>
      <c r="AL317" s="1"/>
      <c r="AM317" s="1"/>
      <c r="AO317" s="1"/>
      <c r="AR317" s="1"/>
      <c r="AS317" s="1"/>
    </row>
    <row r="318" spans="9:45" x14ac:dyDescent="0.3">
      <c r="I318" s="7"/>
      <c r="K318" s="7"/>
      <c r="N318" s="7"/>
      <c r="O318" s="7"/>
      <c r="Q318" s="7"/>
      <c r="T318" s="7"/>
      <c r="U318" s="7"/>
      <c r="W318" s="7"/>
      <c r="Z318" s="7"/>
      <c r="AA318" s="7"/>
      <c r="AC318" s="7"/>
      <c r="AF318" s="7"/>
      <c r="AG318" s="7"/>
      <c r="AI318" s="7"/>
      <c r="AL318" s="1"/>
      <c r="AM318" s="1"/>
      <c r="AO318" s="1"/>
      <c r="AR318" s="1"/>
      <c r="AS318" s="1"/>
    </row>
    <row r="319" spans="9:45" x14ac:dyDescent="0.3">
      <c r="I319" s="7"/>
      <c r="K319" s="7"/>
      <c r="N319" s="7"/>
      <c r="O319" s="7"/>
      <c r="Q319" s="7"/>
      <c r="T319" s="7"/>
      <c r="U319" s="7"/>
      <c r="W319" s="7"/>
      <c r="Z319" s="7"/>
      <c r="AA319" s="7"/>
      <c r="AC319" s="7"/>
      <c r="AF319" s="7"/>
      <c r="AG319" s="7"/>
      <c r="AI319" s="7"/>
      <c r="AL319" s="1"/>
      <c r="AM319" s="1"/>
      <c r="AO319" s="1"/>
      <c r="AR319" s="1"/>
      <c r="AS319" s="1"/>
    </row>
    <row r="320" spans="9:45" x14ac:dyDescent="0.3">
      <c r="I320" s="7"/>
      <c r="K320" s="7"/>
      <c r="N320" s="7"/>
      <c r="O320" s="7"/>
      <c r="Q320" s="7"/>
      <c r="T320" s="7"/>
      <c r="U320" s="7"/>
      <c r="W320" s="7"/>
      <c r="Z320" s="7"/>
      <c r="AA320" s="7"/>
      <c r="AC320" s="7"/>
      <c r="AF320" s="7"/>
      <c r="AG320" s="7"/>
      <c r="AI320" s="7"/>
      <c r="AL320" s="1"/>
      <c r="AM320" s="1"/>
      <c r="AO320" s="1"/>
      <c r="AR320" s="1"/>
      <c r="AS320" s="1"/>
    </row>
    <row r="321" spans="9:45" x14ac:dyDescent="0.3">
      <c r="I321" s="7"/>
      <c r="K321" s="7"/>
      <c r="N321" s="7"/>
      <c r="O321" s="7"/>
      <c r="Q321" s="7"/>
      <c r="T321" s="7"/>
      <c r="U321" s="7"/>
      <c r="W321" s="7"/>
      <c r="Z321" s="7"/>
      <c r="AA321" s="7"/>
      <c r="AC321" s="7"/>
      <c r="AF321" s="7"/>
      <c r="AG321" s="7"/>
      <c r="AI321" s="7"/>
      <c r="AL321" s="1"/>
      <c r="AM321" s="1"/>
      <c r="AO321" s="1"/>
      <c r="AR321" s="1"/>
      <c r="AS321" s="1"/>
    </row>
    <row r="322" spans="9:45" x14ac:dyDescent="0.3">
      <c r="I322" s="7"/>
      <c r="K322" s="7"/>
      <c r="N322" s="7"/>
      <c r="O322" s="7"/>
      <c r="Q322" s="7"/>
      <c r="T322" s="7"/>
      <c r="U322" s="7"/>
      <c r="W322" s="7"/>
      <c r="Z322" s="7"/>
      <c r="AA322" s="7"/>
      <c r="AC322" s="7"/>
      <c r="AF322" s="7"/>
      <c r="AG322" s="7"/>
      <c r="AI322" s="7"/>
      <c r="AL322" s="1"/>
      <c r="AM322" s="1"/>
      <c r="AO322" s="1"/>
      <c r="AR322" s="1"/>
      <c r="AS322" s="1"/>
    </row>
    <row r="323" spans="9:45" x14ac:dyDescent="0.3">
      <c r="I323" s="7"/>
      <c r="K323" s="7"/>
      <c r="N323" s="7"/>
      <c r="O323" s="7"/>
      <c r="Q323" s="7"/>
      <c r="T323" s="7"/>
      <c r="U323" s="7"/>
      <c r="W323" s="7"/>
      <c r="Z323" s="7"/>
      <c r="AA323" s="7"/>
      <c r="AC323" s="7"/>
      <c r="AF323" s="7"/>
      <c r="AG323" s="7"/>
      <c r="AI323" s="7"/>
      <c r="AL323" s="1"/>
      <c r="AM323" s="1"/>
      <c r="AO323" s="1"/>
      <c r="AR323" s="1"/>
      <c r="AS323" s="1"/>
    </row>
    <row r="324" spans="9:45" x14ac:dyDescent="0.3">
      <c r="I324" s="7"/>
      <c r="K324" s="7"/>
      <c r="N324" s="7"/>
      <c r="O324" s="7"/>
      <c r="Q324" s="7"/>
      <c r="T324" s="7"/>
      <c r="U324" s="7"/>
      <c r="W324" s="7"/>
      <c r="Z324" s="7"/>
      <c r="AA324" s="7"/>
      <c r="AC324" s="7"/>
      <c r="AF324" s="7"/>
      <c r="AG324" s="7"/>
      <c r="AI324" s="7"/>
      <c r="AL324" s="1"/>
      <c r="AM324" s="1"/>
      <c r="AO324" s="1"/>
      <c r="AR324" s="1"/>
      <c r="AS324" s="1"/>
    </row>
    <row r="325" spans="9:45" x14ac:dyDescent="0.3">
      <c r="I325" s="7"/>
      <c r="K325" s="7"/>
      <c r="N325" s="7"/>
      <c r="O325" s="7"/>
      <c r="Q325" s="7"/>
      <c r="T325" s="7"/>
      <c r="U325" s="7"/>
      <c r="W325" s="7"/>
      <c r="Z325" s="7"/>
      <c r="AA325" s="7"/>
      <c r="AC325" s="7"/>
      <c r="AF325" s="7"/>
      <c r="AG325" s="7"/>
      <c r="AI325" s="7"/>
      <c r="AL325" s="1"/>
      <c r="AM325" s="1"/>
      <c r="AO325" s="1"/>
      <c r="AR325" s="1"/>
      <c r="AS325" s="1"/>
    </row>
    <row r="326" spans="9:45" x14ac:dyDescent="0.3">
      <c r="I326" s="7"/>
      <c r="K326" s="7"/>
      <c r="N326" s="7"/>
      <c r="O326" s="7"/>
      <c r="Q326" s="7"/>
      <c r="T326" s="7"/>
      <c r="U326" s="7"/>
      <c r="W326" s="7"/>
      <c r="Z326" s="7"/>
      <c r="AA326" s="7"/>
      <c r="AC326" s="7"/>
      <c r="AF326" s="7"/>
      <c r="AG326" s="7"/>
      <c r="AI326" s="7"/>
      <c r="AL326" s="1"/>
      <c r="AM326" s="1"/>
      <c r="AO326" s="1"/>
      <c r="AR326" s="1"/>
      <c r="AS326" s="1"/>
    </row>
    <row r="327" spans="9:45" x14ac:dyDescent="0.3">
      <c r="I327" s="7"/>
      <c r="K327" s="7"/>
      <c r="N327" s="7"/>
      <c r="O327" s="7"/>
      <c r="Q327" s="7"/>
      <c r="T327" s="7"/>
      <c r="U327" s="7"/>
      <c r="W327" s="7"/>
      <c r="Z327" s="7"/>
      <c r="AA327" s="7"/>
      <c r="AC327" s="7"/>
      <c r="AF327" s="7"/>
      <c r="AG327" s="7"/>
      <c r="AI327" s="7"/>
      <c r="AL327" s="1"/>
      <c r="AM327" s="1"/>
      <c r="AO327" s="1"/>
      <c r="AR327" s="1"/>
      <c r="AS327" s="1"/>
    </row>
    <row r="328" spans="9:45" x14ac:dyDescent="0.3">
      <c r="I328" s="7"/>
      <c r="K328" s="7"/>
      <c r="N328" s="7"/>
      <c r="O328" s="7"/>
      <c r="Q328" s="7"/>
      <c r="T328" s="7"/>
      <c r="U328" s="7"/>
      <c r="W328" s="7"/>
      <c r="Z328" s="7"/>
      <c r="AA328" s="7"/>
      <c r="AC328" s="7"/>
      <c r="AF328" s="7"/>
      <c r="AG328" s="7"/>
      <c r="AI328" s="7"/>
      <c r="AL328" s="1"/>
      <c r="AM328" s="1"/>
      <c r="AO328" s="1"/>
      <c r="AR328" s="1"/>
      <c r="AS328" s="1"/>
    </row>
    <row r="329" spans="9:45" x14ac:dyDescent="0.3">
      <c r="I329" s="7"/>
      <c r="K329" s="7"/>
      <c r="N329" s="7"/>
      <c r="O329" s="7"/>
      <c r="Q329" s="7"/>
      <c r="T329" s="7"/>
      <c r="U329" s="7"/>
      <c r="W329" s="7"/>
      <c r="Z329" s="7"/>
      <c r="AA329" s="7"/>
      <c r="AC329" s="7"/>
      <c r="AF329" s="7"/>
      <c r="AG329" s="7"/>
      <c r="AI329" s="7"/>
      <c r="AL329" s="1"/>
      <c r="AM329" s="1"/>
      <c r="AO329" s="1"/>
      <c r="AR329" s="1"/>
      <c r="AS329" s="1"/>
    </row>
    <row r="330" spans="9:45" x14ac:dyDescent="0.3">
      <c r="I330" s="7"/>
      <c r="K330" s="7"/>
      <c r="N330" s="7"/>
      <c r="O330" s="7"/>
      <c r="Q330" s="7"/>
      <c r="T330" s="7"/>
      <c r="U330" s="7"/>
      <c r="W330" s="7"/>
      <c r="Z330" s="7"/>
      <c r="AA330" s="7"/>
      <c r="AC330" s="7"/>
      <c r="AF330" s="7"/>
      <c r="AG330" s="7"/>
      <c r="AI330" s="7"/>
      <c r="AL330" s="1"/>
      <c r="AM330" s="1"/>
      <c r="AO330" s="1"/>
      <c r="AR330" s="1"/>
      <c r="AS330" s="1"/>
    </row>
    <row r="331" spans="9:45" x14ac:dyDescent="0.3">
      <c r="I331" s="7"/>
      <c r="K331" s="7"/>
      <c r="N331" s="7"/>
      <c r="O331" s="7"/>
      <c r="Q331" s="7"/>
      <c r="T331" s="7"/>
      <c r="U331" s="7"/>
      <c r="W331" s="7"/>
      <c r="Z331" s="7"/>
      <c r="AA331" s="7"/>
      <c r="AC331" s="7"/>
      <c r="AF331" s="7"/>
      <c r="AG331" s="7"/>
      <c r="AI331" s="7"/>
      <c r="AL331" s="1"/>
      <c r="AM331" s="1"/>
      <c r="AO331" s="1"/>
      <c r="AR331" s="1"/>
      <c r="AS331" s="1"/>
    </row>
    <row r="332" spans="9:45" x14ac:dyDescent="0.3">
      <c r="I332" s="7"/>
      <c r="K332" s="7"/>
      <c r="N332" s="7"/>
      <c r="O332" s="7"/>
      <c r="Q332" s="7"/>
      <c r="T332" s="7"/>
      <c r="U332" s="7"/>
      <c r="W332" s="7"/>
      <c r="Z332" s="7"/>
      <c r="AA332" s="7"/>
      <c r="AC332" s="7"/>
      <c r="AF332" s="7"/>
      <c r="AG332" s="7"/>
      <c r="AI332" s="7"/>
      <c r="AL332" s="1"/>
      <c r="AM332" s="1"/>
      <c r="AO332" s="1"/>
      <c r="AR332" s="1"/>
      <c r="AS332" s="1"/>
    </row>
    <row r="333" spans="9:45" x14ac:dyDescent="0.3">
      <c r="I333" s="7"/>
      <c r="K333" s="7"/>
      <c r="N333" s="7"/>
      <c r="O333" s="7"/>
      <c r="Q333" s="7"/>
      <c r="T333" s="7"/>
      <c r="U333" s="7"/>
      <c r="W333" s="7"/>
      <c r="Z333" s="7"/>
      <c r="AA333" s="7"/>
      <c r="AC333" s="7"/>
      <c r="AF333" s="7"/>
      <c r="AG333" s="7"/>
      <c r="AI333" s="7"/>
      <c r="AL333" s="1"/>
      <c r="AM333" s="1"/>
      <c r="AO333" s="1"/>
      <c r="AR333" s="1"/>
      <c r="AS333" s="1"/>
    </row>
    <row r="334" spans="9:45" x14ac:dyDescent="0.3">
      <c r="I334" s="7"/>
      <c r="K334" s="7"/>
      <c r="N334" s="7"/>
      <c r="O334" s="7"/>
      <c r="Q334" s="7"/>
      <c r="T334" s="7"/>
      <c r="U334" s="7"/>
      <c r="W334" s="7"/>
      <c r="Z334" s="7"/>
      <c r="AA334" s="7"/>
      <c r="AC334" s="7"/>
      <c r="AF334" s="7"/>
      <c r="AG334" s="7"/>
      <c r="AI334" s="7"/>
      <c r="AL334" s="1"/>
      <c r="AM334" s="1"/>
      <c r="AO334" s="1"/>
      <c r="AR334" s="1"/>
      <c r="AS334" s="1"/>
    </row>
    <row r="335" spans="9:45" x14ac:dyDescent="0.3">
      <c r="I335" s="7"/>
      <c r="K335" s="7"/>
      <c r="N335" s="7"/>
      <c r="O335" s="7"/>
      <c r="Q335" s="7"/>
      <c r="T335" s="7"/>
      <c r="U335" s="7"/>
      <c r="W335" s="7"/>
      <c r="Z335" s="7"/>
      <c r="AA335" s="7"/>
      <c r="AC335" s="7"/>
      <c r="AF335" s="7"/>
      <c r="AG335" s="7"/>
      <c r="AI335" s="7"/>
      <c r="AL335" s="1"/>
      <c r="AM335" s="1"/>
      <c r="AO335" s="1"/>
      <c r="AR335" s="1"/>
      <c r="AS335" s="1"/>
    </row>
    <row r="336" spans="9:45" x14ac:dyDescent="0.3">
      <c r="I336" s="7"/>
      <c r="K336" s="7"/>
      <c r="N336" s="7"/>
      <c r="O336" s="7"/>
      <c r="Q336" s="7"/>
      <c r="T336" s="7"/>
      <c r="U336" s="7"/>
      <c r="W336" s="7"/>
      <c r="Z336" s="7"/>
      <c r="AA336" s="7"/>
      <c r="AC336" s="7"/>
      <c r="AF336" s="7"/>
      <c r="AG336" s="7"/>
      <c r="AI336" s="7"/>
      <c r="AL336" s="1"/>
      <c r="AM336" s="1"/>
      <c r="AO336" s="1"/>
      <c r="AR336" s="1"/>
      <c r="AS336" s="1"/>
    </row>
    <row r="337" spans="9:45" x14ac:dyDescent="0.3">
      <c r="I337" s="7"/>
      <c r="K337" s="7"/>
      <c r="N337" s="7"/>
      <c r="O337" s="7"/>
      <c r="Q337" s="7"/>
      <c r="T337" s="7"/>
      <c r="U337" s="7"/>
      <c r="W337" s="7"/>
      <c r="Z337" s="7"/>
      <c r="AA337" s="7"/>
      <c r="AC337" s="7"/>
      <c r="AF337" s="7"/>
      <c r="AG337" s="7"/>
      <c r="AI337" s="7"/>
      <c r="AL337" s="1"/>
      <c r="AM337" s="1"/>
      <c r="AO337" s="1"/>
      <c r="AR337" s="1"/>
      <c r="AS337" s="1"/>
    </row>
    <row r="338" spans="9:45" x14ac:dyDescent="0.3">
      <c r="I338" s="7"/>
      <c r="K338" s="7"/>
      <c r="N338" s="7"/>
      <c r="O338" s="7"/>
      <c r="Q338" s="7"/>
      <c r="T338" s="7"/>
      <c r="U338" s="7"/>
      <c r="W338" s="7"/>
      <c r="Z338" s="7"/>
      <c r="AA338" s="7"/>
      <c r="AC338" s="7"/>
      <c r="AF338" s="7"/>
      <c r="AG338" s="7"/>
      <c r="AI338" s="7"/>
      <c r="AL338" s="1"/>
      <c r="AM338" s="1"/>
      <c r="AO338" s="1"/>
      <c r="AR338" s="1"/>
      <c r="AS338" s="1"/>
    </row>
    <row r="339" spans="9:45" x14ac:dyDescent="0.3">
      <c r="I339" s="7"/>
      <c r="K339" s="7"/>
      <c r="N339" s="7"/>
      <c r="O339" s="7"/>
      <c r="Q339" s="7"/>
      <c r="T339" s="7"/>
      <c r="U339" s="7"/>
      <c r="W339" s="7"/>
      <c r="Z339" s="7"/>
      <c r="AA339" s="7"/>
      <c r="AC339" s="7"/>
      <c r="AF339" s="7"/>
      <c r="AG339" s="7"/>
      <c r="AI339" s="7"/>
      <c r="AL339" s="1"/>
      <c r="AM339" s="1"/>
      <c r="AO339" s="1"/>
      <c r="AR339" s="1"/>
      <c r="AS339" s="1"/>
    </row>
    <row r="340" spans="9:45" x14ac:dyDescent="0.3">
      <c r="I340" s="7"/>
      <c r="K340" s="7"/>
      <c r="N340" s="7"/>
      <c r="O340" s="7"/>
      <c r="Q340" s="7"/>
      <c r="T340" s="7"/>
      <c r="U340" s="7"/>
      <c r="W340" s="7"/>
      <c r="Z340" s="7"/>
      <c r="AA340" s="7"/>
      <c r="AC340" s="7"/>
      <c r="AF340" s="7"/>
      <c r="AG340" s="7"/>
      <c r="AI340" s="7"/>
      <c r="AL340" s="1"/>
      <c r="AM340" s="1"/>
      <c r="AO340" s="1"/>
      <c r="AR340" s="1"/>
      <c r="AS340" s="1"/>
    </row>
    <row r="341" spans="9:45" x14ac:dyDescent="0.3">
      <c r="I341" s="7"/>
      <c r="K341" s="7"/>
      <c r="N341" s="7"/>
      <c r="O341" s="7"/>
      <c r="Q341" s="7"/>
      <c r="T341" s="7"/>
      <c r="U341" s="7"/>
      <c r="W341" s="7"/>
      <c r="Z341" s="7"/>
      <c r="AA341" s="7"/>
      <c r="AC341" s="7"/>
      <c r="AF341" s="7"/>
      <c r="AG341" s="7"/>
      <c r="AI341" s="7"/>
      <c r="AL341" s="1"/>
      <c r="AM341" s="1"/>
      <c r="AO341" s="1"/>
      <c r="AR341" s="1"/>
      <c r="AS341" s="1"/>
    </row>
    <row r="342" spans="9:45" x14ac:dyDescent="0.3">
      <c r="I342" s="7"/>
      <c r="K342" s="7"/>
      <c r="N342" s="7"/>
      <c r="O342" s="7"/>
      <c r="Q342" s="7"/>
      <c r="T342" s="7"/>
      <c r="U342" s="7"/>
      <c r="W342" s="7"/>
      <c r="Z342" s="7"/>
      <c r="AA342" s="7"/>
      <c r="AC342" s="7"/>
      <c r="AF342" s="7"/>
      <c r="AG342" s="7"/>
      <c r="AI342" s="7"/>
      <c r="AL342" s="1"/>
      <c r="AM342" s="1"/>
      <c r="AO342" s="1"/>
      <c r="AR342" s="1"/>
      <c r="AS342" s="1"/>
    </row>
    <row r="343" spans="9:45" x14ac:dyDescent="0.3">
      <c r="I343" s="7"/>
      <c r="K343" s="7"/>
      <c r="N343" s="7"/>
      <c r="O343" s="7"/>
      <c r="Q343" s="7"/>
      <c r="T343" s="7"/>
      <c r="U343" s="7"/>
      <c r="W343" s="7"/>
      <c r="Z343" s="7"/>
      <c r="AA343" s="7"/>
      <c r="AC343" s="7"/>
      <c r="AF343" s="7"/>
      <c r="AG343" s="7"/>
      <c r="AI343" s="7"/>
      <c r="AL343" s="1"/>
      <c r="AM343" s="1"/>
      <c r="AO343" s="1"/>
      <c r="AR343" s="1"/>
      <c r="AS343" s="1"/>
    </row>
    <row r="344" spans="9:45" x14ac:dyDescent="0.3">
      <c r="I344" s="7"/>
      <c r="K344" s="7"/>
      <c r="N344" s="7"/>
      <c r="O344" s="7"/>
      <c r="Q344" s="7"/>
      <c r="T344" s="7"/>
      <c r="U344" s="7"/>
      <c r="W344" s="7"/>
      <c r="Z344" s="7"/>
      <c r="AA344" s="7"/>
      <c r="AC344" s="7"/>
      <c r="AF344" s="7"/>
      <c r="AG344" s="7"/>
      <c r="AI344" s="7"/>
      <c r="AL344" s="1"/>
      <c r="AM344" s="1"/>
      <c r="AO344" s="1"/>
      <c r="AR344" s="1"/>
      <c r="AS344" s="1"/>
    </row>
    <row r="345" spans="9:45" x14ac:dyDescent="0.3">
      <c r="I345" s="7"/>
      <c r="K345" s="7"/>
      <c r="N345" s="7"/>
      <c r="O345" s="7"/>
      <c r="Q345" s="7"/>
      <c r="T345" s="7"/>
      <c r="U345" s="7"/>
      <c r="W345" s="7"/>
      <c r="Z345" s="7"/>
      <c r="AA345" s="7"/>
      <c r="AC345" s="7"/>
      <c r="AF345" s="7"/>
      <c r="AG345" s="7"/>
      <c r="AI345" s="7"/>
      <c r="AL345" s="1"/>
      <c r="AM345" s="1"/>
      <c r="AO345" s="1"/>
      <c r="AR345" s="1"/>
      <c r="AS345" s="1"/>
    </row>
    <row r="346" spans="9:45" x14ac:dyDescent="0.3">
      <c r="I346" s="7"/>
      <c r="K346" s="7"/>
      <c r="N346" s="7"/>
      <c r="O346" s="7"/>
      <c r="Q346" s="7"/>
      <c r="T346" s="7"/>
      <c r="U346" s="7"/>
      <c r="W346" s="7"/>
      <c r="Z346" s="7"/>
      <c r="AA346" s="7"/>
      <c r="AC346" s="7"/>
      <c r="AF346" s="7"/>
      <c r="AG346" s="7"/>
      <c r="AI346" s="7"/>
      <c r="AL346" s="1"/>
      <c r="AM346" s="1"/>
      <c r="AO346" s="1"/>
      <c r="AR346" s="1"/>
      <c r="AS346" s="1"/>
    </row>
    <row r="347" spans="9:45" x14ac:dyDescent="0.3">
      <c r="I347" s="7"/>
      <c r="K347" s="7"/>
      <c r="N347" s="7"/>
      <c r="O347" s="7"/>
      <c r="Q347" s="7"/>
      <c r="T347" s="7"/>
      <c r="U347" s="7"/>
      <c r="W347" s="7"/>
      <c r="Z347" s="7"/>
      <c r="AA347" s="7"/>
      <c r="AC347" s="7"/>
      <c r="AF347" s="7"/>
      <c r="AG347" s="7"/>
      <c r="AI347" s="7"/>
      <c r="AL347" s="1"/>
      <c r="AM347" s="1"/>
      <c r="AO347" s="1"/>
      <c r="AR347" s="1"/>
      <c r="AS347" s="1"/>
    </row>
    <row r="348" spans="9:45" x14ac:dyDescent="0.3">
      <c r="I348" s="7"/>
      <c r="K348" s="7"/>
      <c r="N348" s="7"/>
      <c r="O348" s="7"/>
      <c r="Q348" s="7"/>
      <c r="T348" s="7"/>
      <c r="U348" s="7"/>
      <c r="W348" s="7"/>
      <c r="Z348" s="7"/>
      <c r="AA348" s="7"/>
      <c r="AC348" s="7"/>
      <c r="AF348" s="7"/>
      <c r="AG348" s="7"/>
      <c r="AI348" s="7"/>
      <c r="AL348" s="1"/>
      <c r="AM348" s="1"/>
      <c r="AO348" s="1"/>
      <c r="AR348" s="1"/>
      <c r="AS348" s="1"/>
    </row>
    <row r="349" spans="9:45" x14ac:dyDescent="0.3">
      <c r="I349" s="7"/>
      <c r="K349" s="7"/>
      <c r="N349" s="7"/>
      <c r="O349" s="7"/>
      <c r="Q349" s="7"/>
      <c r="T349" s="7"/>
      <c r="U349" s="7"/>
      <c r="W349" s="7"/>
      <c r="Z349" s="7"/>
      <c r="AA349" s="7"/>
      <c r="AC349" s="7"/>
      <c r="AF349" s="7"/>
      <c r="AG349" s="7"/>
      <c r="AI349" s="7"/>
      <c r="AL349" s="1"/>
      <c r="AM349" s="1"/>
      <c r="AO349" s="1"/>
      <c r="AR349" s="1"/>
      <c r="AS349" s="1"/>
    </row>
    <row r="350" spans="9:45" x14ac:dyDescent="0.3">
      <c r="I350" s="7"/>
      <c r="K350" s="7"/>
      <c r="N350" s="7"/>
      <c r="O350" s="7"/>
      <c r="Q350" s="7"/>
      <c r="T350" s="7"/>
      <c r="U350" s="7"/>
      <c r="W350" s="7"/>
      <c r="Z350" s="7"/>
      <c r="AA350" s="7"/>
      <c r="AC350" s="7"/>
      <c r="AF350" s="7"/>
      <c r="AG350" s="7"/>
      <c r="AI350" s="7"/>
      <c r="AL350" s="1"/>
      <c r="AM350" s="1"/>
      <c r="AO350" s="1"/>
      <c r="AR350" s="1"/>
      <c r="AS350" s="1"/>
    </row>
    <row r="351" spans="9:45" x14ac:dyDescent="0.3">
      <c r="I351" s="7"/>
      <c r="K351" s="7"/>
      <c r="N351" s="7"/>
      <c r="O351" s="7"/>
      <c r="Q351" s="7"/>
      <c r="T351" s="7"/>
      <c r="U351" s="7"/>
      <c r="W351" s="7"/>
      <c r="Z351" s="7"/>
      <c r="AA351" s="7"/>
      <c r="AC351" s="7"/>
      <c r="AF351" s="7"/>
      <c r="AG351" s="7"/>
      <c r="AI351" s="7"/>
      <c r="AL351" s="1"/>
      <c r="AM351" s="1"/>
      <c r="AO351" s="1"/>
      <c r="AR351" s="1"/>
      <c r="AS351" s="1"/>
    </row>
    <row r="352" spans="9:45" x14ac:dyDescent="0.3">
      <c r="I352" s="7"/>
      <c r="K352" s="7"/>
      <c r="N352" s="7"/>
      <c r="O352" s="7"/>
      <c r="Q352" s="7"/>
      <c r="T352" s="7"/>
      <c r="U352" s="7"/>
      <c r="W352" s="7"/>
      <c r="Z352" s="7"/>
      <c r="AA352" s="7"/>
      <c r="AC352" s="7"/>
      <c r="AF352" s="7"/>
      <c r="AG352" s="7"/>
      <c r="AI352" s="7"/>
      <c r="AL352" s="1"/>
      <c r="AM352" s="1"/>
      <c r="AO352" s="1"/>
      <c r="AR352" s="1"/>
      <c r="AS352" s="1"/>
    </row>
    <row r="353" spans="9:45" x14ac:dyDescent="0.3">
      <c r="I353" s="7"/>
      <c r="K353" s="7"/>
      <c r="N353" s="7"/>
      <c r="O353" s="7"/>
      <c r="Q353" s="7"/>
      <c r="T353" s="7"/>
      <c r="U353" s="7"/>
      <c r="W353" s="7"/>
      <c r="Z353" s="7"/>
      <c r="AA353" s="7"/>
      <c r="AC353" s="7"/>
      <c r="AF353" s="7"/>
      <c r="AG353" s="7"/>
      <c r="AI353" s="7"/>
      <c r="AL353" s="1"/>
      <c r="AM353" s="1"/>
      <c r="AO353" s="1"/>
      <c r="AR353" s="1"/>
      <c r="AS353" s="1"/>
    </row>
    <row r="354" spans="9:45" x14ac:dyDescent="0.3">
      <c r="I354" s="7"/>
      <c r="K354" s="7"/>
      <c r="N354" s="7"/>
      <c r="O354" s="7"/>
      <c r="Q354" s="7"/>
      <c r="T354" s="7"/>
      <c r="U354" s="7"/>
      <c r="W354" s="7"/>
      <c r="Z354" s="7"/>
      <c r="AA354" s="7"/>
      <c r="AC354" s="7"/>
      <c r="AF354" s="7"/>
      <c r="AG354" s="7"/>
      <c r="AI354" s="7"/>
      <c r="AL354" s="1"/>
      <c r="AM354" s="1"/>
      <c r="AO354" s="1"/>
      <c r="AR354" s="1"/>
      <c r="AS354" s="1"/>
    </row>
    <row r="355" spans="9:45" x14ac:dyDescent="0.3">
      <c r="I355" s="7"/>
      <c r="K355" s="7"/>
      <c r="N355" s="7"/>
      <c r="O355" s="7"/>
      <c r="Q355" s="7"/>
      <c r="T355" s="7"/>
      <c r="U355" s="7"/>
      <c r="W355" s="7"/>
      <c r="Z355" s="7"/>
      <c r="AA355" s="7"/>
      <c r="AC355" s="7"/>
      <c r="AF355" s="7"/>
      <c r="AG355" s="7"/>
      <c r="AI355" s="7"/>
      <c r="AL355" s="1"/>
      <c r="AM355" s="1"/>
      <c r="AO355" s="1"/>
      <c r="AR355" s="1"/>
      <c r="AS355" s="1"/>
    </row>
    <row r="356" spans="9:45" x14ac:dyDescent="0.3">
      <c r="I356" s="7"/>
      <c r="K356" s="7"/>
      <c r="N356" s="7"/>
      <c r="O356" s="7"/>
      <c r="Q356" s="7"/>
      <c r="T356" s="7"/>
      <c r="U356" s="7"/>
      <c r="W356" s="7"/>
      <c r="Z356" s="7"/>
      <c r="AA356" s="7"/>
      <c r="AC356" s="7"/>
      <c r="AF356" s="7"/>
      <c r="AG356" s="7"/>
      <c r="AI356" s="7"/>
      <c r="AL356" s="1"/>
      <c r="AM356" s="1"/>
      <c r="AO356" s="1"/>
      <c r="AR356" s="1"/>
      <c r="AS356" s="1"/>
    </row>
    <row r="357" spans="9:45" x14ac:dyDescent="0.3">
      <c r="I357" s="7"/>
      <c r="K357" s="7"/>
      <c r="N357" s="7"/>
      <c r="O357" s="7"/>
      <c r="Q357" s="7"/>
      <c r="T357" s="7"/>
      <c r="U357" s="7"/>
      <c r="W357" s="7"/>
      <c r="Z357" s="7"/>
      <c r="AA357" s="7"/>
      <c r="AC357" s="7"/>
      <c r="AF357" s="7"/>
      <c r="AG357" s="7"/>
      <c r="AI357" s="7"/>
      <c r="AL357" s="1"/>
      <c r="AM357" s="1"/>
      <c r="AO357" s="1"/>
      <c r="AR357" s="1"/>
      <c r="AS357" s="1"/>
    </row>
    <row r="358" spans="9:45" x14ac:dyDescent="0.3">
      <c r="I358" s="7"/>
      <c r="K358" s="7"/>
      <c r="N358" s="7"/>
      <c r="O358" s="7"/>
      <c r="Q358" s="7"/>
      <c r="T358" s="7"/>
      <c r="U358" s="7"/>
      <c r="W358" s="7"/>
      <c r="Z358" s="7"/>
      <c r="AA358" s="7"/>
      <c r="AC358" s="7"/>
      <c r="AF358" s="7"/>
      <c r="AG358" s="7"/>
      <c r="AI358" s="7"/>
      <c r="AL358" s="1"/>
      <c r="AM358" s="1"/>
      <c r="AO358" s="1"/>
      <c r="AR358" s="1"/>
      <c r="AS358" s="1"/>
    </row>
    <row r="359" spans="9:45" x14ac:dyDescent="0.3">
      <c r="I359" s="7"/>
      <c r="K359" s="7"/>
      <c r="N359" s="7"/>
      <c r="O359" s="7"/>
      <c r="Q359" s="7"/>
      <c r="T359" s="7"/>
      <c r="U359" s="7"/>
      <c r="W359" s="7"/>
      <c r="Z359" s="7"/>
      <c r="AA359" s="7"/>
      <c r="AC359" s="7"/>
      <c r="AF359" s="7"/>
      <c r="AG359" s="7"/>
      <c r="AI359" s="7"/>
      <c r="AL359" s="1"/>
      <c r="AM359" s="1"/>
      <c r="AO359" s="1"/>
      <c r="AR359" s="1"/>
      <c r="AS359" s="1"/>
    </row>
    <row r="360" spans="9:45" x14ac:dyDescent="0.3">
      <c r="I360" s="7"/>
      <c r="K360" s="7"/>
      <c r="N360" s="7"/>
      <c r="O360" s="7"/>
      <c r="Q360" s="7"/>
      <c r="T360" s="7"/>
      <c r="U360" s="7"/>
      <c r="W360" s="7"/>
      <c r="Z360" s="7"/>
      <c r="AA360" s="7"/>
      <c r="AC360" s="7"/>
      <c r="AF360" s="7"/>
      <c r="AG360" s="7"/>
      <c r="AI360" s="7"/>
      <c r="AL360" s="1"/>
      <c r="AM360" s="1"/>
      <c r="AO360" s="1"/>
      <c r="AR360" s="1"/>
      <c r="AS360" s="1"/>
    </row>
    <row r="361" spans="9:45" x14ac:dyDescent="0.3">
      <c r="I361" s="7"/>
      <c r="K361" s="7"/>
      <c r="N361" s="7"/>
      <c r="O361" s="7"/>
      <c r="Q361" s="7"/>
      <c r="T361" s="7"/>
      <c r="U361" s="7"/>
      <c r="W361" s="7"/>
      <c r="Z361" s="7"/>
      <c r="AA361" s="7"/>
      <c r="AC361" s="7"/>
      <c r="AF361" s="7"/>
      <c r="AG361" s="7"/>
      <c r="AI361" s="7"/>
      <c r="AL361" s="1"/>
      <c r="AM361" s="1"/>
      <c r="AO361" s="1"/>
      <c r="AR361" s="1"/>
      <c r="AS361" s="1"/>
    </row>
    <row r="362" spans="9:45" x14ac:dyDescent="0.3">
      <c r="I362" s="7"/>
      <c r="K362" s="7"/>
      <c r="N362" s="7"/>
      <c r="O362" s="7"/>
      <c r="Q362" s="7"/>
      <c r="T362" s="7"/>
      <c r="U362" s="7"/>
      <c r="W362" s="7"/>
      <c r="Z362" s="7"/>
      <c r="AA362" s="7"/>
      <c r="AC362" s="7"/>
      <c r="AF362" s="7"/>
      <c r="AG362" s="7"/>
      <c r="AI362" s="7"/>
      <c r="AL362" s="1"/>
      <c r="AM362" s="1"/>
      <c r="AO362" s="1"/>
      <c r="AR362" s="1"/>
      <c r="AS362" s="1"/>
    </row>
    <row r="363" spans="9:45" x14ac:dyDescent="0.3">
      <c r="I363" s="7"/>
      <c r="K363" s="7"/>
      <c r="N363" s="7"/>
      <c r="O363" s="7"/>
      <c r="Q363" s="7"/>
      <c r="T363" s="7"/>
      <c r="U363" s="7"/>
      <c r="W363" s="7"/>
      <c r="Z363" s="7"/>
      <c r="AA363" s="7"/>
      <c r="AC363" s="7"/>
      <c r="AF363" s="7"/>
      <c r="AG363" s="7"/>
      <c r="AI363" s="7"/>
      <c r="AL363" s="1"/>
      <c r="AM363" s="1"/>
      <c r="AO363" s="1"/>
      <c r="AR363" s="1"/>
      <c r="AS363" s="1"/>
    </row>
    <row r="364" spans="9:45" x14ac:dyDescent="0.3">
      <c r="I364" s="7"/>
      <c r="K364" s="7"/>
      <c r="N364" s="7"/>
      <c r="O364" s="7"/>
      <c r="Q364" s="7"/>
      <c r="T364" s="7"/>
      <c r="U364" s="7"/>
      <c r="W364" s="7"/>
      <c r="Z364" s="7"/>
      <c r="AA364" s="7"/>
      <c r="AC364" s="7"/>
      <c r="AF364" s="7"/>
      <c r="AG364" s="7"/>
      <c r="AI364" s="7"/>
      <c r="AL364" s="1"/>
      <c r="AM364" s="1"/>
      <c r="AO364" s="1"/>
      <c r="AR364" s="1"/>
      <c r="AS364" s="1"/>
    </row>
    <row r="365" spans="9:45" x14ac:dyDescent="0.3">
      <c r="I365" s="7"/>
      <c r="K365" s="7"/>
      <c r="N365" s="7"/>
      <c r="O365" s="7"/>
      <c r="Q365" s="7"/>
      <c r="T365" s="7"/>
      <c r="U365" s="7"/>
      <c r="W365" s="7"/>
      <c r="Z365" s="7"/>
      <c r="AA365" s="7"/>
      <c r="AC365" s="7"/>
      <c r="AF365" s="7"/>
      <c r="AG365" s="7"/>
      <c r="AI365" s="7"/>
      <c r="AL365" s="1"/>
      <c r="AM365" s="1"/>
      <c r="AO365" s="1"/>
      <c r="AR365" s="1"/>
      <c r="AS365" s="1"/>
    </row>
    <row r="366" spans="9:45" x14ac:dyDescent="0.3">
      <c r="I366" s="7"/>
      <c r="K366" s="7"/>
      <c r="N366" s="7"/>
      <c r="O366" s="7"/>
      <c r="Q366" s="7"/>
      <c r="T366" s="7"/>
      <c r="U366" s="7"/>
      <c r="W366" s="7"/>
      <c r="Z366" s="7"/>
      <c r="AA366" s="7"/>
      <c r="AC366" s="7"/>
      <c r="AF366" s="7"/>
      <c r="AG366" s="7"/>
      <c r="AI366" s="7"/>
      <c r="AL366" s="1"/>
      <c r="AM366" s="1"/>
      <c r="AO366" s="1"/>
      <c r="AR366" s="1"/>
      <c r="AS366" s="1"/>
    </row>
    <row r="367" spans="9:45" x14ac:dyDescent="0.3">
      <c r="I367" s="7"/>
      <c r="K367" s="7"/>
      <c r="N367" s="7"/>
      <c r="O367" s="7"/>
      <c r="Q367" s="7"/>
      <c r="T367" s="7"/>
      <c r="U367" s="7"/>
      <c r="W367" s="7"/>
      <c r="Z367" s="7"/>
      <c r="AA367" s="7"/>
      <c r="AC367" s="7"/>
      <c r="AF367" s="7"/>
      <c r="AG367" s="7"/>
      <c r="AI367" s="7"/>
      <c r="AL367" s="1"/>
      <c r="AM367" s="1"/>
      <c r="AO367" s="1"/>
      <c r="AR367" s="1"/>
      <c r="AS367" s="1"/>
    </row>
    <row r="368" spans="9:45" x14ac:dyDescent="0.3">
      <c r="I368" s="7"/>
      <c r="K368" s="7"/>
      <c r="N368" s="7"/>
      <c r="O368" s="7"/>
      <c r="Q368" s="7"/>
      <c r="T368" s="7"/>
      <c r="U368" s="7"/>
      <c r="W368" s="7"/>
      <c r="Z368" s="7"/>
      <c r="AA368" s="7"/>
      <c r="AC368" s="7"/>
      <c r="AF368" s="7"/>
      <c r="AG368" s="7"/>
      <c r="AI368" s="7"/>
      <c r="AL368" s="1"/>
      <c r="AM368" s="1"/>
      <c r="AO368" s="1"/>
      <c r="AR368" s="1"/>
      <c r="AS368" s="1"/>
    </row>
    <row r="369" spans="9:45" x14ac:dyDescent="0.3">
      <c r="I369" s="7"/>
      <c r="K369" s="7"/>
      <c r="N369" s="7"/>
      <c r="O369" s="7"/>
      <c r="Q369" s="7"/>
      <c r="T369" s="7"/>
      <c r="U369" s="7"/>
      <c r="W369" s="7"/>
      <c r="Z369" s="7"/>
      <c r="AA369" s="7"/>
      <c r="AC369" s="7"/>
      <c r="AF369" s="7"/>
      <c r="AG369" s="7"/>
      <c r="AI369" s="7"/>
      <c r="AL369" s="1"/>
      <c r="AM369" s="1"/>
      <c r="AO369" s="1"/>
      <c r="AR369" s="1"/>
      <c r="AS369" s="1"/>
    </row>
    <row r="370" spans="9:45" x14ac:dyDescent="0.3">
      <c r="I370" s="7"/>
      <c r="K370" s="7"/>
      <c r="N370" s="7"/>
      <c r="O370" s="7"/>
      <c r="Q370" s="7"/>
      <c r="T370" s="7"/>
      <c r="U370" s="7"/>
      <c r="W370" s="7"/>
      <c r="Z370" s="7"/>
      <c r="AA370" s="7"/>
      <c r="AC370" s="7"/>
      <c r="AF370" s="7"/>
      <c r="AG370" s="7"/>
      <c r="AI370" s="7"/>
      <c r="AL370" s="1"/>
      <c r="AM370" s="1"/>
      <c r="AO370" s="1"/>
      <c r="AR370" s="1"/>
      <c r="AS370" s="1"/>
    </row>
    <row r="371" spans="9:45" x14ac:dyDescent="0.3">
      <c r="I371" s="7"/>
      <c r="K371" s="7"/>
      <c r="N371" s="7"/>
      <c r="O371" s="7"/>
      <c r="Q371" s="7"/>
      <c r="T371" s="7"/>
      <c r="U371" s="7"/>
      <c r="W371" s="7"/>
      <c r="Z371" s="7"/>
      <c r="AA371" s="7"/>
      <c r="AC371" s="7"/>
      <c r="AF371" s="7"/>
      <c r="AG371" s="7"/>
      <c r="AI371" s="7"/>
      <c r="AL371" s="1"/>
      <c r="AM371" s="1"/>
      <c r="AO371" s="1"/>
      <c r="AR371" s="1"/>
      <c r="AS371" s="1"/>
    </row>
    <row r="372" spans="9:45" x14ac:dyDescent="0.3">
      <c r="I372" s="7"/>
      <c r="K372" s="7"/>
      <c r="N372" s="7"/>
      <c r="O372" s="7"/>
      <c r="Q372" s="7"/>
      <c r="T372" s="7"/>
      <c r="U372" s="7"/>
      <c r="W372" s="7"/>
      <c r="Z372" s="7"/>
      <c r="AA372" s="7"/>
      <c r="AC372" s="7"/>
      <c r="AF372" s="7"/>
      <c r="AG372" s="7"/>
      <c r="AI372" s="7"/>
      <c r="AL372" s="1"/>
      <c r="AM372" s="1"/>
      <c r="AO372" s="1"/>
      <c r="AR372" s="1"/>
      <c r="AS372" s="1"/>
    </row>
    <row r="373" spans="9:45" x14ac:dyDescent="0.3">
      <c r="I373" s="7"/>
      <c r="K373" s="7"/>
      <c r="N373" s="7"/>
      <c r="O373" s="7"/>
      <c r="Q373" s="7"/>
      <c r="T373" s="7"/>
      <c r="U373" s="7"/>
      <c r="W373" s="7"/>
      <c r="Z373" s="7"/>
      <c r="AA373" s="7"/>
      <c r="AC373" s="7"/>
      <c r="AF373" s="7"/>
      <c r="AG373" s="7"/>
      <c r="AI373" s="7"/>
      <c r="AL373" s="1"/>
      <c r="AM373" s="1"/>
      <c r="AO373" s="1"/>
      <c r="AR373" s="1"/>
      <c r="AS373" s="1"/>
    </row>
    <row r="374" spans="9:45" x14ac:dyDescent="0.3">
      <c r="I374" s="7"/>
      <c r="K374" s="7"/>
      <c r="N374" s="7"/>
      <c r="O374" s="7"/>
      <c r="Q374" s="7"/>
      <c r="T374" s="7"/>
      <c r="U374" s="7"/>
      <c r="W374" s="7"/>
      <c r="Z374" s="7"/>
      <c r="AA374" s="7"/>
      <c r="AC374" s="7"/>
      <c r="AF374" s="7"/>
      <c r="AG374" s="7"/>
      <c r="AI374" s="7"/>
      <c r="AL374" s="1"/>
      <c r="AM374" s="1"/>
      <c r="AO374" s="1"/>
      <c r="AR374" s="1"/>
      <c r="AS374" s="1"/>
    </row>
    <row r="375" spans="9:45" x14ac:dyDescent="0.3">
      <c r="I375" s="7"/>
      <c r="K375" s="7"/>
      <c r="N375" s="7"/>
      <c r="O375" s="7"/>
      <c r="Q375" s="7"/>
      <c r="T375" s="7"/>
      <c r="U375" s="7"/>
      <c r="W375" s="7"/>
      <c r="Z375" s="7"/>
      <c r="AA375" s="7"/>
      <c r="AC375" s="7"/>
      <c r="AF375" s="7"/>
      <c r="AG375" s="7"/>
      <c r="AI375" s="7"/>
      <c r="AL375" s="1"/>
      <c r="AM375" s="1"/>
      <c r="AO375" s="1"/>
      <c r="AR375" s="1"/>
      <c r="AS375" s="1"/>
    </row>
    <row r="376" spans="9:45" x14ac:dyDescent="0.3">
      <c r="I376" s="7"/>
      <c r="K376" s="7"/>
      <c r="N376" s="7"/>
      <c r="O376" s="7"/>
      <c r="Q376" s="7"/>
      <c r="T376" s="7"/>
      <c r="U376" s="7"/>
      <c r="W376" s="7"/>
      <c r="Z376" s="7"/>
      <c r="AA376" s="7"/>
      <c r="AC376" s="7"/>
      <c r="AF376" s="7"/>
      <c r="AG376" s="7"/>
      <c r="AI376" s="7"/>
      <c r="AL376" s="1"/>
      <c r="AM376" s="1"/>
      <c r="AO376" s="1"/>
      <c r="AR376" s="1"/>
      <c r="AS376" s="1"/>
    </row>
    <row r="377" spans="9:45" x14ac:dyDescent="0.3">
      <c r="I377" s="7"/>
      <c r="K377" s="7"/>
      <c r="N377" s="7"/>
      <c r="O377" s="7"/>
      <c r="Q377" s="7"/>
      <c r="T377" s="7"/>
      <c r="U377" s="7"/>
      <c r="W377" s="7"/>
      <c r="Z377" s="7"/>
      <c r="AA377" s="7"/>
      <c r="AC377" s="7"/>
      <c r="AF377" s="7"/>
      <c r="AG377" s="7"/>
      <c r="AI377" s="7"/>
      <c r="AL377" s="1"/>
      <c r="AM377" s="1"/>
      <c r="AO377" s="1"/>
      <c r="AR377" s="1"/>
      <c r="AS377" s="1"/>
    </row>
    <row r="378" spans="9:45" x14ac:dyDescent="0.3">
      <c r="I378" s="7"/>
      <c r="K378" s="7"/>
      <c r="N378" s="7"/>
      <c r="O378" s="7"/>
      <c r="Q378" s="7"/>
      <c r="T378" s="7"/>
      <c r="U378" s="7"/>
      <c r="W378" s="7"/>
      <c r="Z378" s="7"/>
      <c r="AA378" s="7"/>
      <c r="AC378" s="7"/>
      <c r="AF378" s="7"/>
      <c r="AG378" s="7"/>
      <c r="AI378" s="7"/>
      <c r="AL378" s="1"/>
      <c r="AM378" s="1"/>
      <c r="AO378" s="1"/>
      <c r="AR378" s="1"/>
      <c r="AS378" s="1"/>
    </row>
    <row r="379" spans="9:45" x14ac:dyDescent="0.3">
      <c r="I379" s="7"/>
      <c r="K379" s="7"/>
      <c r="N379" s="7"/>
      <c r="O379" s="7"/>
      <c r="Q379" s="7"/>
      <c r="T379" s="7"/>
      <c r="U379" s="7"/>
      <c r="W379" s="7"/>
      <c r="Z379" s="7"/>
      <c r="AA379" s="7"/>
      <c r="AC379" s="7"/>
      <c r="AF379" s="7"/>
      <c r="AG379" s="7"/>
      <c r="AI379" s="7"/>
      <c r="AL379" s="1"/>
      <c r="AM379" s="1"/>
      <c r="AO379" s="1"/>
      <c r="AR379" s="1"/>
      <c r="AS379" s="1"/>
    </row>
    <row r="380" spans="9:45" x14ac:dyDescent="0.3">
      <c r="I380" s="7"/>
      <c r="K380" s="7"/>
      <c r="N380" s="7"/>
      <c r="O380" s="7"/>
      <c r="Q380" s="7"/>
      <c r="T380" s="7"/>
      <c r="U380" s="7"/>
      <c r="W380" s="7"/>
      <c r="Z380" s="7"/>
      <c r="AA380" s="7"/>
      <c r="AC380" s="7"/>
      <c r="AF380" s="7"/>
      <c r="AG380" s="7"/>
      <c r="AI380" s="7"/>
      <c r="AL380" s="1"/>
      <c r="AM380" s="1"/>
      <c r="AO380" s="1"/>
      <c r="AR380" s="1"/>
      <c r="AS380" s="1"/>
    </row>
    <row r="381" spans="9:45" x14ac:dyDescent="0.3">
      <c r="I381" s="7"/>
      <c r="K381" s="7"/>
      <c r="N381" s="7"/>
      <c r="O381" s="7"/>
      <c r="Q381" s="7"/>
      <c r="T381" s="7"/>
      <c r="U381" s="7"/>
      <c r="W381" s="7"/>
      <c r="Z381" s="7"/>
      <c r="AA381" s="7"/>
      <c r="AC381" s="7"/>
      <c r="AF381" s="7"/>
      <c r="AG381" s="7"/>
      <c r="AI381" s="7"/>
      <c r="AL381" s="1"/>
      <c r="AM381" s="1"/>
      <c r="AO381" s="1"/>
      <c r="AR381" s="1"/>
      <c r="AS381" s="1"/>
    </row>
    <row r="382" spans="9:45" x14ac:dyDescent="0.3">
      <c r="I382" s="7"/>
      <c r="K382" s="7"/>
      <c r="N382" s="7"/>
      <c r="O382" s="7"/>
      <c r="Q382" s="7"/>
      <c r="T382" s="7"/>
      <c r="U382" s="7"/>
      <c r="W382" s="7"/>
      <c r="Z382" s="7"/>
      <c r="AA382" s="7"/>
      <c r="AC382" s="7"/>
      <c r="AF382" s="7"/>
      <c r="AG382" s="7"/>
      <c r="AI382" s="7"/>
      <c r="AL382" s="1"/>
      <c r="AM382" s="1"/>
      <c r="AO382" s="1"/>
      <c r="AR382" s="1"/>
      <c r="AS382" s="1"/>
    </row>
    <row r="383" spans="9:45" x14ac:dyDescent="0.3">
      <c r="I383" s="7"/>
      <c r="K383" s="7"/>
      <c r="N383" s="7"/>
      <c r="O383" s="7"/>
      <c r="Q383" s="7"/>
      <c r="T383" s="7"/>
      <c r="U383" s="7"/>
      <c r="W383" s="7"/>
      <c r="Z383" s="7"/>
      <c r="AA383" s="7"/>
      <c r="AC383" s="7"/>
      <c r="AF383" s="7"/>
      <c r="AG383" s="7"/>
      <c r="AI383" s="7"/>
      <c r="AL383" s="1"/>
      <c r="AM383" s="1"/>
      <c r="AO383" s="1"/>
      <c r="AR383" s="1"/>
      <c r="AS383" s="1"/>
    </row>
    <row r="384" spans="9:45" x14ac:dyDescent="0.3">
      <c r="I384" s="7"/>
      <c r="K384" s="7"/>
      <c r="N384" s="7"/>
      <c r="O384" s="7"/>
      <c r="Q384" s="7"/>
      <c r="T384" s="7"/>
      <c r="U384" s="7"/>
      <c r="W384" s="7"/>
      <c r="Z384" s="7"/>
      <c r="AA384" s="7"/>
      <c r="AC384" s="7"/>
      <c r="AF384" s="7"/>
      <c r="AG384" s="7"/>
      <c r="AI384" s="7"/>
      <c r="AL384" s="1"/>
      <c r="AM384" s="1"/>
      <c r="AO384" s="1"/>
      <c r="AR384" s="1"/>
      <c r="AS384" s="1"/>
    </row>
    <row r="385" spans="9:45" x14ac:dyDescent="0.3">
      <c r="I385" s="7"/>
      <c r="K385" s="7"/>
      <c r="N385" s="7"/>
      <c r="O385" s="7"/>
      <c r="Q385" s="7"/>
      <c r="T385" s="7"/>
      <c r="U385" s="7"/>
      <c r="W385" s="7"/>
      <c r="Z385" s="7"/>
      <c r="AA385" s="7"/>
      <c r="AC385" s="7"/>
      <c r="AF385" s="7"/>
      <c r="AG385" s="7"/>
      <c r="AI385" s="7"/>
      <c r="AL385" s="1"/>
      <c r="AM385" s="1"/>
      <c r="AO385" s="1"/>
      <c r="AR385" s="1"/>
      <c r="AS385" s="1"/>
    </row>
    <row r="386" spans="9:45" x14ac:dyDescent="0.3">
      <c r="I386" s="7"/>
      <c r="K386" s="7"/>
      <c r="N386" s="7"/>
      <c r="O386" s="7"/>
      <c r="Q386" s="7"/>
      <c r="T386" s="7"/>
      <c r="U386" s="7"/>
      <c r="W386" s="7"/>
      <c r="Z386" s="7"/>
      <c r="AA386" s="7"/>
      <c r="AC386" s="7"/>
      <c r="AF386" s="7"/>
      <c r="AG386" s="7"/>
      <c r="AI386" s="7"/>
      <c r="AL386" s="1"/>
      <c r="AM386" s="1"/>
      <c r="AO386" s="1"/>
      <c r="AR386" s="1"/>
      <c r="AS386" s="1"/>
    </row>
    <row r="387" spans="9:45" x14ac:dyDescent="0.3">
      <c r="I387" s="7"/>
      <c r="K387" s="7"/>
      <c r="N387" s="7"/>
      <c r="O387" s="7"/>
      <c r="Q387" s="7"/>
      <c r="T387" s="7"/>
      <c r="U387" s="7"/>
      <c r="W387" s="7"/>
      <c r="Z387" s="7"/>
      <c r="AA387" s="7"/>
      <c r="AC387" s="7"/>
      <c r="AF387" s="7"/>
      <c r="AG387" s="7"/>
      <c r="AI387" s="7"/>
      <c r="AL387" s="1"/>
      <c r="AM387" s="1"/>
      <c r="AO387" s="1"/>
      <c r="AR387" s="1"/>
      <c r="AS387" s="1"/>
    </row>
    <row r="388" spans="9:45" x14ac:dyDescent="0.3">
      <c r="I388" s="7"/>
      <c r="K388" s="7"/>
      <c r="N388" s="7"/>
      <c r="O388" s="7"/>
      <c r="Q388" s="7"/>
      <c r="T388" s="7"/>
      <c r="U388" s="7"/>
      <c r="W388" s="7"/>
      <c r="Z388" s="7"/>
      <c r="AA388" s="7"/>
      <c r="AC388" s="7"/>
      <c r="AF388" s="7"/>
      <c r="AG388" s="7"/>
      <c r="AI388" s="7"/>
      <c r="AL388" s="1"/>
      <c r="AM388" s="1"/>
      <c r="AO388" s="1"/>
      <c r="AR388" s="1"/>
      <c r="AS388" s="1"/>
    </row>
    <row r="389" spans="9:45" x14ac:dyDescent="0.3">
      <c r="I389" s="7"/>
      <c r="K389" s="7"/>
      <c r="N389" s="7"/>
      <c r="O389" s="7"/>
      <c r="Q389" s="7"/>
      <c r="T389" s="7"/>
      <c r="U389" s="7"/>
      <c r="W389" s="7"/>
      <c r="Z389" s="7"/>
      <c r="AA389" s="7"/>
      <c r="AC389" s="7"/>
      <c r="AF389" s="7"/>
      <c r="AG389" s="7"/>
      <c r="AI389" s="7"/>
      <c r="AL389" s="1"/>
      <c r="AM389" s="1"/>
      <c r="AO389" s="1"/>
      <c r="AR389" s="1"/>
      <c r="AS389" s="1"/>
    </row>
    <row r="390" spans="9:45" x14ac:dyDescent="0.3">
      <c r="I390" s="7"/>
      <c r="K390" s="7"/>
      <c r="N390" s="7"/>
      <c r="O390" s="7"/>
      <c r="Q390" s="7"/>
      <c r="T390" s="7"/>
      <c r="U390" s="7"/>
      <c r="W390" s="7"/>
      <c r="Z390" s="7"/>
      <c r="AA390" s="7"/>
      <c r="AC390" s="7"/>
      <c r="AF390" s="7"/>
      <c r="AG390" s="7"/>
      <c r="AI390" s="7"/>
      <c r="AL390" s="1"/>
      <c r="AM390" s="1"/>
      <c r="AO390" s="1"/>
      <c r="AR390" s="1"/>
      <c r="AS390" s="1"/>
    </row>
    <row r="391" spans="9:45" x14ac:dyDescent="0.3">
      <c r="I391" s="7"/>
      <c r="K391" s="7"/>
      <c r="N391" s="7"/>
      <c r="O391" s="7"/>
      <c r="Q391" s="7"/>
      <c r="T391" s="7"/>
      <c r="U391" s="7"/>
      <c r="W391" s="7"/>
      <c r="Z391" s="7"/>
      <c r="AA391" s="7"/>
      <c r="AC391" s="7"/>
      <c r="AF391" s="7"/>
      <c r="AG391" s="7"/>
      <c r="AI391" s="7"/>
      <c r="AL391" s="1"/>
      <c r="AM391" s="1"/>
      <c r="AO391" s="1"/>
      <c r="AR391" s="1"/>
      <c r="AS391" s="1"/>
    </row>
    <row r="392" spans="9:45" x14ac:dyDescent="0.3">
      <c r="I392" s="7"/>
      <c r="K392" s="7"/>
      <c r="N392" s="7"/>
      <c r="O392" s="7"/>
      <c r="Q392" s="7"/>
      <c r="T392" s="7"/>
      <c r="U392" s="7"/>
      <c r="W392" s="7"/>
      <c r="Z392" s="7"/>
      <c r="AA392" s="7"/>
      <c r="AC392" s="7"/>
      <c r="AF392" s="7"/>
      <c r="AG392" s="7"/>
      <c r="AI392" s="7"/>
      <c r="AL392" s="1"/>
      <c r="AM392" s="1"/>
      <c r="AO392" s="1"/>
      <c r="AR392" s="1"/>
      <c r="AS392" s="1"/>
    </row>
    <row r="393" spans="9:45" x14ac:dyDescent="0.3">
      <c r="I393" s="7"/>
      <c r="K393" s="7"/>
      <c r="N393" s="7"/>
      <c r="O393" s="7"/>
      <c r="Q393" s="7"/>
      <c r="T393" s="7"/>
      <c r="U393" s="7"/>
      <c r="W393" s="7"/>
      <c r="Z393" s="7"/>
      <c r="AA393" s="7"/>
      <c r="AC393" s="7"/>
      <c r="AF393" s="7"/>
      <c r="AG393" s="7"/>
      <c r="AI393" s="7"/>
      <c r="AL393" s="1"/>
      <c r="AM393" s="1"/>
      <c r="AO393" s="1"/>
      <c r="AR393" s="1"/>
      <c r="AS393" s="1"/>
    </row>
    <row r="394" spans="9:45" x14ac:dyDescent="0.3">
      <c r="I394" s="7"/>
      <c r="K394" s="7"/>
      <c r="N394" s="7"/>
      <c r="O394" s="7"/>
      <c r="Q394" s="7"/>
      <c r="T394" s="7"/>
      <c r="U394" s="7"/>
      <c r="W394" s="7"/>
      <c r="Z394" s="7"/>
      <c r="AA394" s="7"/>
      <c r="AC394" s="7"/>
      <c r="AF394" s="7"/>
      <c r="AG394" s="7"/>
      <c r="AI394" s="7"/>
      <c r="AL394" s="1"/>
      <c r="AM394" s="1"/>
      <c r="AO394" s="1"/>
      <c r="AR394" s="1"/>
      <c r="AS394" s="1"/>
    </row>
    <row r="395" spans="9:45" x14ac:dyDescent="0.3">
      <c r="I395" s="7"/>
      <c r="K395" s="7"/>
      <c r="N395" s="7"/>
      <c r="O395" s="7"/>
      <c r="Q395" s="7"/>
      <c r="T395" s="7"/>
      <c r="U395" s="7"/>
      <c r="W395" s="7"/>
      <c r="Z395" s="7"/>
      <c r="AA395" s="7"/>
      <c r="AC395" s="7"/>
      <c r="AF395" s="7"/>
      <c r="AG395" s="7"/>
      <c r="AI395" s="7"/>
      <c r="AL395" s="1"/>
      <c r="AM395" s="1"/>
      <c r="AO395" s="1"/>
      <c r="AR395" s="1"/>
      <c r="AS395" s="1"/>
    </row>
    <row r="396" spans="9:45" x14ac:dyDescent="0.3">
      <c r="I396" s="7"/>
      <c r="K396" s="7"/>
      <c r="N396" s="7"/>
      <c r="O396" s="7"/>
      <c r="Q396" s="7"/>
      <c r="T396" s="7"/>
      <c r="U396" s="7"/>
      <c r="W396" s="7"/>
      <c r="Z396" s="7"/>
      <c r="AA396" s="7"/>
      <c r="AC396" s="7"/>
      <c r="AF396" s="7"/>
      <c r="AG396" s="7"/>
      <c r="AI396" s="7"/>
      <c r="AL396" s="1"/>
      <c r="AM396" s="1"/>
      <c r="AO396" s="1"/>
      <c r="AR396" s="1"/>
      <c r="AS396" s="1"/>
    </row>
    <row r="397" spans="9:45" x14ac:dyDescent="0.3">
      <c r="I397" s="7"/>
      <c r="K397" s="7"/>
      <c r="N397" s="7"/>
      <c r="O397" s="7"/>
      <c r="Q397" s="7"/>
      <c r="T397" s="7"/>
      <c r="U397" s="7"/>
      <c r="W397" s="7"/>
      <c r="Z397" s="7"/>
      <c r="AA397" s="7"/>
      <c r="AC397" s="7"/>
      <c r="AF397" s="7"/>
      <c r="AG397" s="7"/>
      <c r="AI397" s="7"/>
      <c r="AL397" s="1"/>
      <c r="AM397" s="1"/>
      <c r="AO397" s="1"/>
      <c r="AR397" s="1"/>
      <c r="AS397" s="1"/>
    </row>
    <row r="398" spans="9:45" x14ac:dyDescent="0.3">
      <c r="I398" s="7"/>
      <c r="K398" s="7"/>
      <c r="N398" s="7"/>
      <c r="O398" s="7"/>
      <c r="Q398" s="7"/>
      <c r="T398" s="7"/>
      <c r="U398" s="7"/>
      <c r="W398" s="7"/>
      <c r="Z398" s="7"/>
      <c r="AA398" s="7"/>
      <c r="AC398" s="7"/>
      <c r="AF398" s="7"/>
      <c r="AG398" s="7"/>
      <c r="AI398" s="7"/>
      <c r="AL398" s="1"/>
      <c r="AM398" s="1"/>
      <c r="AO398" s="1"/>
      <c r="AR398" s="1"/>
      <c r="AS398" s="1"/>
    </row>
    <row r="399" spans="9:45" x14ac:dyDescent="0.3">
      <c r="I399" s="7"/>
      <c r="K399" s="7"/>
      <c r="N399" s="7"/>
      <c r="O399" s="7"/>
      <c r="Q399" s="7"/>
      <c r="T399" s="7"/>
      <c r="U399" s="7"/>
      <c r="W399" s="7"/>
      <c r="Z399" s="7"/>
      <c r="AA399" s="7"/>
      <c r="AC399" s="7"/>
      <c r="AF399" s="7"/>
      <c r="AG399" s="7"/>
      <c r="AI399" s="7"/>
      <c r="AL399" s="1"/>
      <c r="AM399" s="1"/>
      <c r="AO399" s="1"/>
      <c r="AR399" s="1"/>
      <c r="AS399" s="1"/>
    </row>
    <row r="400" spans="9:45" x14ac:dyDescent="0.3">
      <c r="I400" s="7"/>
      <c r="K400" s="7"/>
      <c r="N400" s="7"/>
      <c r="O400" s="7"/>
      <c r="Q400" s="7"/>
      <c r="T400" s="7"/>
      <c r="U400" s="7"/>
      <c r="W400" s="7"/>
      <c r="Z400" s="7"/>
      <c r="AA400" s="7"/>
      <c r="AC400" s="7"/>
      <c r="AF400" s="7"/>
      <c r="AG400" s="7"/>
      <c r="AI400" s="7"/>
      <c r="AL400" s="1"/>
      <c r="AM400" s="1"/>
      <c r="AO400" s="1"/>
      <c r="AR400" s="1"/>
      <c r="AS400" s="1"/>
    </row>
    <row r="401" spans="9:45" x14ac:dyDescent="0.3">
      <c r="I401" s="7"/>
      <c r="K401" s="7"/>
      <c r="N401" s="7"/>
      <c r="O401" s="7"/>
      <c r="Q401" s="7"/>
      <c r="T401" s="7"/>
      <c r="U401" s="7"/>
      <c r="W401" s="7"/>
      <c r="Z401" s="7"/>
      <c r="AA401" s="7"/>
      <c r="AC401" s="7"/>
      <c r="AF401" s="7"/>
      <c r="AG401" s="7"/>
      <c r="AI401" s="7"/>
      <c r="AL401" s="1"/>
      <c r="AM401" s="1"/>
      <c r="AO401" s="1"/>
      <c r="AR401" s="1"/>
      <c r="AS401" s="1"/>
    </row>
    <row r="402" spans="9:45" x14ac:dyDescent="0.3">
      <c r="I402" s="7"/>
      <c r="K402" s="7"/>
      <c r="N402" s="7"/>
      <c r="O402" s="7"/>
      <c r="Q402" s="7"/>
      <c r="T402" s="7"/>
      <c r="U402" s="7"/>
      <c r="W402" s="7"/>
      <c r="Z402" s="7"/>
      <c r="AA402" s="7"/>
      <c r="AC402" s="7"/>
      <c r="AF402" s="7"/>
      <c r="AG402" s="7"/>
      <c r="AI402" s="7"/>
      <c r="AL402" s="1"/>
      <c r="AM402" s="1"/>
      <c r="AO402" s="1"/>
      <c r="AR402" s="1"/>
      <c r="AS402" s="1"/>
    </row>
    <row r="403" spans="9:45" x14ac:dyDescent="0.3">
      <c r="I403" s="7"/>
      <c r="K403" s="7"/>
      <c r="N403" s="7"/>
      <c r="O403" s="7"/>
      <c r="Q403" s="7"/>
      <c r="T403" s="7"/>
      <c r="U403" s="7"/>
      <c r="W403" s="7"/>
      <c r="Z403" s="7"/>
      <c r="AA403" s="7"/>
      <c r="AC403" s="7"/>
      <c r="AF403" s="7"/>
      <c r="AG403" s="7"/>
      <c r="AI403" s="7"/>
      <c r="AL403" s="1"/>
      <c r="AM403" s="1"/>
      <c r="AO403" s="1"/>
      <c r="AR403" s="1"/>
      <c r="AS403" s="1"/>
    </row>
    <row r="404" spans="9:45" x14ac:dyDescent="0.3">
      <c r="I404" s="7"/>
      <c r="K404" s="7"/>
      <c r="N404" s="7"/>
      <c r="O404" s="7"/>
      <c r="Q404" s="7"/>
      <c r="T404" s="7"/>
      <c r="U404" s="7"/>
      <c r="W404" s="7"/>
      <c r="Z404" s="7"/>
      <c r="AA404" s="7"/>
      <c r="AC404" s="7"/>
      <c r="AF404" s="7"/>
      <c r="AG404" s="7"/>
      <c r="AI404" s="7"/>
      <c r="AL404" s="1"/>
      <c r="AM404" s="1"/>
      <c r="AO404" s="1"/>
      <c r="AR404" s="1"/>
      <c r="AS404" s="1"/>
    </row>
    <row r="405" spans="9:45" x14ac:dyDescent="0.3">
      <c r="I405" s="7"/>
      <c r="K405" s="7"/>
      <c r="N405" s="7"/>
      <c r="O405" s="7"/>
      <c r="Q405" s="7"/>
      <c r="T405" s="7"/>
      <c r="U405" s="7"/>
      <c r="W405" s="7"/>
      <c r="Z405" s="7"/>
      <c r="AA405" s="7"/>
      <c r="AC405" s="7"/>
      <c r="AF405" s="7"/>
      <c r="AG405" s="7"/>
      <c r="AI405" s="7"/>
      <c r="AL405" s="1"/>
      <c r="AM405" s="1"/>
      <c r="AO405" s="1"/>
      <c r="AR405" s="1"/>
      <c r="AS405" s="1"/>
    </row>
    <row r="406" spans="9:45" x14ac:dyDescent="0.3">
      <c r="I406" s="7"/>
      <c r="K406" s="7"/>
      <c r="N406" s="7"/>
      <c r="O406" s="7"/>
      <c r="Q406" s="7"/>
      <c r="T406" s="7"/>
      <c r="U406" s="7"/>
      <c r="W406" s="7"/>
      <c r="Z406" s="7"/>
      <c r="AA406" s="7"/>
      <c r="AC406" s="7"/>
      <c r="AF406" s="7"/>
      <c r="AG406" s="7"/>
      <c r="AI406" s="7"/>
      <c r="AL406" s="1"/>
      <c r="AM406" s="1"/>
      <c r="AO406" s="1"/>
      <c r="AR406" s="1"/>
      <c r="AS406" s="1"/>
    </row>
    <row r="407" spans="9:45" x14ac:dyDescent="0.3">
      <c r="I407" s="7"/>
      <c r="K407" s="7"/>
      <c r="N407" s="7"/>
      <c r="O407" s="7"/>
      <c r="Q407" s="7"/>
      <c r="T407" s="7"/>
      <c r="U407" s="7"/>
      <c r="W407" s="7"/>
      <c r="Z407" s="7"/>
      <c r="AA407" s="7"/>
      <c r="AC407" s="7"/>
      <c r="AF407" s="7"/>
      <c r="AG407" s="7"/>
      <c r="AI407" s="7"/>
      <c r="AL407" s="1"/>
      <c r="AM407" s="1"/>
      <c r="AO407" s="1"/>
      <c r="AR407" s="1"/>
      <c r="AS407" s="1"/>
    </row>
    <row r="408" spans="9:45" x14ac:dyDescent="0.3">
      <c r="I408" s="7"/>
      <c r="K408" s="7"/>
      <c r="N408" s="7"/>
      <c r="O408" s="7"/>
      <c r="Q408" s="7"/>
      <c r="T408" s="7"/>
      <c r="U408" s="7"/>
      <c r="W408" s="7"/>
      <c r="Z408" s="7"/>
      <c r="AA408" s="7"/>
      <c r="AC408" s="7"/>
      <c r="AF408" s="7"/>
      <c r="AG408" s="7"/>
      <c r="AI408" s="7"/>
      <c r="AL408" s="1"/>
      <c r="AM408" s="1"/>
      <c r="AO408" s="1"/>
      <c r="AR408" s="1"/>
      <c r="AS408" s="1"/>
    </row>
    <row r="409" spans="9:45" x14ac:dyDescent="0.3">
      <c r="I409" s="7"/>
      <c r="K409" s="7"/>
      <c r="N409" s="7"/>
      <c r="O409" s="7"/>
      <c r="Q409" s="7"/>
      <c r="T409" s="7"/>
      <c r="U409" s="7"/>
      <c r="W409" s="7"/>
      <c r="Z409" s="7"/>
      <c r="AA409" s="7"/>
      <c r="AC409" s="7"/>
      <c r="AF409" s="7"/>
      <c r="AG409" s="7"/>
      <c r="AI409" s="7"/>
      <c r="AL409" s="1"/>
      <c r="AM409" s="1"/>
      <c r="AO409" s="1"/>
      <c r="AR409" s="1"/>
      <c r="AS409" s="1"/>
    </row>
    <row r="410" spans="9:45" x14ac:dyDescent="0.3">
      <c r="I410" s="7"/>
      <c r="K410" s="7"/>
      <c r="N410" s="7"/>
      <c r="O410" s="7"/>
      <c r="Q410" s="7"/>
      <c r="T410" s="7"/>
      <c r="U410" s="7"/>
      <c r="W410" s="7"/>
      <c r="Z410" s="7"/>
      <c r="AA410" s="7"/>
      <c r="AC410" s="7"/>
      <c r="AF410" s="7"/>
      <c r="AG410" s="7"/>
      <c r="AI410" s="7"/>
      <c r="AL410" s="1"/>
      <c r="AM410" s="1"/>
      <c r="AO410" s="1"/>
      <c r="AR410" s="1"/>
      <c r="AS410" s="1"/>
    </row>
    <row r="411" spans="9:45" x14ac:dyDescent="0.3">
      <c r="I411" s="7"/>
      <c r="K411" s="7"/>
      <c r="N411" s="7"/>
      <c r="O411" s="7"/>
      <c r="Q411" s="7"/>
      <c r="T411" s="7"/>
      <c r="U411" s="7"/>
      <c r="W411" s="7"/>
      <c r="Z411" s="7"/>
      <c r="AA411" s="7"/>
      <c r="AC411" s="7"/>
      <c r="AF411" s="7"/>
      <c r="AG411" s="7"/>
      <c r="AI411" s="7"/>
      <c r="AL411" s="1"/>
      <c r="AM411" s="1"/>
      <c r="AO411" s="1"/>
      <c r="AR411" s="1"/>
      <c r="AS411" s="1"/>
    </row>
    <row r="412" spans="9:45" x14ac:dyDescent="0.3">
      <c r="I412" s="7"/>
      <c r="K412" s="7"/>
      <c r="N412" s="7"/>
      <c r="O412" s="7"/>
      <c r="Q412" s="7"/>
      <c r="T412" s="7"/>
      <c r="U412" s="7"/>
      <c r="W412" s="7"/>
      <c r="Z412" s="7"/>
      <c r="AA412" s="7"/>
      <c r="AC412" s="7"/>
      <c r="AF412" s="7"/>
      <c r="AG412" s="7"/>
      <c r="AI412" s="7"/>
      <c r="AL412" s="1"/>
      <c r="AM412" s="1"/>
      <c r="AO412" s="1"/>
      <c r="AR412" s="1"/>
      <c r="AS412" s="1"/>
    </row>
    <row r="413" spans="9:45" x14ac:dyDescent="0.3">
      <c r="I413" s="7"/>
      <c r="K413" s="7"/>
      <c r="N413" s="7"/>
      <c r="O413" s="7"/>
      <c r="Q413" s="7"/>
      <c r="T413" s="7"/>
      <c r="U413" s="7"/>
      <c r="W413" s="7"/>
      <c r="Z413" s="7"/>
      <c r="AA413" s="7"/>
      <c r="AC413" s="7"/>
      <c r="AF413" s="7"/>
      <c r="AG413" s="7"/>
      <c r="AI413" s="7"/>
      <c r="AL413" s="1"/>
      <c r="AM413" s="1"/>
      <c r="AO413" s="1"/>
      <c r="AR413" s="1"/>
      <c r="AS413" s="1"/>
    </row>
    <row r="414" spans="9:45" x14ac:dyDescent="0.3">
      <c r="I414" s="7"/>
      <c r="K414" s="7"/>
      <c r="N414" s="7"/>
      <c r="O414" s="7"/>
      <c r="Q414" s="7"/>
      <c r="T414" s="7"/>
      <c r="U414" s="7"/>
      <c r="W414" s="7"/>
      <c r="Z414" s="7"/>
      <c r="AA414" s="7"/>
      <c r="AC414" s="7"/>
      <c r="AF414" s="7"/>
      <c r="AG414" s="7"/>
      <c r="AI414" s="7"/>
      <c r="AL414" s="1"/>
      <c r="AM414" s="1"/>
      <c r="AO414" s="1"/>
      <c r="AR414" s="1"/>
      <c r="AS414" s="1"/>
    </row>
    <row r="415" spans="9:45" x14ac:dyDescent="0.3">
      <c r="I415" s="7"/>
      <c r="K415" s="7"/>
      <c r="N415" s="7"/>
      <c r="O415" s="7"/>
      <c r="Q415" s="7"/>
      <c r="T415" s="7"/>
      <c r="U415" s="7"/>
      <c r="W415" s="7"/>
      <c r="Z415" s="7"/>
      <c r="AA415" s="7"/>
      <c r="AC415" s="7"/>
      <c r="AF415" s="7"/>
      <c r="AG415" s="7"/>
      <c r="AI415" s="7"/>
      <c r="AL415" s="1"/>
      <c r="AM415" s="1"/>
      <c r="AO415" s="1"/>
      <c r="AR415" s="1"/>
      <c r="AS415" s="1"/>
    </row>
    <row r="416" spans="9:45" x14ac:dyDescent="0.3">
      <c r="I416" s="7"/>
      <c r="K416" s="7"/>
      <c r="N416" s="7"/>
      <c r="O416" s="7"/>
      <c r="Q416" s="7"/>
      <c r="T416" s="7"/>
      <c r="U416" s="7"/>
      <c r="W416" s="7"/>
      <c r="Z416" s="7"/>
      <c r="AA416" s="7"/>
      <c r="AC416" s="7"/>
      <c r="AF416" s="7"/>
      <c r="AG416" s="7"/>
      <c r="AI416" s="7"/>
      <c r="AL416" s="1"/>
      <c r="AM416" s="1"/>
      <c r="AO416" s="1"/>
      <c r="AR416" s="1"/>
      <c r="AS416" s="1"/>
    </row>
    <row r="417" spans="9:45" x14ac:dyDescent="0.3">
      <c r="I417" s="7"/>
      <c r="K417" s="7"/>
      <c r="N417" s="7"/>
      <c r="O417" s="7"/>
      <c r="Q417" s="7"/>
      <c r="T417" s="7"/>
      <c r="U417" s="7"/>
      <c r="W417" s="7"/>
      <c r="Z417" s="7"/>
      <c r="AA417" s="7"/>
      <c r="AC417" s="7"/>
      <c r="AF417" s="7"/>
      <c r="AG417" s="7"/>
      <c r="AI417" s="7"/>
      <c r="AL417" s="1"/>
      <c r="AM417" s="1"/>
      <c r="AO417" s="1"/>
      <c r="AR417" s="1"/>
      <c r="AS417" s="1"/>
    </row>
    <row r="418" spans="9:45" x14ac:dyDescent="0.3">
      <c r="I418" s="7"/>
      <c r="K418" s="7"/>
      <c r="N418" s="7"/>
      <c r="O418" s="7"/>
      <c r="Q418" s="7"/>
      <c r="T418" s="7"/>
      <c r="U418" s="7"/>
      <c r="W418" s="7"/>
      <c r="Z418" s="7"/>
      <c r="AA418" s="7"/>
      <c r="AC418" s="7"/>
      <c r="AF418" s="7"/>
      <c r="AG418" s="7"/>
      <c r="AI418" s="7"/>
      <c r="AL418" s="1"/>
      <c r="AM418" s="1"/>
      <c r="AO418" s="1"/>
      <c r="AR418" s="1"/>
      <c r="AS418" s="1"/>
    </row>
    <row r="419" spans="9:45" x14ac:dyDescent="0.3">
      <c r="I419" s="7"/>
      <c r="K419" s="7"/>
      <c r="N419" s="7"/>
      <c r="O419" s="7"/>
      <c r="Q419" s="7"/>
      <c r="T419" s="7"/>
      <c r="U419" s="7"/>
      <c r="W419" s="7"/>
      <c r="Z419" s="7"/>
      <c r="AA419" s="7"/>
      <c r="AC419" s="7"/>
      <c r="AF419" s="7"/>
      <c r="AG419" s="7"/>
      <c r="AI419" s="7"/>
      <c r="AL419" s="1"/>
      <c r="AM419" s="1"/>
      <c r="AO419" s="1"/>
      <c r="AR419" s="1"/>
      <c r="AS419" s="1"/>
    </row>
    <row r="420" spans="9:45" x14ac:dyDescent="0.3">
      <c r="I420" s="7"/>
      <c r="K420" s="7"/>
      <c r="N420" s="7"/>
      <c r="O420" s="7"/>
      <c r="Q420" s="7"/>
      <c r="T420" s="7"/>
      <c r="U420" s="7"/>
      <c r="W420" s="7"/>
      <c r="Z420" s="7"/>
      <c r="AA420" s="7"/>
      <c r="AC420" s="7"/>
      <c r="AF420" s="7"/>
      <c r="AG420" s="7"/>
      <c r="AI420" s="7"/>
      <c r="AL420" s="1"/>
      <c r="AM420" s="1"/>
      <c r="AO420" s="1"/>
      <c r="AR420" s="1"/>
      <c r="AS420" s="1"/>
    </row>
    <row r="421" spans="9:45" x14ac:dyDescent="0.3">
      <c r="I421" s="7"/>
      <c r="K421" s="7"/>
      <c r="N421" s="7"/>
      <c r="O421" s="7"/>
      <c r="Q421" s="7"/>
      <c r="T421" s="7"/>
      <c r="U421" s="7"/>
      <c r="W421" s="7"/>
      <c r="Z421" s="7"/>
      <c r="AA421" s="7"/>
      <c r="AC421" s="7"/>
      <c r="AF421" s="7"/>
      <c r="AG421" s="7"/>
      <c r="AI421" s="7"/>
      <c r="AL421" s="1"/>
      <c r="AM421" s="1"/>
      <c r="AO421" s="1"/>
      <c r="AR421" s="1"/>
      <c r="AS421" s="1"/>
    </row>
    <row r="422" spans="9:45" x14ac:dyDescent="0.3">
      <c r="I422" s="7"/>
      <c r="K422" s="7"/>
      <c r="N422" s="7"/>
      <c r="O422" s="7"/>
      <c r="Q422" s="7"/>
      <c r="T422" s="7"/>
      <c r="U422" s="7"/>
      <c r="W422" s="7"/>
      <c r="Z422" s="7"/>
      <c r="AA422" s="7"/>
      <c r="AC422" s="7"/>
      <c r="AF422" s="7"/>
      <c r="AG422" s="7"/>
      <c r="AI422" s="7"/>
      <c r="AL422" s="1"/>
      <c r="AM422" s="1"/>
      <c r="AO422" s="1"/>
      <c r="AR422" s="1"/>
      <c r="AS422" s="1"/>
    </row>
    <row r="423" spans="9:45" x14ac:dyDescent="0.3">
      <c r="I423" s="7"/>
      <c r="K423" s="7"/>
      <c r="N423" s="7"/>
      <c r="O423" s="7"/>
      <c r="Q423" s="7"/>
      <c r="T423" s="7"/>
      <c r="U423" s="7"/>
      <c r="W423" s="7"/>
      <c r="Z423" s="7"/>
      <c r="AA423" s="7"/>
      <c r="AC423" s="7"/>
      <c r="AF423" s="7"/>
      <c r="AG423" s="7"/>
      <c r="AI423" s="7"/>
      <c r="AL423" s="1"/>
      <c r="AM423" s="1"/>
      <c r="AO423" s="1"/>
      <c r="AR423" s="1"/>
      <c r="AS423" s="1"/>
    </row>
    <row r="424" spans="9:45" x14ac:dyDescent="0.3">
      <c r="I424" s="7"/>
      <c r="K424" s="7"/>
      <c r="N424" s="7"/>
      <c r="O424" s="7"/>
      <c r="Q424" s="7"/>
      <c r="T424" s="7"/>
      <c r="U424" s="7"/>
      <c r="W424" s="7"/>
      <c r="Z424" s="7"/>
      <c r="AA424" s="7"/>
      <c r="AC424" s="7"/>
      <c r="AF424" s="7"/>
      <c r="AG424" s="7"/>
      <c r="AI424" s="7"/>
      <c r="AL424" s="1"/>
      <c r="AM424" s="1"/>
      <c r="AO424" s="1"/>
      <c r="AR424" s="1"/>
      <c r="AS424" s="1"/>
    </row>
    <row r="425" spans="9:45" x14ac:dyDescent="0.3">
      <c r="I425" s="7"/>
      <c r="K425" s="7"/>
      <c r="N425" s="7"/>
      <c r="O425" s="7"/>
      <c r="Q425" s="7"/>
      <c r="T425" s="7"/>
      <c r="U425" s="7"/>
      <c r="W425" s="7"/>
      <c r="Z425" s="7"/>
      <c r="AA425" s="7"/>
      <c r="AC425" s="7"/>
      <c r="AF425" s="7"/>
      <c r="AG425" s="7"/>
      <c r="AI425" s="7"/>
      <c r="AL425" s="1"/>
      <c r="AM425" s="1"/>
      <c r="AO425" s="1"/>
      <c r="AR425" s="1"/>
      <c r="AS425" s="1"/>
    </row>
    <row r="426" spans="9:45" x14ac:dyDescent="0.3">
      <c r="I426" s="7"/>
      <c r="K426" s="7"/>
      <c r="N426" s="7"/>
      <c r="O426" s="7"/>
      <c r="Q426" s="7"/>
      <c r="T426" s="7"/>
      <c r="U426" s="7"/>
      <c r="W426" s="7"/>
      <c r="Z426" s="7"/>
      <c r="AA426" s="7"/>
      <c r="AC426" s="7"/>
      <c r="AF426" s="7"/>
      <c r="AG426" s="7"/>
      <c r="AI426" s="7"/>
      <c r="AL426" s="1"/>
      <c r="AM426" s="1"/>
      <c r="AO426" s="1"/>
      <c r="AR426" s="1"/>
      <c r="AS426" s="1"/>
    </row>
    <row r="427" spans="9:45" x14ac:dyDescent="0.3">
      <c r="I427" s="7"/>
      <c r="K427" s="7"/>
      <c r="N427" s="7"/>
      <c r="O427" s="7"/>
      <c r="Q427" s="7"/>
      <c r="T427" s="7"/>
      <c r="U427" s="7"/>
      <c r="W427" s="7"/>
      <c r="Z427" s="7"/>
      <c r="AA427" s="7"/>
      <c r="AC427" s="7"/>
      <c r="AF427" s="7"/>
      <c r="AG427" s="7"/>
      <c r="AI427" s="7"/>
      <c r="AL427" s="1"/>
      <c r="AM427" s="1"/>
      <c r="AO427" s="1"/>
      <c r="AR427" s="1"/>
      <c r="AS427" s="1"/>
    </row>
    <row r="428" spans="9:45" x14ac:dyDescent="0.3">
      <c r="I428" s="7"/>
      <c r="K428" s="7"/>
      <c r="N428" s="7"/>
      <c r="O428" s="7"/>
      <c r="Q428" s="7"/>
      <c r="T428" s="7"/>
      <c r="U428" s="7"/>
      <c r="W428" s="7"/>
      <c r="Z428" s="7"/>
      <c r="AA428" s="7"/>
      <c r="AC428" s="7"/>
      <c r="AF428" s="7"/>
      <c r="AG428" s="7"/>
      <c r="AI428" s="7"/>
      <c r="AL428" s="1"/>
      <c r="AM428" s="1"/>
      <c r="AO428" s="1"/>
      <c r="AR428" s="1"/>
      <c r="AS428" s="1"/>
    </row>
    <row r="429" spans="9:45" x14ac:dyDescent="0.3">
      <c r="I429" s="7"/>
      <c r="K429" s="7"/>
      <c r="N429" s="7"/>
      <c r="O429" s="7"/>
      <c r="Q429" s="7"/>
      <c r="T429" s="7"/>
      <c r="U429" s="7"/>
      <c r="W429" s="7"/>
      <c r="Z429" s="7"/>
      <c r="AA429" s="7"/>
      <c r="AC429" s="7"/>
      <c r="AF429" s="7"/>
      <c r="AG429" s="7"/>
      <c r="AI429" s="7"/>
      <c r="AL429" s="1"/>
      <c r="AM429" s="1"/>
      <c r="AO429" s="1"/>
      <c r="AR429" s="1"/>
      <c r="AS429" s="1"/>
    </row>
    <row r="430" spans="9:45" x14ac:dyDescent="0.3">
      <c r="I430" s="7"/>
      <c r="K430" s="7"/>
      <c r="N430" s="7"/>
      <c r="O430" s="7"/>
      <c r="Q430" s="7"/>
      <c r="T430" s="7"/>
      <c r="U430" s="7"/>
      <c r="W430" s="7"/>
      <c r="Z430" s="7"/>
      <c r="AA430" s="7"/>
      <c r="AC430" s="7"/>
      <c r="AF430" s="7"/>
      <c r="AG430" s="7"/>
      <c r="AI430" s="7"/>
      <c r="AL430" s="1"/>
      <c r="AM430" s="1"/>
      <c r="AO430" s="1"/>
      <c r="AR430" s="1"/>
      <c r="AS430" s="1"/>
    </row>
    <row r="431" spans="9:45" x14ac:dyDescent="0.3">
      <c r="I431" s="7"/>
      <c r="K431" s="7"/>
      <c r="N431" s="7"/>
      <c r="O431" s="7"/>
      <c r="Q431" s="7"/>
      <c r="T431" s="7"/>
      <c r="U431" s="7"/>
      <c r="W431" s="7"/>
      <c r="Z431" s="7"/>
      <c r="AA431" s="7"/>
      <c r="AC431" s="7"/>
      <c r="AF431" s="7"/>
      <c r="AG431" s="7"/>
      <c r="AI431" s="7"/>
      <c r="AL431" s="1"/>
      <c r="AM431" s="1"/>
      <c r="AO431" s="1"/>
      <c r="AR431" s="1"/>
      <c r="AS431" s="1"/>
    </row>
    <row r="432" spans="9:45" x14ac:dyDescent="0.3">
      <c r="I432" s="7"/>
      <c r="K432" s="7"/>
      <c r="N432" s="7"/>
      <c r="O432" s="7"/>
      <c r="Q432" s="7"/>
      <c r="T432" s="7"/>
      <c r="U432" s="7"/>
      <c r="W432" s="7"/>
      <c r="Z432" s="7"/>
      <c r="AA432" s="7"/>
      <c r="AC432" s="7"/>
      <c r="AF432" s="7"/>
      <c r="AG432" s="7"/>
      <c r="AI432" s="7"/>
      <c r="AL432" s="1"/>
      <c r="AM432" s="1"/>
      <c r="AO432" s="1"/>
      <c r="AR432" s="1"/>
      <c r="AS432" s="1"/>
    </row>
    <row r="433" spans="9:45" x14ac:dyDescent="0.3">
      <c r="I433" s="7"/>
      <c r="K433" s="7"/>
      <c r="N433" s="7"/>
      <c r="O433" s="7"/>
      <c r="Q433" s="7"/>
      <c r="T433" s="7"/>
      <c r="U433" s="7"/>
      <c r="W433" s="7"/>
      <c r="Z433" s="7"/>
      <c r="AA433" s="7"/>
      <c r="AC433" s="7"/>
      <c r="AF433" s="7"/>
      <c r="AG433" s="7"/>
      <c r="AI433" s="7"/>
      <c r="AL433" s="1"/>
      <c r="AM433" s="1"/>
      <c r="AO433" s="1"/>
      <c r="AR433" s="1"/>
      <c r="AS433" s="1"/>
    </row>
    <row r="434" spans="9:45" x14ac:dyDescent="0.3">
      <c r="I434" s="7"/>
      <c r="K434" s="7"/>
      <c r="N434" s="7"/>
      <c r="O434" s="7"/>
      <c r="Q434" s="7"/>
      <c r="T434" s="7"/>
      <c r="U434" s="7"/>
      <c r="W434" s="7"/>
      <c r="Z434" s="7"/>
      <c r="AA434" s="7"/>
      <c r="AC434" s="7"/>
      <c r="AF434" s="7"/>
      <c r="AG434" s="7"/>
      <c r="AI434" s="7"/>
      <c r="AL434" s="1"/>
      <c r="AM434" s="1"/>
      <c r="AO434" s="1"/>
      <c r="AR434" s="1"/>
      <c r="AS434" s="1"/>
    </row>
    <row r="435" spans="9:45" x14ac:dyDescent="0.3">
      <c r="I435" s="7"/>
      <c r="K435" s="7"/>
      <c r="N435" s="7"/>
      <c r="O435" s="7"/>
      <c r="Q435" s="7"/>
      <c r="T435" s="7"/>
      <c r="U435" s="7"/>
      <c r="W435" s="7"/>
      <c r="Z435" s="7"/>
      <c r="AA435" s="7"/>
      <c r="AC435" s="7"/>
      <c r="AF435" s="7"/>
      <c r="AG435" s="7"/>
      <c r="AI435" s="7"/>
      <c r="AL435" s="1"/>
      <c r="AM435" s="1"/>
      <c r="AO435" s="1"/>
      <c r="AR435" s="1"/>
      <c r="AS435" s="1"/>
    </row>
    <row r="436" spans="9:45" x14ac:dyDescent="0.3">
      <c r="I436" s="7"/>
      <c r="K436" s="7"/>
      <c r="N436" s="7"/>
      <c r="O436" s="7"/>
      <c r="Q436" s="7"/>
      <c r="T436" s="7"/>
      <c r="U436" s="7"/>
      <c r="W436" s="7"/>
      <c r="Z436" s="7"/>
      <c r="AA436" s="7"/>
      <c r="AC436" s="7"/>
      <c r="AF436" s="7"/>
      <c r="AG436" s="7"/>
      <c r="AI436" s="7"/>
      <c r="AL436" s="1"/>
      <c r="AM436" s="1"/>
      <c r="AO436" s="1"/>
      <c r="AR436" s="1"/>
      <c r="AS436" s="1"/>
    </row>
    <row r="437" spans="9:45" x14ac:dyDescent="0.3">
      <c r="I437" s="7"/>
      <c r="K437" s="7"/>
      <c r="N437" s="7"/>
      <c r="O437" s="7"/>
      <c r="Q437" s="7"/>
      <c r="T437" s="7"/>
      <c r="U437" s="7"/>
      <c r="W437" s="7"/>
      <c r="Z437" s="7"/>
      <c r="AA437" s="7"/>
      <c r="AC437" s="7"/>
      <c r="AF437" s="7"/>
      <c r="AG437" s="7"/>
      <c r="AI437" s="7"/>
      <c r="AL437" s="1"/>
      <c r="AM437" s="1"/>
      <c r="AO437" s="1"/>
      <c r="AR437" s="1"/>
      <c r="AS437" s="1"/>
    </row>
    <row r="438" spans="9:45" x14ac:dyDescent="0.3">
      <c r="I438" s="7"/>
      <c r="K438" s="7"/>
      <c r="N438" s="7"/>
      <c r="O438" s="7"/>
      <c r="Q438" s="7"/>
      <c r="T438" s="7"/>
      <c r="U438" s="7"/>
      <c r="W438" s="7"/>
      <c r="Z438" s="7"/>
      <c r="AA438" s="7"/>
      <c r="AC438" s="7"/>
      <c r="AF438" s="7"/>
      <c r="AG438" s="7"/>
      <c r="AI438" s="7"/>
      <c r="AL438" s="1"/>
      <c r="AM438" s="1"/>
      <c r="AO438" s="1"/>
      <c r="AR438" s="1"/>
      <c r="AS438" s="1"/>
    </row>
    <row r="439" spans="9:45" x14ac:dyDescent="0.3">
      <c r="I439" s="7"/>
      <c r="K439" s="7"/>
      <c r="N439" s="7"/>
      <c r="O439" s="7"/>
      <c r="Q439" s="7"/>
      <c r="T439" s="7"/>
      <c r="U439" s="7"/>
      <c r="W439" s="7"/>
      <c r="Z439" s="7"/>
      <c r="AA439" s="7"/>
      <c r="AC439" s="7"/>
      <c r="AF439" s="7"/>
      <c r="AG439" s="7"/>
      <c r="AI439" s="7"/>
      <c r="AL439" s="1"/>
      <c r="AM439" s="1"/>
      <c r="AO439" s="1"/>
      <c r="AR439" s="1"/>
      <c r="AS439" s="1"/>
    </row>
    <row r="440" spans="9:45" x14ac:dyDescent="0.3">
      <c r="I440" s="7"/>
      <c r="K440" s="7"/>
      <c r="N440" s="7"/>
      <c r="O440" s="7"/>
      <c r="Q440" s="7"/>
      <c r="T440" s="7"/>
      <c r="U440" s="7"/>
      <c r="W440" s="7"/>
      <c r="Z440" s="7"/>
      <c r="AA440" s="7"/>
      <c r="AC440" s="7"/>
      <c r="AF440" s="7"/>
      <c r="AG440" s="7"/>
      <c r="AI440" s="7"/>
      <c r="AL440" s="1"/>
      <c r="AM440" s="1"/>
      <c r="AO440" s="1"/>
      <c r="AR440" s="1"/>
      <c r="AS440" s="1"/>
    </row>
    <row r="441" spans="9:45" x14ac:dyDescent="0.3">
      <c r="I441" s="7"/>
      <c r="K441" s="7"/>
      <c r="N441" s="7"/>
      <c r="O441" s="7"/>
      <c r="Q441" s="7"/>
      <c r="T441" s="7"/>
      <c r="U441" s="7"/>
      <c r="W441" s="7"/>
      <c r="Z441" s="7"/>
      <c r="AA441" s="7"/>
      <c r="AC441" s="7"/>
      <c r="AF441" s="7"/>
      <c r="AG441" s="7"/>
      <c r="AI441" s="7"/>
      <c r="AL441" s="1"/>
      <c r="AM441" s="1"/>
      <c r="AO441" s="1"/>
      <c r="AR441" s="1"/>
      <c r="AS441" s="1"/>
    </row>
    <row r="442" spans="9:45" x14ac:dyDescent="0.3">
      <c r="I442" s="7"/>
      <c r="K442" s="7"/>
      <c r="N442" s="7"/>
      <c r="O442" s="7"/>
      <c r="Q442" s="7"/>
      <c r="T442" s="7"/>
      <c r="U442" s="7"/>
      <c r="W442" s="7"/>
      <c r="Z442" s="7"/>
      <c r="AA442" s="7"/>
      <c r="AC442" s="7"/>
      <c r="AF442" s="7"/>
      <c r="AG442" s="7"/>
      <c r="AI442" s="7"/>
      <c r="AL442" s="1"/>
      <c r="AM442" s="1"/>
      <c r="AO442" s="1"/>
      <c r="AR442" s="1"/>
      <c r="AS442" s="1"/>
    </row>
    <row r="443" spans="9:45" x14ac:dyDescent="0.3">
      <c r="I443" s="7"/>
      <c r="K443" s="7"/>
      <c r="N443" s="7"/>
      <c r="O443" s="7"/>
      <c r="Q443" s="7"/>
      <c r="T443" s="7"/>
      <c r="U443" s="7"/>
      <c r="W443" s="7"/>
      <c r="Z443" s="7"/>
      <c r="AA443" s="7"/>
      <c r="AC443" s="7"/>
      <c r="AF443" s="7"/>
      <c r="AG443" s="7"/>
      <c r="AI443" s="7"/>
      <c r="AL443" s="1"/>
      <c r="AM443" s="1"/>
      <c r="AO443" s="1"/>
      <c r="AR443" s="1"/>
      <c r="AS443" s="1"/>
    </row>
    <row r="444" spans="9:45" x14ac:dyDescent="0.3">
      <c r="I444" s="7"/>
      <c r="K444" s="7"/>
      <c r="N444" s="7"/>
      <c r="O444" s="7"/>
      <c r="Q444" s="7"/>
      <c r="T444" s="7"/>
      <c r="U444" s="7"/>
      <c r="W444" s="7"/>
      <c r="Z444" s="7"/>
      <c r="AA444" s="7"/>
      <c r="AC444" s="7"/>
      <c r="AF444" s="7"/>
      <c r="AG444" s="7"/>
      <c r="AI444" s="7"/>
      <c r="AL444" s="1"/>
      <c r="AM444" s="1"/>
      <c r="AO444" s="1"/>
      <c r="AR444" s="1"/>
      <c r="AS444" s="1"/>
    </row>
    <row r="445" spans="9:45" x14ac:dyDescent="0.3">
      <c r="I445" s="7"/>
      <c r="K445" s="7"/>
      <c r="N445" s="7"/>
      <c r="O445" s="7"/>
      <c r="Q445" s="7"/>
      <c r="T445" s="7"/>
      <c r="U445" s="7"/>
      <c r="W445" s="7"/>
      <c r="Z445" s="7"/>
      <c r="AA445" s="7"/>
      <c r="AC445" s="7"/>
      <c r="AF445" s="7"/>
      <c r="AG445" s="7"/>
      <c r="AI445" s="7"/>
      <c r="AL445" s="1"/>
      <c r="AM445" s="1"/>
      <c r="AO445" s="1"/>
      <c r="AR445" s="1"/>
      <c r="AS445" s="1"/>
    </row>
    <row r="446" spans="9:45" x14ac:dyDescent="0.3">
      <c r="I446" s="7"/>
      <c r="K446" s="7"/>
      <c r="N446" s="7"/>
      <c r="O446" s="7"/>
      <c r="Q446" s="7"/>
      <c r="T446" s="7"/>
      <c r="U446" s="7"/>
      <c r="W446" s="7"/>
      <c r="Z446" s="7"/>
      <c r="AA446" s="7"/>
      <c r="AC446" s="7"/>
      <c r="AF446" s="7"/>
      <c r="AG446" s="7"/>
      <c r="AI446" s="7"/>
      <c r="AL446" s="1"/>
      <c r="AM446" s="1"/>
      <c r="AO446" s="1"/>
      <c r="AR446" s="1"/>
      <c r="AS446" s="1"/>
    </row>
    <row r="447" spans="9:45" x14ac:dyDescent="0.3">
      <c r="I447" s="7"/>
      <c r="K447" s="7"/>
      <c r="N447" s="7"/>
      <c r="O447" s="7"/>
      <c r="Q447" s="7"/>
      <c r="T447" s="7"/>
      <c r="U447" s="7"/>
      <c r="W447" s="7"/>
      <c r="Z447" s="7"/>
      <c r="AA447" s="7"/>
      <c r="AC447" s="7"/>
      <c r="AF447" s="7"/>
      <c r="AG447" s="7"/>
      <c r="AI447" s="7"/>
      <c r="AL447" s="1"/>
      <c r="AM447" s="1"/>
      <c r="AO447" s="1"/>
      <c r="AR447" s="1"/>
      <c r="AS447" s="1"/>
    </row>
    <row r="448" spans="9:45" x14ac:dyDescent="0.3">
      <c r="I448" s="7"/>
      <c r="K448" s="7"/>
      <c r="N448" s="7"/>
      <c r="O448" s="7"/>
      <c r="Q448" s="7"/>
      <c r="T448" s="7"/>
      <c r="U448" s="7"/>
      <c r="W448" s="7"/>
      <c r="Z448" s="7"/>
      <c r="AA448" s="7"/>
      <c r="AC448" s="7"/>
      <c r="AF448" s="7"/>
      <c r="AG448" s="7"/>
      <c r="AI448" s="7"/>
      <c r="AL448" s="1"/>
      <c r="AM448" s="1"/>
      <c r="AO448" s="1"/>
      <c r="AR448" s="1"/>
      <c r="AS448" s="1"/>
    </row>
    <row r="449" spans="9:45" x14ac:dyDescent="0.3">
      <c r="I449" s="7"/>
      <c r="K449" s="7"/>
      <c r="N449" s="7"/>
      <c r="O449" s="7"/>
      <c r="Q449" s="7"/>
      <c r="T449" s="7"/>
      <c r="U449" s="7"/>
      <c r="W449" s="7"/>
      <c r="Z449" s="7"/>
      <c r="AA449" s="7"/>
      <c r="AC449" s="7"/>
      <c r="AF449" s="7"/>
      <c r="AG449" s="7"/>
      <c r="AI449" s="7"/>
      <c r="AL449" s="1"/>
      <c r="AM449" s="1"/>
      <c r="AO449" s="1"/>
      <c r="AR449" s="1"/>
      <c r="AS449" s="1"/>
    </row>
    <row r="450" spans="9:45" x14ac:dyDescent="0.3">
      <c r="I450" s="7"/>
      <c r="K450" s="7"/>
      <c r="N450" s="7"/>
      <c r="O450" s="7"/>
      <c r="Q450" s="7"/>
      <c r="T450" s="7"/>
      <c r="U450" s="7"/>
      <c r="W450" s="7"/>
      <c r="Z450" s="7"/>
      <c r="AA450" s="7"/>
      <c r="AC450" s="7"/>
      <c r="AF450" s="7"/>
      <c r="AG450" s="7"/>
      <c r="AI450" s="7"/>
      <c r="AL450" s="1"/>
      <c r="AM450" s="1"/>
      <c r="AO450" s="1"/>
      <c r="AR450" s="1"/>
      <c r="AS450" s="1"/>
    </row>
    <row r="451" spans="9:45" x14ac:dyDescent="0.3">
      <c r="I451" s="7"/>
      <c r="K451" s="7"/>
      <c r="N451" s="7"/>
      <c r="O451" s="7"/>
      <c r="Q451" s="7"/>
      <c r="T451" s="7"/>
      <c r="U451" s="7"/>
      <c r="W451" s="7"/>
      <c r="Z451" s="7"/>
      <c r="AA451" s="7"/>
      <c r="AC451" s="7"/>
      <c r="AF451" s="7"/>
      <c r="AG451" s="7"/>
      <c r="AI451" s="7"/>
      <c r="AL451" s="1"/>
      <c r="AM451" s="1"/>
      <c r="AO451" s="1"/>
      <c r="AR451" s="1"/>
      <c r="AS451" s="1"/>
    </row>
    <row r="452" spans="9:45" x14ac:dyDescent="0.3">
      <c r="I452" s="7"/>
      <c r="K452" s="7"/>
      <c r="N452" s="7"/>
      <c r="O452" s="7"/>
      <c r="Q452" s="7"/>
      <c r="T452" s="7"/>
      <c r="U452" s="7"/>
      <c r="W452" s="7"/>
      <c r="Z452" s="7"/>
      <c r="AA452" s="7"/>
      <c r="AC452" s="7"/>
      <c r="AF452" s="7"/>
      <c r="AG452" s="7"/>
      <c r="AI452" s="7"/>
      <c r="AL452" s="1"/>
      <c r="AM452" s="1"/>
      <c r="AO452" s="1"/>
      <c r="AR452" s="1"/>
      <c r="AS452" s="1"/>
    </row>
    <row r="453" spans="9:45" x14ac:dyDescent="0.3">
      <c r="I453" s="7"/>
      <c r="K453" s="7"/>
      <c r="N453" s="7"/>
      <c r="O453" s="7"/>
      <c r="Q453" s="7"/>
      <c r="T453" s="7"/>
      <c r="U453" s="7"/>
      <c r="W453" s="7"/>
      <c r="Z453" s="7"/>
      <c r="AA453" s="7"/>
      <c r="AC453" s="7"/>
      <c r="AF453" s="7"/>
      <c r="AG453" s="7"/>
      <c r="AI453" s="7"/>
      <c r="AL453" s="1"/>
      <c r="AM453" s="1"/>
      <c r="AO453" s="1"/>
      <c r="AR453" s="1"/>
      <c r="AS453" s="1"/>
    </row>
    <row r="454" spans="9:45" x14ac:dyDescent="0.3">
      <c r="I454" s="7"/>
      <c r="K454" s="7"/>
      <c r="N454" s="7"/>
      <c r="O454" s="7"/>
      <c r="Q454" s="7"/>
      <c r="T454" s="7"/>
      <c r="U454" s="7"/>
      <c r="W454" s="7"/>
      <c r="Z454" s="7"/>
      <c r="AA454" s="7"/>
      <c r="AC454" s="7"/>
      <c r="AF454" s="7"/>
      <c r="AG454" s="7"/>
      <c r="AI454" s="7"/>
      <c r="AL454" s="1"/>
      <c r="AM454" s="1"/>
      <c r="AO454" s="1"/>
      <c r="AR454" s="1"/>
      <c r="AS454" s="1"/>
    </row>
    <row r="455" spans="9:45" x14ac:dyDescent="0.3">
      <c r="I455" s="7"/>
      <c r="K455" s="7"/>
      <c r="N455" s="7"/>
      <c r="O455" s="7"/>
      <c r="Q455" s="7"/>
      <c r="T455" s="7"/>
      <c r="U455" s="7"/>
      <c r="W455" s="7"/>
      <c r="Z455" s="7"/>
      <c r="AA455" s="7"/>
      <c r="AC455" s="7"/>
      <c r="AF455" s="7"/>
      <c r="AG455" s="7"/>
      <c r="AI455" s="7"/>
      <c r="AL455" s="1"/>
      <c r="AM455" s="1"/>
      <c r="AO455" s="1"/>
      <c r="AR455" s="1"/>
      <c r="AS455" s="1"/>
    </row>
    <row r="456" spans="9:45" x14ac:dyDescent="0.3">
      <c r="I456" s="7"/>
      <c r="K456" s="7"/>
      <c r="N456" s="7"/>
      <c r="O456" s="7"/>
      <c r="Q456" s="7"/>
      <c r="T456" s="7"/>
      <c r="U456" s="7"/>
      <c r="W456" s="7"/>
      <c r="Z456" s="7"/>
      <c r="AA456" s="7"/>
      <c r="AC456" s="7"/>
      <c r="AF456" s="7"/>
      <c r="AG456" s="7"/>
      <c r="AI456" s="7"/>
      <c r="AL456" s="1"/>
      <c r="AM456" s="1"/>
      <c r="AO456" s="1"/>
      <c r="AR456" s="1"/>
      <c r="AS456" s="1"/>
    </row>
    <row r="457" spans="9:45" x14ac:dyDescent="0.3">
      <c r="I457" s="7"/>
      <c r="K457" s="7"/>
      <c r="N457" s="7"/>
      <c r="O457" s="7"/>
      <c r="Q457" s="7"/>
      <c r="T457" s="7"/>
      <c r="U457" s="7"/>
      <c r="W457" s="7"/>
      <c r="Z457" s="7"/>
      <c r="AA457" s="7"/>
      <c r="AC457" s="7"/>
      <c r="AF457" s="7"/>
      <c r="AG457" s="7"/>
      <c r="AI457" s="7"/>
      <c r="AL457" s="1"/>
      <c r="AM457" s="1"/>
      <c r="AO457" s="1"/>
      <c r="AR457" s="1"/>
      <c r="AS457" s="1"/>
    </row>
    <row r="458" spans="9:45" x14ac:dyDescent="0.3">
      <c r="I458" s="7"/>
      <c r="K458" s="7"/>
      <c r="N458" s="7"/>
      <c r="O458" s="7"/>
      <c r="Q458" s="7"/>
      <c r="T458" s="7"/>
      <c r="U458" s="7"/>
      <c r="W458" s="7"/>
      <c r="Z458" s="7"/>
      <c r="AA458" s="7"/>
      <c r="AC458" s="7"/>
      <c r="AF458" s="7"/>
      <c r="AG458" s="7"/>
      <c r="AI458" s="7"/>
      <c r="AL458" s="1"/>
      <c r="AM458" s="1"/>
      <c r="AO458" s="1"/>
      <c r="AR458" s="1"/>
      <c r="AS458" s="1"/>
    </row>
    <row r="459" spans="9:45" x14ac:dyDescent="0.3">
      <c r="I459" s="7"/>
      <c r="K459" s="7"/>
      <c r="N459" s="7"/>
      <c r="O459" s="7"/>
      <c r="Q459" s="7"/>
      <c r="T459" s="7"/>
      <c r="U459" s="7"/>
      <c r="W459" s="7"/>
      <c r="Z459" s="7"/>
      <c r="AA459" s="7"/>
      <c r="AC459" s="7"/>
      <c r="AF459" s="7"/>
      <c r="AG459" s="7"/>
      <c r="AI459" s="7"/>
      <c r="AL459" s="1"/>
      <c r="AM459" s="1"/>
      <c r="AO459" s="1"/>
      <c r="AR459" s="1"/>
      <c r="AS459" s="1"/>
    </row>
    <row r="460" spans="9:45" x14ac:dyDescent="0.3">
      <c r="I460" s="7"/>
      <c r="K460" s="7"/>
      <c r="N460" s="7"/>
      <c r="O460" s="7"/>
      <c r="Q460" s="7"/>
      <c r="T460" s="7"/>
      <c r="U460" s="7"/>
      <c r="W460" s="7"/>
      <c r="Z460" s="7"/>
      <c r="AA460" s="7"/>
      <c r="AC460" s="7"/>
      <c r="AF460" s="7"/>
      <c r="AG460" s="7"/>
      <c r="AI460" s="7"/>
      <c r="AL460" s="1"/>
      <c r="AM460" s="1"/>
      <c r="AO460" s="1"/>
      <c r="AR460" s="1"/>
      <c r="AS460" s="1"/>
    </row>
    <row r="461" spans="9:45" x14ac:dyDescent="0.3">
      <c r="I461" s="7"/>
      <c r="K461" s="7"/>
      <c r="N461" s="7"/>
      <c r="O461" s="7"/>
      <c r="Q461" s="7"/>
      <c r="T461" s="7"/>
      <c r="U461" s="7"/>
      <c r="W461" s="7"/>
      <c r="Z461" s="7"/>
      <c r="AA461" s="7"/>
      <c r="AC461" s="7"/>
      <c r="AF461" s="7"/>
      <c r="AG461" s="7"/>
      <c r="AI461" s="7"/>
      <c r="AL461" s="1"/>
      <c r="AM461" s="1"/>
      <c r="AO461" s="1"/>
      <c r="AR461" s="1"/>
      <c r="AS461" s="1"/>
    </row>
    <row r="462" spans="9:45" x14ac:dyDescent="0.3">
      <c r="I462" s="7"/>
      <c r="K462" s="7"/>
      <c r="N462" s="7"/>
      <c r="O462" s="7"/>
      <c r="Q462" s="7"/>
      <c r="T462" s="7"/>
      <c r="U462" s="7"/>
      <c r="W462" s="7"/>
      <c r="Z462" s="7"/>
      <c r="AA462" s="7"/>
      <c r="AC462" s="7"/>
      <c r="AF462" s="7"/>
      <c r="AG462" s="7"/>
      <c r="AI462" s="7"/>
      <c r="AL462" s="1"/>
      <c r="AM462" s="1"/>
      <c r="AO462" s="1"/>
      <c r="AR462" s="1"/>
      <c r="AS462" s="1"/>
    </row>
    <row r="463" spans="9:45" x14ac:dyDescent="0.3">
      <c r="I463" s="7"/>
      <c r="K463" s="7"/>
      <c r="N463" s="7"/>
      <c r="O463" s="7"/>
      <c r="Q463" s="7"/>
      <c r="T463" s="7"/>
      <c r="U463" s="7"/>
      <c r="W463" s="7"/>
      <c r="Z463" s="7"/>
      <c r="AA463" s="7"/>
      <c r="AC463" s="7"/>
      <c r="AF463" s="7"/>
      <c r="AG463" s="7"/>
      <c r="AI463" s="7"/>
      <c r="AL463" s="1"/>
      <c r="AM463" s="1"/>
      <c r="AO463" s="1"/>
      <c r="AR463" s="1"/>
      <c r="AS463" s="1"/>
    </row>
    <row r="464" spans="9:45" x14ac:dyDescent="0.3">
      <c r="I464" s="7"/>
      <c r="K464" s="7"/>
      <c r="N464" s="7"/>
      <c r="O464" s="7"/>
      <c r="Q464" s="7"/>
      <c r="T464" s="7"/>
      <c r="U464" s="7"/>
      <c r="W464" s="7"/>
      <c r="Z464" s="7"/>
      <c r="AA464" s="7"/>
      <c r="AC464" s="7"/>
      <c r="AF464" s="7"/>
      <c r="AG464" s="7"/>
      <c r="AI464" s="7"/>
      <c r="AL464" s="1"/>
      <c r="AM464" s="1"/>
      <c r="AO464" s="1"/>
      <c r="AR464" s="1"/>
      <c r="AS464" s="1"/>
    </row>
    <row r="465" spans="9:45" x14ac:dyDescent="0.3">
      <c r="I465" s="7"/>
      <c r="K465" s="7"/>
      <c r="N465" s="7"/>
      <c r="O465" s="7"/>
      <c r="Q465" s="7"/>
      <c r="T465" s="7"/>
      <c r="U465" s="7"/>
      <c r="W465" s="7"/>
      <c r="Z465" s="7"/>
      <c r="AA465" s="7"/>
      <c r="AC465" s="7"/>
      <c r="AF465" s="7"/>
      <c r="AG465" s="7"/>
      <c r="AI465" s="7"/>
      <c r="AL465" s="1"/>
      <c r="AM465" s="1"/>
      <c r="AO465" s="1"/>
      <c r="AR465" s="1"/>
      <c r="AS465" s="1"/>
    </row>
    <row r="466" spans="9:45" x14ac:dyDescent="0.3">
      <c r="I466" s="7"/>
      <c r="K466" s="7"/>
      <c r="N466" s="7"/>
      <c r="O466" s="7"/>
      <c r="Q466" s="7"/>
      <c r="T466" s="7"/>
      <c r="U466" s="7"/>
      <c r="W466" s="7"/>
      <c r="Z466" s="7"/>
      <c r="AA466" s="7"/>
      <c r="AC466" s="7"/>
      <c r="AF466" s="7"/>
      <c r="AG466" s="7"/>
      <c r="AI466" s="7"/>
      <c r="AL466" s="1"/>
      <c r="AM466" s="1"/>
      <c r="AO466" s="1"/>
      <c r="AR466" s="1"/>
      <c r="AS466" s="1"/>
    </row>
    <row r="467" spans="9:45" x14ac:dyDescent="0.3">
      <c r="I467" s="7"/>
      <c r="K467" s="7"/>
      <c r="N467" s="7"/>
      <c r="O467" s="7"/>
      <c r="Q467" s="7"/>
      <c r="T467" s="7"/>
      <c r="U467" s="7"/>
      <c r="W467" s="7"/>
      <c r="Z467" s="7"/>
      <c r="AA467" s="7"/>
      <c r="AC467" s="7"/>
      <c r="AF467" s="7"/>
      <c r="AG467" s="7"/>
      <c r="AI467" s="7"/>
      <c r="AL467" s="1"/>
      <c r="AM467" s="1"/>
      <c r="AO467" s="1"/>
      <c r="AR467" s="1"/>
      <c r="AS467" s="1"/>
    </row>
    <row r="468" spans="9:45" x14ac:dyDescent="0.3">
      <c r="I468" s="7"/>
      <c r="K468" s="7"/>
      <c r="N468" s="7"/>
      <c r="O468" s="7"/>
      <c r="Q468" s="7"/>
      <c r="T468" s="7"/>
      <c r="U468" s="7"/>
      <c r="W468" s="7"/>
      <c r="Z468" s="7"/>
      <c r="AA468" s="7"/>
      <c r="AC468" s="7"/>
      <c r="AF468" s="7"/>
      <c r="AG468" s="7"/>
      <c r="AI468" s="7"/>
      <c r="AL468" s="1"/>
      <c r="AM468" s="1"/>
      <c r="AO468" s="1"/>
      <c r="AR468" s="1"/>
      <c r="AS468" s="1"/>
    </row>
    <row r="469" spans="9:45" x14ac:dyDescent="0.3">
      <c r="I469" s="7"/>
      <c r="K469" s="7"/>
      <c r="N469" s="7"/>
      <c r="O469" s="7"/>
      <c r="Q469" s="7"/>
      <c r="T469" s="7"/>
      <c r="U469" s="7"/>
      <c r="W469" s="7"/>
      <c r="Z469" s="7"/>
      <c r="AA469" s="7"/>
      <c r="AC469" s="7"/>
      <c r="AF469" s="7"/>
      <c r="AG469" s="7"/>
      <c r="AI469" s="7"/>
      <c r="AL469" s="1"/>
      <c r="AM469" s="1"/>
      <c r="AO469" s="1"/>
      <c r="AR469" s="1"/>
      <c r="AS469" s="1"/>
    </row>
    <row r="470" spans="9:45" x14ac:dyDescent="0.3">
      <c r="I470" s="7"/>
      <c r="K470" s="7"/>
      <c r="N470" s="7"/>
      <c r="O470" s="7"/>
      <c r="Q470" s="7"/>
      <c r="T470" s="7"/>
      <c r="U470" s="7"/>
      <c r="W470" s="7"/>
      <c r="Z470" s="7"/>
      <c r="AA470" s="7"/>
      <c r="AC470" s="7"/>
      <c r="AF470" s="7"/>
      <c r="AG470" s="7"/>
      <c r="AI470" s="7"/>
      <c r="AL470" s="1"/>
      <c r="AM470" s="1"/>
      <c r="AO470" s="1"/>
      <c r="AR470" s="1"/>
      <c r="AS470" s="1"/>
    </row>
    <row r="471" spans="9:45" x14ac:dyDescent="0.3">
      <c r="I471" s="7"/>
      <c r="K471" s="7"/>
      <c r="N471" s="7"/>
      <c r="O471" s="7"/>
      <c r="Q471" s="7"/>
      <c r="T471" s="7"/>
      <c r="U471" s="7"/>
      <c r="W471" s="7"/>
      <c r="Z471" s="7"/>
      <c r="AA471" s="7"/>
      <c r="AC471" s="7"/>
      <c r="AF471" s="7"/>
      <c r="AG471" s="7"/>
      <c r="AI471" s="7"/>
      <c r="AL471" s="1"/>
      <c r="AM471" s="1"/>
      <c r="AO471" s="1"/>
      <c r="AR471" s="1"/>
      <c r="AS471" s="1"/>
    </row>
    <row r="472" spans="9:45" x14ac:dyDescent="0.3">
      <c r="I472" s="7"/>
      <c r="K472" s="7"/>
      <c r="N472" s="7"/>
      <c r="O472" s="7"/>
      <c r="Q472" s="7"/>
      <c r="T472" s="7"/>
      <c r="U472" s="7"/>
      <c r="W472" s="7"/>
      <c r="Z472" s="7"/>
      <c r="AA472" s="7"/>
      <c r="AC472" s="7"/>
      <c r="AF472" s="7"/>
      <c r="AG472" s="7"/>
      <c r="AI472" s="7"/>
      <c r="AL472" s="1"/>
      <c r="AM472" s="1"/>
      <c r="AO472" s="1"/>
      <c r="AR472" s="1"/>
      <c r="AS472" s="1"/>
    </row>
    <row r="473" spans="9:45" x14ac:dyDescent="0.3">
      <c r="I473" s="7"/>
      <c r="K473" s="7"/>
      <c r="N473" s="7"/>
      <c r="O473" s="7"/>
      <c r="Q473" s="7"/>
      <c r="T473" s="7"/>
      <c r="U473" s="7"/>
      <c r="W473" s="7"/>
      <c r="Z473" s="7"/>
      <c r="AA473" s="7"/>
      <c r="AC473" s="7"/>
      <c r="AF473" s="7"/>
      <c r="AG473" s="7"/>
      <c r="AI473" s="7"/>
      <c r="AL473" s="1"/>
      <c r="AM473" s="1"/>
      <c r="AO473" s="1"/>
      <c r="AR473" s="1"/>
      <c r="AS473" s="1"/>
    </row>
    <row r="474" spans="9:45" x14ac:dyDescent="0.3">
      <c r="I474" s="7"/>
      <c r="K474" s="7"/>
      <c r="N474" s="7"/>
      <c r="O474" s="7"/>
      <c r="Q474" s="7"/>
      <c r="T474" s="7"/>
      <c r="U474" s="7"/>
      <c r="W474" s="7"/>
      <c r="Z474" s="7"/>
      <c r="AA474" s="7"/>
      <c r="AC474" s="7"/>
      <c r="AF474" s="7"/>
      <c r="AG474" s="7"/>
      <c r="AI474" s="7"/>
      <c r="AL474" s="1"/>
      <c r="AM474" s="1"/>
      <c r="AO474" s="1"/>
      <c r="AR474" s="1"/>
      <c r="AS474" s="1"/>
    </row>
    <row r="475" spans="9:45" x14ac:dyDescent="0.3">
      <c r="I475" s="7"/>
      <c r="K475" s="7"/>
      <c r="N475" s="7"/>
      <c r="O475" s="7"/>
      <c r="Q475" s="7"/>
      <c r="T475" s="7"/>
      <c r="U475" s="7"/>
      <c r="W475" s="7"/>
      <c r="Z475" s="7"/>
      <c r="AA475" s="7"/>
      <c r="AC475" s="7"/>
      <c r="AF475" s="7"/>
      <c r="AG475" s="7"/>
      <c r="AI475" s="7"/>
      <c r="AL475" s="1"/>
      <c r="AM475" s="1"/>
      <c r="AO475" s="1"/>
      <c r="AR475" s="1"/>
      <c r="AS475" s="1"/>
    </row>
    <row r="476" spans="9:45" x14ac:dyDescent="0.3">
      <c r="I476" s="7"/>
      <c r="K476" s="7"/>
      <c r="N476" s="7"/>
      <c r="O476" s="7"/>
      <c r="Q476" s="7"/>
      <c r="T476" s="7"/>
      <c r="U476" s="7"/>
      <c r="W476" s="7"/>
      <c r="Z476" s="7"/>
      <c r="AA476" s="7"/>
      <c r="AC476" s="7"/>
      <c r="AF476" s="7"/>
      <c r="AG476" s="7"/>
      <c r="AI476" s="7"/>
      <c r="AL476" s="1"/>
      <c r="AM476" s="1"/>
      <c r="AO476" s="1"/>
      <c r="AR476" s="1"/>
      <c r="AS476" s="1"/>
    </row>
    <row r="477" spans="9:45" x14ac:dyDescent="0.3">
      <c r="I477" s="7"/>
      <c r="K477" s="7"/>
      <c r="N477" s="7"/>
      <c r="O477" s="7"/>
      <c r="Q477" s="7"/>
      <c r="T477" s="7"/>
      <c r="U477" s="7"/>
      <c r="W477" s="7"/>
      <c r="Z477" s="7"/>
      <c r="AA477" s="7"/>
      <c r="AC477" s="7"/>
      <c r="AF477" s="7"/>
      <c r="AG477" s="7"/>
      <c r="AI477" s="7"/>
      <c r="AL477" s="1"/>
      <c r="AM477" s="1"/>
      <c r="AO477" s="1"/>
      <c r="AR477" s="1"/>
      <c r="AS477" s="1"/>
    </row>
    <row r="478" spans="9:45" x14ac:dyDescent="0.3">
      <c r="I478" s="7"/>
      <c r="K478" s="7"/>
      <c r="N478" s="7"/>
      <c r="O478" s="7"/>
      <c r="Q478" s="7"/>
      <c r="T478" s="7"/>
      <c r="U478" s="7"/>
      <c r="W478" s="7"/>
      <c r="Z478" s="7"/>
      <c r="AA478" s="7"/>
      <c r="AC478" s="7"/>
      <c r="AF478" s="7"/>
      <c r="AG478" s="7"/>
      <c r="AI478" s="7"/>
      <c r="AL478" s="1"/>
      <c r="AM478" s="1"/>
      <c r="AO478" s="1"/>
      <c r="AR478" s="1"/>
      <c r="AS478" s="1"/>
    </row>
    <row r="479" spans="9:45" x14ac:dyDescent="0.3">
      <c r="I479" s="7"/>
      <c r="K479" s="7"/>
      <c r="N479" s="7"/>
      <c r="O479" s="7"/>
      <c r="Q479" s="7"/>
      <c r="T479" s="7"/>
      <c r="U479" s="7"/>
      <c r="W479" s="7"/>
      <c r="Z479" s="7"/>
      <c r="AA479" s="7"/>
      <c r="AC479" s="7"/>
      <c r="AF479" s="7"/>
      <c r="AG479" s="7"/>
      <c r="AI479" s="7"/>
      <c r="AL479" s="1"/>
      <c r="AM479" s="1"/>
      <c r="AO479" s="1"/>
      <c r="AR479" s="1"/>
      <c r="AS479" s="1"/>
    </row>
    <row r="480" spans="9:45" x14ac:dyDescent="0.3">
      <c r="I480" s="7"/>
      <c r="K480" s="7"/>
      <c r="N480" s="7"/>
      <c r="O480" s="7"/>
      <c r="Q480" s="7"/>
      <c r="T480" s="7"/>
      <c r="U480" s="7"/>
      <c r="W480" s="7"/>
      <c r="Z480" s="7"/>
      <c r="AA480" s="7"/>
      <c r="AC480" s="7"/>
      <c r="AF480" s="7"/>
      <c r="AG480" s="7"/>
      <c r="AI480" s="7"/>
      <c r="AL480" s="1"/>
      <c r="AM480" s="1"/>
      <c r="AO480" s="1"/>
      <c r="AR480" s="1"/>
      <c r="AS480" s="1"/>
    </row>
    <row r="481" spans="9:45" x14ac:dyDescent="0.3">
      <c r="I481" s="7"/>
      <c r="K481" s="7"/>
      <c r="N481" s="7"/>
      <c r="O481" s="7"/>
      <c r="Q481" s="7"/>
      <c r="T481" s="7"/>
      <c r="U481" s="7"/>
      <c r="W481" s="7"/>
      <c r="Z481" s="7"/>
      <c r="AA481" s="7"/>
      <c r="AC481" s="7"/>
      <c r="AF481" s="7"/>
      <c r="AG481" s="7"/>
      <c r="AI481" s="7"/>
      <c r="AL481" s="1"/>
      <c r="AM481" s="1"/>
      <c r="AO481" s="1"/>
      <c r="AR481" s="1"/>
      <c r="AS481" s="1"/>
    </row>
    <row r="482" spans="9:45" x14ac:dyDescent="0.3">
      <c r="I482" s="7"/>
      <c r="K482" s="7"/>
      <c r="N482" s="7"/>
      <c r="O482" s="7"/>
      <c r="Q482" s="7"/>
      <c r="T482" s="7"/>
      <c r="U482" s="7"/>
      <c r="W482" s="7"/>
      <c r="Z482" s="7"/>
      <c r="AA482" s="7"/>
      <c r="AC482" s="7"/>
      <c r="AF482" s="7"/>
      <c r="AG482" s="7"/>
      <c r="AI482" s="7"/>
      <c r="AL482" s="1"/>
      <c r="AM482" s="1"/>
      <c r="AO482" s="1"/>
      <c r="AR482" s="1"/>
      <c r="AS482" s="1"/>
    </row>
    <row r="483" spans="9:45" x14ac:dyDescent="0.3">
      <c r="I483" s="7"/>
      <c r="K483" s="7"/>
      <c r="N483" s="7"/>
      <c r="O483" s="7"/>
      <c r="Q483" s="7"/>
      <c r="T483" s="7"/>
      <c r="U483" s="7"/>
      <c r="W483" s="7"/>
      <c r="Z483" s="7"/>
      <c r="AA483" s="7"/>
      <c r="AC483" s="7"/>
      <c r="AF483" s="7"/>
      <c r="AG483" s="7"/>
      <c r="AI483" s="7"/>
      <c r="AL483" s="1"/>
      <c r="AM483" s="1"/>
      <c r="AO483" s="1"/>
      <c r="AR483" s="1"/>
      <c r="AS483" s="1"/>
    </row>
    <row r="484" spans="9:45" x14ac:dyDescent="0.3">
      <c r="I484" s="7"/>
      <c r="K484" s="7"/>
      <c r="N484" s="7"/>
      <c r="O484" s="7"/>
      <c r="Q484" s="7"/>
      <c r="T484" s="7"/>
      <c r="U484" s="7"/>
      <c r="W484" s="7"/>
      <c r="Z484" s="7"/>
      <c r="AA484" s="7"/>
      <c r="AC484" s="7"/>
      <c r="AF484" s="7"/>
      <c r="AG484" s="7"/>
      <c r="AI484" s="7"/>
      <c r="AL484" s="1"/>
      <c r="AM484" s="1"/>
      <c r="AO484" s="1"/>
      <c r="AR484" s="1"/>
      <c r="AS484" s="1"/>
    </row>
    <row r="485" spans="9:45" x14ac:dyDescent="0.3">
      <c r="I485" s="7"/>
      <c r="K485" s="7"/>
      <c r="N485" s="7"/>
      <c r="O485" s="7"/>
      <c r="Q485" s="7"/>
      <c r="T485" s="7"/>
      <c r="U485" s="7"/>
      <c r="W485" s="7"/>
      <c r="Z485" s="7"/>
      <c r="AA485" s="7"/>
      <c r="AC485" s="7"/>
      <c r="AF485" s="7"/>
      <c r="AG485" s="7"/>
      <c r="AI485" s="7"/>
      <c r="AL485" s="1"/>
      <c r="AM485" s="1"/>
      <c r="AO485" s="1"/>
      <c r="AR485" s="1"/>
      <c r="AS485" s="1"/>
    </row>
    <row r="486" spans="9:45" x14ac:dyDescent="0.3">
      <c r="I486" s="7"/>
      <c r="K486" s="7"/>
      <c r="N486" s="7"/>
      <c r="O486" s="7"/>
      <c r="Q486" s="7"/>
      <c r="T486" s="7"/>
      <c r="U486" s="7"/>
      <c r="W486" s="7"/>
      <c r="Z486" s="7"/>
      <c r="AA486" s="7"/>
      <c r="AC486" s="7"/>
      <c r="AF486" s="7"/>
      <c r="AG486" s="7"/>
      <c r="AI486" s="7"/>
      <c r="AL486" s="1"/>
      <c r="AM486" s="1"/>
      <c r="AO486" s="1"/>
      <c r="AR486" s="1"/>
      <c r="AS486" s="1"/>
    </row>
    <row r="487" spans="9:45" x14ac:dyDescent="0.3">
      <c r="I487" s="7"/>
      <c r="K487" s="7"/>
      <c r="N487" s="7"/>
      <c r="O487" s="7"/>
      <c r="Q487" s="7"/>
      <c r="T487" s="7"/>
      <c r="U487" s="7"/>
      <c r="W487" s="7"/>
      <c r="Z487" s="7"/>
      <c r="AA487" s="7"/>
      <c r="AC487" s="7"/>
      <c r="AF487" s="7"/>
      <c r="AG487" s="7"/>
      <c r="AI487" s="7"/>
      <c r="AL487" s="1"/>
      <c r="AM487" s="1"/>
      <c r="AO487" s="1"/>
      <c r="AR487" s="1"/>
      <c r="AS487" s="1"/>
    </row>
    <row r="488" spans="9:45" x14ac:dyDescent="0.3">
      <c r="I488" s="7"/>
      <c r="K488" s="7"/>
      <c r="N488" s="7"/>
      <c r="O488" s="7"/>
      <c r="Q488" s="7"/>
      <c r="T488" s="7"/>
      <c r="U488" s="7"/>
      <c r="W488" s="7"/>
      <c r="Z488" s="7"/>
      <c r="AA488" s="7"/>
      <c r="AC488" s="7"/>
      <c r="AF488" s="7"/>
      <c r="AG488" s="7"/>
      <c r="AI488" s="7"/>
      <c r="AL488" s="1"/>
      <c r="AM488" s="1"/>
      <c r="AO488" s="1"/>
      <c r="AR488" s="1"/>
      <c r="AS488" s="1"/>
    </row>
    <row r="489" spans="9:45" x14ac:dyDescent="0.3">
      <c r="I489" s="7"/>
      <c r="K489" s="7"/>
      <c r="N489" s="7"/>
      <c r="O489" s="7"/>
      <c r="Q489" s="7"/>
      <c r="T489" s="7"/>
      <c r="U489" s="7"/>
      <c r="W489" s="7"/>
      <c r="Z489" s="7"/>
      <c r="AA489" s="7"/>
      <c r="AC489" s="7"/>
      <c r="AF489" s="7"/>
      <c r="AG489" s="7"/>
      <c r="AI489" s="7"/>
      <c r="AL489" s="1"/>
      <c r="AM489" s="1"/>
      <c r="AO489" s="1"/>
      <c r="AR489" s="1"/>
      <c r="AS489" s="1"/>
    </row>
    <row r="490" spans="9:45" x14ac:dyDescent="0.3">
      <c r="I490" s="7"/>
      <c r="K490" s="7"/>
      <c r="N490" s="7"/>
      <c r="O490" s="7"/>
      <c r="Q490" s="7"/>
      <c r="T490" s="7"/>
      <c r="U490" s="7"/>
      <c r="W490" s="7"/>
      <c r="Z490" s="7"/>
      <c r="AA490" s="7"/>
      <c r="AC490" s="7"/>
      <c r="AF490" s="7"/>
      <c r="AG490" s="7"/>
      <c r="AI490" s="7"/>
      <c r="AL490" s="1"/>
      <c r="AM490" s="1"/>
      <c r="AO490" s="1"/>
      <c r="AR490" s="1"/>
      <c r="AS490" s="1"/>
    </row>
    <row r="491" spans="9:45" x14ac:dyDescent="0.3">
      <c r="I491" s="7"/>
      <c r="K491" s="7"/>
      <c r="N491" s="7"/>
      <c r="O491" s="7"/>
      <c r="Q491" s="7"/>
      <c r="T491" s="7"/>
      <c r="U491" s="7"/>
      <c r="W491" s="7"/>
      <c r="Z491" s="7"/>
      <c r="AA491" s="7"/>
      <c r="AC491" s="7"/>
      <c r="AF491" s="7"/>
      <c r="AG491" s="7"/>
      <c r="AI491" s="7"/>
      <c r="AL491" s="1"/>
      <c r="AM491" s="1"/>
      <c r="AO491" s="1"/>
      <c r="AR491" s="1"/>
      <c r="AS491" s="1"/>
    </row>
    <row r="492" spans="9:45" x14ac:dyDescent="0.3">
      <c r="I492" s="7"/>
      <c r="K492" s="7"/>
      <c r="N492" s="7"/>
      <c r="O492" s="7"/>
      <c r="Q492" s="7"/>
      <c r="T492" s="7"/>
      <c r="U492" s="7"/>
      <c r="W492" s="7"/>
      <c r="Z492" s="7"/>
      <c r="AA492" s="7"/>
      <c r="AC492" s="7"/>
      <c r="AF492" s="7"/>
      <c r="AG492" s="7"/>
      <c r="AI492" s="7"/>
      <c r="AL492" s="1"/>
      <c r="AM492" s="1"/>
      <c r="AO492" s="1"/>
      <c r="AR492" s="1"/>
      <c r="AS492" s="1"/>
    </row>
    <row r="493" spans="9:45" x14ac:dyDescent="0.3">
      <c r="I493" s="7"/>
      <c r="K493" s="7"/>
      <c r="N493" s="7"/>
      <c r="O493" s="7"/>
      <c r="Q493" s="7"/>
      <c r="T493" s="7"/>
      <c r="U493" s="7"/>
      <c r="W493" s="7"/>
      <c r="Z493" s="7"/>
      <c r="AA493" s="7"/>
      <c r="AC493" s="7"/>
      <c r="AF493" s="7"/>
      <c r="AG493" s="7"/>
      <c r="AI493" s="7"/>
      <c r="AL493" s="1"/>
      <c r="AM493" s="1"/>
      <c r="AO493" s="1"/>
      <c r="AR493" s="1"/>
      <c r="AS493" s="1"/>
    </row>
    <row r="494" spans="9:45" x14ac:dyDescent="0.3">
      <c r="I494" s="7"/>
      <c r="K494" s="7"/>
      <c r="N494" s="7"/>
      <c r="O494" s="7"/>
      <c r="Q494" s="7"/>
      <c r="T494" s="7"/>
      <c r="U494" s="7"/>
      <c r="W494" s="7"/>
      <c r="Z494" s="7"/>
      <c r="AA494" s="7"/>
      <c r="AC494" s="7"/>
      <c r="AF494" s="7"/>
      <c r="AG494" s="7"/>
      <c r="AI494" s="7"/>
      <c r="AL494" s="1"/>
      <c r="AM494" s="1"/>
      <c r="AO494" s="1"/>
      <c r="AR494" s="1"/>
      <c r="AS494" s="1"/>
    </row>
    <row r="495" spans="9:45" x14ac:dyDescent="0.3">
      <c r="I495" s="7"/>
      <c r="K495" s="7"/>
      <c r="N495" s="7"/>
      <c r="O495" s="7"/>
      <c r="Q495" s="7"/>
      <c r="T495" s="7"/>
      <c r="U495" s="7"/>
      <c r="W495" s="7"/>
      <c r="Z495" s="7"/>
      <c r="AA495" s="7"/>
      <c r="AC495" s="7"/>
      <c r="AF495" s="7"/>
      <c r="AG495" s="7"/>
      <c r="AI495" s="7"/>
      <c r="AL495" s="1"/>
      <c r="AM495" s="1"/>
      <c r="AO495" s="1"/>
      <c r="AR495" s="1"/>
      <c r="AS495" s="1"/>
    </row>
    <row r="496" spans="9:45" x14ac:dyDescent="0.3">
      <c r="I496" s="7"/>
      <c r="K496" s="7"/>
      <c r="N496" s="7"/>
      <c r="O496" s="7"/>
      <c r="Q496" s="7"/>
      <c r="T496" s="7"/>
      <c r="U496" s="7"/>
      <c r="W496" s="7"/>
      <c r="Z496" s="7"/>
      <c r="AA496" s="7"/>
      <c r="AC496" s="7"/>
      <c r="AF496" s="7"/>
      <c r="AG496" s="7"/>
      <c r="AI496" s="7"/>
      <c r="AL496" s="1"/>
      <c r="AM496" s="1"/>
      <c r="AO496" s="1"/>
      <c r="AR496" s="1"/>
      <c r="AS496" s="1"/>
    </row>
    <row r="497" spans="9:45" x14ac:dyDescent="0.3">
      <c r="I497" s="7"/>
      <c r="K497" s="7"/>
      <c r="N497" s="7"/>
      <c r="O497" s="7"/>
      <c r="Q497" s="7"/>
      <c r="T497" s="7"/>
      <c r="U497" s="7"/>
      <c r="W497" s="7"/>
      <c r="Z497" s="7"/>
      <c r="AA497" s="7"/>
      <c r="AC497" s="7"/>
      <c r="AF497" s="7"/>
      <c r="AG497" s="7"/>
      <c r="AI497" s="7"/>
      <c r="AL497" s="1"/>
      <c r="AM497" s="1"/>
      <c r="AO497" s="1"/>
      <c r="AR497" s="1"/>
      <c r="AS497" s="1"/>
    </row>
    <row r="498" spans="9:45" x14ac:dyDescent="0.3">
      <c r="I498" s="7"/>
      <c r="K498" s="7"/>
      <c r="N498" s="7"/>
      <c r="O498" s="7"/>
      <c r="Q498" s="7"/>
      <c r="T498" s="7"/>
      <c r="U498" s="7"/>
      <c r="W498" s="7"/>
      <c r="Z498" s="7"/>
      <c r="AA498" s="7"/>
      <c r="AC498" s="7"/>
      <c r="AF498" s="7"/>
      <c r="AG498" s="7"/>
      <c r="AI498" s="7"/>
      <c r="AL498" s="1"/>
      <c r="AM498" s="1"/>
      <c r="AO498" s="1"/>
      <c r="AR498" s="1"/>
      <c r="AS498" s="1"/>
    </row>
    <row r="499" spans="9:45" x14ac:dyDescent="0.3">
      <c r="I499" s="7"/>
      <c r="K499" s="7"/>
      <c r="N499" s="7"/>
      <c r="O499" s="7"/>
      <c r="Q499" s="7"/>
      <c r="T499" s="7"/>
      <c r="U499" s="7"/>
      <c r="W499" s="7"/>
      <c r="Z499" s="7"/>
      <c r="AA499" s="7"/>
      <c r="AC499" s="7"/>
      <c r="AF499" s="7"/>
      <c r="AG499" s="7"/>
      <c r="AI499" s="7"/>
      <c r="AL499" s="1"/>
      <c r="AM499" s="1"/>
      <c r="AO499" s="1"/>
      <c r="AR499" s="1"/>
      <c r="AS499" s="1"/>
    </row>
    <row r="500" spans="9:45" x14ac:dyDescent="0.3">
      <c r="I500" s="7"/>
      <c r="K500" s="7"/>
      <c r="N500" s="7"/>
      <c r="O500" s="7"/>
      <c r="Q500" s="7"/>
      <c r="T500" s="7"/>
      <c r="U500" s="7"/>
      <c r="W500" s="7"/>
      <c r="Z500" s="7"/>
      <c r="AA500" s="7"/>
      <c r="AC500" s="7"/>
      <c r="AF500" s="7"/>
      <c r="AG500" s="7"/>
      <c r="AI500" s="7"/>
      <c r="AL500" s="1"/>
      <c r="AM500" s="1"/>
      <c r="AO500" s="1"/>
      <c r="AR500" s="1"/>
      <c r="AS500" s="1"/>
    </row>
    <row r="501" spans="9:45" x14ac:dyDescent="0.3">
      <c r="I501" s="7"/>
      <c r="K501" s="7"/>
      <c r="N501" s="7"/>
      <c r="O501" s="7"/>
      <c r="Q501" s="7"/>
      <c r="T501" s="7"/>
      <c r="U501" s="7"/>
      <c r="W501" s="7"/>
      <c r="Z501" s="7"/>
      <c r="AA501" s="7"/>
      <c r="AC501" s="7"/>
      <c r="AF501" s="7"/>
      <c r="AG501" s="7"/>
      <c r="AI501" s="7"/>
      <c r="AL501" s="1"/>
      <c r="AM501" s="1"/>
      <c r="AO501" s="1"/>
      <c r="AR501" s="1"/>
      <c r="AS501" s="1"/>
    </row>
    <row r="502" spans="9:45" x14ac:dyDescent="0.3">
      <c r="I502" s="7"/>
      <c r="K502" s="7"/>
      <c r="N502" s="7"/>
      <c r="O502" s="7"/>
      <c r="Q502" s="7"/>
      <c r="T502" s="7"/>
      <c r="U502" s="7"/>
      <c r="W502" s="7"/>
      <c r="Z502" s="7"/>
      <c r="AA502" s="7"/>
      <c r="AC502" s="7"/>
      <c r="AF502" s="7"/>
      <c r="AG502" s="7"/>
      <c r="AI502" s="7"/>
      <c r="AL502" s="1"/>
      <c r="AM502" s="1"/>
      <c r="AO502" s="1"/>
      <c r="AR502" s="1"/>
      <c r="AS502" s="1"/>
    </row>
    <row r="503" spans="9:45" x14ac:dyDescent="0.3">
      <c r="I503" s="7"/>
      <c r="K503" s="7"/>
      <c r="N503" s="7"/>
      <c r="O503" s="7"/>
      <c r="Q503" s="7"/>
      <c r="T503" s="7"/>
      <c r="U503" s="7"/>
      <c r="W503" s="7"/>
      <c r="Z503" s="7"/>
      <c r="AA503" s="7"/>
      <c r="AC503" s="7"/>
      <c r="AF503" s="7"/>
      <c r="AG503" s="7"/>
      <c r="AI503" s="7"/>
      <c r="AL503" s="1"/>
      <c r="AM503" s="1"/>
      <c r="AO503" s="1"/>
      <c r="AR503" s="1"/>
      <c r="AS503" s="1"/>
    </row>
    <row r="504" spans="9:45" x14ac:dyDescent="0.3">
      <c r="I504" s="7"/>
      <c r="K504" s="7"/>
      <c r="N504" s="7"/>
      <c r="O504" s="7"/>
      <c r="Q504" s="7"/>
      <c r="T504" s="7"/>
      <c r="U504" s="7"/>
      <c r="W504" s="7"/>
      <c r="Z504" s="7"/>
      <c r="AA504" s="7"/>
      <c r="AC504" s="7"/>
      <c r="AF504" s="7"/>
      <c r="AG504" s="7"/>
      <c r="AI504" s="7"/>
      <c r="AL504" s="1"/>
      <c r="AM504" s="1"/>
      <c r="AO504" s="1"/>
      <c r="AR504" s="1"/>
      <c r="AS504" s="1"/>
    </row>
    <row r="505" spans="9:45" x14ac:dyDescent="0.3">
      <c r="I505" s="7"/>
      <c r="K505" s="7"/>
      <c r="N505" s="7"/>
      <c r="O505" s="7"/>
      <c r="Q505" s="7"/>
      <c r="T505" s="7"/>
      <c r="U505" s="7"/>
      <c r="W505" s="7"/>
      <c r="Z505" s="7"/>
      <c r="AA505" s="7"/>
      <c r="AC505" s="7"/>
      <c r="AF505" s="7"/>
      <c r="AG505" s="7"/>
      <c r="AI505" s="7"/>
      <c r="AL505" s="1"/>
      <c r="AM505" s="1"/>
      <c r="AO505" s="1"/>
      <c r="AR505" s="1"/>
      <c r="AS505" s="1"/>
    </row>
    <row r="506" spans="9:45" x14ac:dyDescent="0.3">
      <c r="I506" s="7"/>
      <c r="K506" s="7"/>
      <c r="N506" s="7"/>
      <c r="O506" s="7"/>
      <c r="Q506" s="7"/>
      <c r="T506" s="7"/>
      <c r="U506" s="7"/>
      <c r="W506" s="7"/>
      <c r="Z506" s="7"/>
      <c r="AA506" s="7"/>
      <c r="AC506" s="7"/>
      <c r="AF506" s="7"/>
      <c r="AG506" s="7"/>
      <c r="AI506" s="7"/>
      <c r="AL506" s="1"/>
      <c r="AM506" s="1"/>
      <c r="AO506" s="1"/>
      <c r="AR506" s="1"/>
      <c r="AS506" s="1"/>
    </row>
    <row r="507" spans="9:45" x14ac:dyDescent="0.3">
      <c r="I507" s="7"/>
      <c r="K507" s="7"/>
      <c r="N507" s="7"/>
      <c r="O507" s="7"/>
      <c r="Q507" s="7"/>
      <c r="T507" s="7"/>
      <c r="U507" s="7"/>
      <c r="W507" s="7"/>
      <c r="Z507" s="7"/>
      <c r="AA507" s="7"/>
      <c r="AC507" s="7"/>
      <c r="AF507" s="7"/>
      <c r="AG507" s="7"/>
      <c r="AI507" s="7"/>
      <c r="AL507" s="1"/>
      <c r="AM507" s="1"/>
      <c r="AO507" s="1"/>
      <c r="AR507" s="1"/>
      <c r="AS507" s="1"/>
    </row>
    <row r="508" spans="9:45" x14ac:dyDescent="0.3">
      <c r="I508" s="7"/>
      <c r="K508" s="7"/>
      <c r="N508" s="7"/>
      <c r="O508" s="7"/>
      <c r="Q508" s="7"/>
      <c r="T508" s="7"/>
      <c r="U508" s="7"/>
      <c r="W508" s="7"/>
      <c r="Z508" s="7"/>
      <c r="AA508" s="7"/>
      <c r="AC508" s="7"/>
      <c r="AF508" s="7"/>
      <c r="AG508" s="7"/>
      <c r="AI508" s="7"/>
      <c r="AL508" s="1"/>
      <c r="AM508" s="1"/>
      <c r="AO508" s="1"/>
      <c r="AR508" s="1"/>
      <c r="AS508" s="1"/>
    </row>
    <row r="509" spans="9:45" x14ac:dyDescent="0.3">
      <c r="I509" s="7"/>
      <c r="K509" s="7"/>
      <c r="N509" s="7"/>
      <c r="O509" s="7"/>
      <c r="Q509" s="7"/>
      <c r="T509" s="7"/>
      <c r="U509" s="7"/>
      <c r="W509" s="7"/>
      <c r="Z509" s="7"/>
      <c r="AA509" s="7"/>
      <c r="AC509" s="7"/>
      <c r="AF509" s="7"/>
      <c r="AG509" s="7"/>
      <c r="AI509" s="7"/>
      <c r="AL509" s="1"/>
      <c r="AM509" s="1"/>
      <c r="AO509" s="1"/>
      <c r="AR509" s="1"/>
      <c r="AS509" s="1"/>
    </row>
    <row r="510" spans="9:45" x14ac:dyDescent="0.3">
      <c r="I510" s="7"/>
      <c r="K510" s="7"/>
      <c r="N510" s="7"/>
      <c r="O510" s="7"/>
      <c r="Q510" s="7"/>
      <c r="T510" s="7"/>
      <c r="U510" s="7"/>
      <c r="W510" s="7"/>
      <c r="Z510" s="7"/>
      <c r="AA510" s="7"/>
      <c r="AC510" s="7"/>
      <c r="AF510" s="7"/>
      <c r="AG510" s="7"/>
      <c r="AI510" s="7"/>
      <c r="AL510" s="1"/>
      <c r="AM510" s="1"/>
      <c r="AO510" s="1"/>
      <c r="AR510" s="1"/>
      <c r="AS510" s="1"/>
    </row>
    <row r="511" spans="9:45" x14ac:dyDescent="0.3">
      <c r="I511" s="7"/>
      <c r="K511" s="7"/>
      <c r="N511" s="7"/>
      <c r="O511" s="7"/>
      <c r="Q511" s="7"/>
      <c r="T511" s="7"/>
      <c r="U511" s="7"/>
      <c r="W511" s="7"/>
      <c r="Z511" s="7"/>
      <c r="AA511" s="7"/>
      <c r="AC511" s="7"/>
      <c r="AF511" s="7"/>
      <c r="AG511" s="7"/>
      <c r="AI511" s="7"/>
      <c r="AL511" s="1"/>
      <c r="AM511" s="1"/>
      <c r="AO511" s="1"/>
      <c r="AR511" s="1"/>
      <c r="AS511" s="1"/>
    </row>
    <row r="512" spans="9:45" x14ac:dyDescent="0.3">
      <c r="I512" s="7"/>
      <c r="K512" s="7"/>
      <c r="N512" s="7"/>
      <c r="O512" s="7"/>
      <c r="Q512" s="7"/>
      <c r="T512" s="7"/>
      <c r="U512" s="7"/>
      <c r="W512" s="7"/>
      <c r="Z512" s="7"/>
      <c r="AA512" s="7"/>
      <c r="AC512" s="7"/>
      <c r="AF512" s="7"/>
      <c r="AG512" s="7"/>
      <c r="AI512" s="7"/>
      <c r="AL512" s="1"/>
      <c r="AM512" s="1"/>
      <c r="AO512" s="1"/>
      <c r="AR512" s="1"/>
      <c r="AS512" s="1"/>
    </row>
    <row r="513" spans="9:45" x14ac:dyDescent="0.3">
      <c r="I513" s="7"/>
      <c r="K513" s="7"/>
      <c r="N513" s="7"/>
      <c r="O513" s="7"/>
      <c r="Q513" s="7"/>
      <c r="T513" s="7"/>
      <c r="U513" s="7"/>
      <c r="W513" s="7"/>
      <c r="Z513" s="7"/>
      <c r="AA513" s="7"/>
      <c r="AC513" s="7"/>
      <c r="AF513" s="7"/>
      <c r="AG513" s="7"/>
      <c r="AI513" s="7"/>
      <c r="AL513" s="1"/>
      <c r="AM513" s="1"/>
      <c r="AO513" s="1"/>
      <c r="AR513" s="1"/>
      <c r="AS513" s="1"/>
    </row>
    <row r="514" spans="9:45" x14ac:dyDescent="0.3">
      <c r="I514" s="7"/>
      <c r="K514" s="7"/>
      <c r="N514" s="7"/>
      <c r="O514" s="7"/>
      <c r="Q514" s="7"/>
      <c r="T514" s="7"/>
      <c r="U514" s="7"/>
      <c r="W514" s="7"/>
      <c r="Z514" s="7"/>
      <c r="AA514" s="7"/>
      <c r="AC514" s="7"/>
      <c r="AF514" s="7"/>
      <c r="AG514" s="7"/>
      <c r="AI514" s="7"/>
      <c r="AL514" s="1"/>
      <c r="AM514" s="1"/>
      <c r="AO514" s="1"/>
      <c r="AR514" s="1"/>
      <c r="AS514" s="1"/>
    </row>
    <row r="515" spans="9:45" x14ac:dyDescent="0.3">
      <c r="I515" s="7"/>
      <c r="K515" s="7"/>
      <c r="N515" s="7"/>
      <c r="O515" s="7"/>
      <c r="Q515" s="7"/>
      <c r="T515" s="7"/>
      <c r="U515" s="7"/>
      <c r="W515" s="7"/>
      <c r="Z515" s="7"/>
      <c r="AA515" s="7"/>
      <c r="AC515" s="7"/>
      <c r="AF515" s="7"/>
      <c r="AG515" s="7"/>
      <c r="AI515" s="7"/>
      <c r="AL515" s="1"/>
      <c r="AM515" s="1"/>
      <c r="AO515" s="1"/>
      <c r="AR515" s="1"/>
      <c r="AS515" s="1"/>
    </row>
    <row r="516" spans="9:45" x14ac:dyDescent="0.3">
      <c r="I516" s="7"/>
      <c r="K516" s="7"/>
      <c r="N516" s="7"/>
      <c r="O516" s="7"/>
      <c r="Q516" s="7"/>
      <c r="T516" s="7"/>
      <c r="U516" s="7"/>
      <c r="W516" s="7"/>
      <c r="Z516" s="7"/>
      <c r="AA516" s="7"/>
      <c r="AC516" s="7"/>
      <c r="AF516" s="7"/>
      <c r="AG516" s="7"/>
      <c r="AI516" s="7"/>
      <c r="AL516" s="1"/>
      <c r="AM516" s="1"/>
      <c r="AO516" s="1"/>
      <c r="AR516" s="1"/>
      <c r="AS516" s="1"/>
    </row>
    <row r="517" spans="9:45" x14ac:dyDescent="0.3">
      <c r="I517" s="7"/>
      <c r="K517" s="7"/>
      <c r="N517" s="7"/>
      <c r="O517" s="7"/>
      <c r="Q517" s="7"/>
      <c r="T517" s="7"/>
      <c r="U517" s="7"/>
      <c r="W517" s="7"/>
      <c r="Z517" s="7"/>
      <c r="AA517" s="7"/>
      <c r="AC517" s="7"/>
      <c r="AF517" s="7"/>
      <c r="AG517" s="7"/>
      <c r="AI517" s="7"/>
      <c r="AL517" s="1"/>
      <c r="AM517" s="1"/>
      <c r="AO517" s="1"/>
      <c r="AR517" s="1"/>
      <c r="AS517" s="1"/>
    </row>
    <row r="518" spans="9:45" x14ac:dyDescent="0.3">
      <c r="I518" s="7"/>
      <c r="K518" s="7"/>
      <c r="N518" s="7"/>
      <c r="O518" s="7"/>
      <c r="Q518" s="7"/>
      <c r="T518" s="7"/>
      <c r="U518" s="7"/>
      <c r="W518" s="7"/>
      <c r="Z518" s="7"/>
      <c r="AA518" s="7"/>
      <c r="AC518" s="7"/>
      <c r="AF518" s="7"/>
      <c r="AG518" s="7"/>
      <c r="AI518" s="7"/>
      <c r="AL518" s="1"/>
      <c r="AM518" s="1"/>
      <c r="AO518" s="1"/>
      <c r="AR518" s="1"/>
      <c r="AS518" s="1"/>
    </row>
    <row r="519" spans="9:45" x14ac:dyDescent="0.3">
      <c r="I519" s="7"/>
      <c r="K519" s="7"/>
      <c r="N519" s="7"/>
      <c r="O519" s="7"/>
      <c r="Q519" s="7"/>
      <c r="T519" s="7"/>
      <c r="U519" s="7"/>
      <c r="W519" s="7"/>
      <c r="Z519" s="7"/>
      <c r="AA519" s="7"/>
      <c r="AC519" s="7"/>
      <c r="AF519" s="7"/>
      <c r="AG519" s="7"/>
      <c r="AI519" s="7"/>
      <c r="AL519" s="1"/>
      <c r="AM519" s="1"/>
      <c r="AO519" s="1"/>
      <c r="AR519" s="1"/>
      <c r="AS519" s="1"/>
    </row>
    <row r="520" spans="9:45" x14ac:dyDescent="0.3">
      <c r="I520" s="7"/>
      <c r="K520" s="7"/>
      <c r="N520" s="7"/>
      <c r="O520" s="7"/>
      <c r="Q520" s="7"/>
      <c r="T520" s="7"/>
      <c r="U520" s="7"/>
      <c r="W520" s="7"/>
      <c r="Z520" s="7"/>
      <c r="AA520" s="7"/>
      <c r="AC520" s="7"/>
      <c r="AF520" s="7"/>
      <c r="AG520" s="7"/>
      <c r="AI520" s="7"/>
      <c r="AL520" s="1"/>
      <c r="AM520" s="1"/>
      <c r="AO520" s="1"/>
      <c r="AR520" s="1"/>
      <c r="AS520" s="1"/>
    </row>
    <row r="521" spans="9:45" x14ac:dyDescent="0.3">
      <c r="I521" s="7"/>
      <c r="K521" s="7"/>
      <c r="N521" s="7"/>
      <c r="O521" s="7"/>
      <c r="Q521" s="7"/>
      <c r="T521" s="7"/>
      <c r="U521" s="7"/>
      <c r="W521" s="7"/>
      <c r="Z521" s="7"/>
      <c r="AA521" s="7"/>
      <c r="AC521" s="7"/>
      <c r="AF521" s="7"/>
      <c r="AG521" s="7"/>
      <c r="AI521" s="7"/>
      <c r="AL521" s="1"/>
      <c r="AM521" s="1"/>
      <c r="AO521" s="1"/>
      <c r="AR521" s="1"/>
      <c r="AS521" s="1"/>
    </row>
    <row r="522" spans="9:45" x14ac:dyDescent="0.3">
      <c r="I522" s="7"/>
      <c r="K522" s="7"/>
      <c r="N522" s="7"/>
      <c r="O522" s="7"/>
      <c r="Q522" s="7"/>
      <c r="T522" s="7"/>
      <c r="U522" s="7"/>
      <c r="W522" s="7"/>
      <c r="Z522" s="7"/>
      <c r="AA522" s="7"/>
      <c r="AC522" s="7"/>
      <c r="AF522" s="7"/>
      <c r="AG522" s="7"/>
      <c r="AI522" s="7"/>
      <c r="AL522" s="1"/>
      <c r="AM522" s="1"/>
      <c r="AO522" s="1"/>
      <c r="AR522" s="1"/>
      <c r="AS522" s="1"/>
    </row>
    <row r="523" spans="9:45" x14ac:dyDescent="0.3">
      <c r="I523" s="7"/>
      <c r="K523" s="7"/>
      <c r="N523" s="7"/>
      <c r="O523" s="7"/>
      <c r="Q523" s="7"/>
      <c r="T523" s="7"/>
      <c r="U523" s="7"/>
      <c r="W523" s="7"/>
      <c r="Z523" s="7"/>
      <c r="AA523" s="7"/>
      <c r="AC523" s="7"/>
      <c r="AF523" s="7"/>
      <c r="AG523" s="7"/>
      <c r="AI523" s="7"/>
      <c r="AL523" s="1"/>
      <c r="AM523" s="1"/>
      <c r="AO523" s="1"/>
      <c r="AR523" s="1"/>
      <c r="AS523" s="1"/>
    </row>
    <row r="524" spans="9:45" x14ac:dyDescent="0.3">
      <c r="I524" s="7"/>
      <c r="K524" s="7"/>
      <c r="N524" s="7"/>
      <c r="O524" s="7"/>
      <c r="Q524" s="7"/>
      <c r="T524" s="7"/>
      <c r="U524" s="7"/>
      <c r="W524" s="7"/>
      <c r="Z524" s="7"/>
      <c r="AA524" s="7"/>
      <c r="AC524" s="7"/>
      <c r="AF524" s="7"/>
      <c r="AG524" s="7"/>
      <c r="AI524" s="7"/>
      <c r="AL524" s="1"/>
      <c r="AM524" s="1"/>
      <c r="AO524" s="1"/>
      <c r="AR524" s="1"/>
      <c r="AS524" s="1"/>
    </row>
    <row r="525" spans="9:45" x14ac:dyDescent="0.3">
      <c r="I525" s="7"/>
      <c r="K525" s="7"/>
      <c r="N525" s="7"/>
      <c r="O525" s="7"/>
      <c r="Q525" s="7"/>
      <c r="T525" s="7"/>
      <c r="U525" s="7"/>
      <c r="W525" s="7"/>
      <c r="Z525" s="7"/>
      <c r="AA525" s="7"/>
      <c r="AC525" s="7"/>
      <c r="AF525" s="7"/>
      <c r="AG525" s="7"/>
      <c r="AI525" s="7"/>
      <c r="AL525" s="1"/>
      <c r="AM525" s="1"/>
      <c r="AO525" s="1"/>
      <c r="AR525" s="1"/>
      <c r="AS525" s="1"/>
    </row>
    <row r="526" spans="9:45" x14ac:dyDescent="0.3">
      <c r="I526" s="7"/>
      <c r="K526" s="7"/>
      <c r="N526" s="7"/>
      <c r="O526" s="7"/>
      <c r="Q526" s="7"/>
      <c r="T526" s="7"/>
      <c r="U526" s="7"/>
      <c r="W526" s="7"/>
      <c r="Z526" s="7"/>
      <c r="AA526" s="7"/>
      <c r="AC526" s="7"/>
      <c r="AF526" s="7"/>
      <c r="AG526" s="7"/>
      <c r="AI526" s="7"/>
      <c r="AL526" s="1"/>
      <c r="AM526" s="1"/>
      <c r="AO526" s="1"/>
      <c r="AR526" s="1"/>
      <c r="AS526" s="1"/>
    </row>
    <row r="527" spans="9:45" x14ac:dyDescent="0.3">
      <c r="I527" s="7"/>
      <c r="K527" s="7"/>
      <c r="N527" s="7"/>
      <c r="O527" s="7"/>
      <c r="Q527" s="7"/>
      <c r="T527" s="7"/>
      <c r="U527" s="7"/>
      <c r="W527" s="7"/>
      <c r="Z527" s="7"/>
      <c r="AA527" s="7"/>
      <c r="AC527" s="7"/>
      <c r="AF527" s="7"/>
      <c r="AG527" s="7"/>
      <c r="AI527" s="7"/>
      <c r="AL527" s="1"/>
      <c r="AM527" s="1"/>
      <c r="AO527" s="1"/>
      <c r="AR527" s="1"/>
      <c r="AS527" s="1"/>
    </row>
    <row r="528" spans="9:45" x14ac:dyDescent="0.3">
      <c r="I528" s="7"/>
      <c r="K528" s="7"/>
      <c r="N528" s="7"/>
      <c r="O528" s="7"/>
      <c r="Q528" s="7"/>
      <c r="T528" s="7"/>
      <c r="U528" s="7"/>
      <c r="W528" s="7"/>
      <c r="Z528" s="7"/>
      <c r="AA528" s="7"/>
      <c r="AC528" s="7"/>
      <c r="AF528" s="7"/>
      <c r="AG528" s="7"/>
      <c r="AI528" s="7"/>
      <c r="AL528" s="1"/>
      <c r="AM528" s="1"/>
      <c r="AO528" s="1"/>
      <c r="AR528" s="1"/>
      <c r="AS528" s="1"/>
    </row>
    <row r="529" spans="9:45" x14ac:dyDescent="0.3">
      <c r="I529" s="7"/>
      <c r="K529" s="7"/>
      <c r="N529" s="7"/>
      <c r="O529" s="7"/>
      <c r="Q529" s="7"/>
      <c r="T529" s="7"/>
      <c r="U529" s="7"/>
      <c r="W529" s="7"/>
      <c r="Z529" s="7"/>
      <c r="AA529" s="7"/>
      <c r="AC529" s="7"/>
      <c r="AF529" s="7"/>
      <c r="AG529" s="7"/>
      <c r="AI529" s="7"/>
      <c r="AL529" s="1"/>
      <c r="AM529" s="1"/>
      <c r="AO529" s="1"/>
      <c r="AR529" s="1"/>
      <c r="AS529" s="1"/>
    </row>
    <row r="530" spans="9:45" x14ac:dyDescent="0.3">
      <c r="I530" s="7"/>
      <c r="K530" s="7"/>
      <c r="N530" s="7"/>
      <c r="O530" s="7"/>
      <c r="Q530" s="7"/>
      <c r="T530" s="7"/>
      <c r="U530" s="7"/>
      <c r="W530" s="7"/>
      <c r="Z530" s="7"/>
      <c r="AA530" s="7"/>
      <c r="AC530" s="7"/>
      <c r="AF530" s="7"/>
      <c r="AG530" s="7"/>
      <c r="AI530" s="7"/>
      <c r="AL530" s="1"/>
      <c r="AM530" s="1"/>
      <c r="AO530" s="1"/>
      <c r="AR530" s="1"/>
      <c r="AS530" s="1"/>
    </row>
    <row r="531" spans="9:45" x14ac:dyDescent="0.3">
      <c r="I531" s="7"/>
      <c r="K531" s="7"/>
      <c r="N531" s="7"/>
      <c r="O531" s="7"/>
      <c r="Q531" s="7"/>
      <c r="T531" s="7"/>
      <c r="U531" s="7"/>
      <c r="W531" s="7"/>
      <c r="Z531" s="7"/>
      <c r="AA531" s="7"/>
      <c r="AC531" s="7"/>
      <c r="AF531" s="7"/>
      <c r="AG531" s="7"/>
      <c r="AI531" s="7"/>
      <c r="AL531" s="1"/>
      <c r="AM531" s="1"/>
      <c r="AO531" s="1"/>
      <c r="AR531" s="1"/>
      <c r="AS531" s="1"/>
    </row>
    <row r="532" spans="9:45" x14ac:dyDescent="0.3">
      <c r="I532" s="7"/>
      <c r="K532" s="7"/>
      <c r="N532" s="7"/>
      <c r="O532" s="7"/>
      <c r="Q532" s="7"/>
      <c r="T532" s="7"/>
      <c r="U532" s="7"/>
      <c r="W532" s="7"/>
      <c r="Z532" s="7"/>
      <c r="AA532" s="7"/>
      <c r="AC532" s="7"/>
      <c r="AF532" s="7"/>
      <c r="AG532" s="7"/>
      <c r="AI532" s="7"/>
      <c r="AL532" s="1"/>
      <c r="AM532" s="1"/>
      <c r="AO532" s="1"/>
      <c r="AR532" s="1"/>
      <c r="AS532" s="1"/>
    </row>
    <row r="533" spans="9:45" x14ac:dyDescent="0.3">
      <c r="I533" s="7"/>
      <c r="K533" s="7"/>
      <c r="N533" s="7"/>
      <c r="O533" s="7"/>
      <c r="Q533" s="7"/>
      <c r="T533" s="7"/>
      <c r="U533" s="7"/>
      <c r="W533" s="7"/>
      <c r="Z533" s="7"/>
      <c r="AA533" s="7"/>
      <c r="AC533" s="7"/>
      <c r="AF533" s="7"/>
      <c r="AG533" s="7"/>
      <c r="AI533" s="7"/>
      <c r="AL533" s="1"/>
      <c r="AM533" s="1"/>
      <c r="AO533" s="1"/>
      <c r="AR533" s="1"/>
      <c r="AS533" s="1"/>
    </row>
    <row r="534" spans="9:45" x14ac:dyDescent="0.3">
      <c r="I534" s="7"/>
      <c r="K534" s="7"/>
      <c r="N534" s="7"/>
      <c r="O534" s="7"/>
      <c r="Q534" s="7"/>
      <c r="T534" s="7"/>
      <c r="U534" s="7"/>
      <c r="W534" s="7"/>
      <c r="Z534" s="7"/>
      <c r="AA534" s="7"/>
      <c r="AC534" s="7"/>
      <c r="AF534" s="7"/>
      <c r="AG534" s="7"/>
      <c r="AI534" s="7"/>
      <c r="AL534" s="1"/>
      <c r="AM534" s="1"/>
      <c r="AO534" s="1"/>
      <c r="AR534" s="1"/>
      <c r="AS534" s="1"/>
    </row>
    <row r="535" spans="9:45" x14ac:dyDescent="0.3">
      <c r="I535" s="7"/>
      <c r="K535" s="7"/>
      <c r="N535" s="7"/>
      <c r="O535" s="7"/>
      <c r="Q535" s="7"/>
      <c r="T535" s="7"/>
      <c r="U535" s="7"/>
      <c r="W535" s="7"/>
      <c r="Z535" s="7"/>
      <c r="AA535" s="7"/>
      <c r="AC535" s="7"/>
      <c r="AF535" s="7"/>
      <c r="AG535" s="7"/>
      <c r="AI535" s="7"/>
      <c r="AL535" s="1"/>
      <c r="AM535" s="1"/>
      <c r="AO535" s="1"/>
      <c r="AR535" s="1"/>
      <c r="AS535" s="1"/>
    </row>
    <row r="536" spans="9:45" x14ac:dyDescent="0.3">
      <c r="I536" s="7"/>
      <c r="K536" s="7"/>
      <c r="N536" s="7"/>
      <c r="O536" s="7"/>
      <c r="Q536" s="7"/>
      <c r="T536" s="7"/>
      <c r="U536" s="7"/>
      <c r="W536" s="7"/>
      <c r="Z536" s="7"/>
      <c r="AA536" s="7"/>
      <c r="AC536" s="7"/>
      <c r="AF536" s="7"/>
      <c r="AG536" s="7"/>
      <c r="AI536" s="7"/>
      <c r="AL536" s="1"/>
      <c r="AM536" s="1"/>
      <c r="AO536" s="1"/>
      <c r="AR536" s="1"/>
      <c r="AS536" s="1"/>
    </row>
    <row r="537" spans="9:45" x14ac:dyDescent="0.3">
      <c r="I537" s="7"/>
      <c r="K537" s="7"/>
      <c r="N537" s="7"/>
      <c r="O537" s="7"/>
      <c r="Q537" s="7"/>
      <c r="T537" s="7"/>
      <c r="U537" s="7"/>
      <c r="W537" s="7"/>
      <c r="Z537" s="7"/>
      <c r="AA537" s="7"/>
      <c r="AC537" s="7"/>
      <c r="AF537" s="7"/>
      <c r="AG537" s="7"/>
      <c r="AI537" s="7"/>
      <c r="AL537" s="1"/>
      <c r="AM537" s="1"/>
      <c r="AO537" s="1"/>
      <c r="AR537" s="1"/>
      <c r="AS537" s="1"/>
    </row>
    <row r="538" spans="9:45" x14ac:dyDescent="0.3">
      <c r="I538" s="7"/>
      <c r="K538" s="7"/>
      <c r="N538" s="7"/>
      <c r="O538" s="7"/>
      <c r="Q538" s="7"/>
      <c r="T538" s="7"/>
      <c r="U538" s="7"/>
      <c r="W538" s="7"/>
      <c r="Z538" s="7"/>
      <c r="AA538" s="7"/>
      <c r="AC538" s="7"/>
      <c r="AF538" s="7"/>
      <c r="AG538" s="7"/>
      <c r="AI538" s="7"/>
      <c r="AL538" s="1"/>
      <c r="AM538" s="1"/>
      <c r="AO538" s="1"/>
      <c r="AR538" s="1"/>
      <c r="AS538" s="1"/>
    </row>
    <row r="539" spans="9:45" x14ac:dyDescent="0.3">
      <c r="I539" s="7"/>
      <c r="K539" s="7"/>
      <c r="N539" s="7"/>
      <c r="O539" s="7"/>
      <c r="Q539" s="7"/>
      <c r="T539" s="7"/>
      <c r="U539" s="7"/>
      <c r="W539" s="7"/>
      <c r="Z539" s="7"/>
      <c r="AA539" s="7"/>
      <c r="AC539" s="7"/>
      <c r="AF539" s="7"/>
      <c r="AG539" s="7"/>
      <c r="AI539" s="7"/>
      <c r="AL539" s="1"/>
      <c r="AM539" s="1"/>
      <c r="AO539" s="1"/>
      <c r="AR539" s="1"/>
      <c r="AS539" s="1"/>
    </row>
    <row r="540" spans="9:45" x14ac:dyDescent="0.3">
      <c r="I540" s="7"/>
      <c r="K540" s="7"/>
      <c r="N540" s="7"/>
      <c r="O540" s="7"/>
      <c r="Q540" s="7"/>
      <c r="T540" s="7"/>
      <c r="U540" s="7"/>
      <c r="W540" s="7"/>
      <c r="Z540" s="7"/>
      <c r="AA540" s="7"/>
      <c r="AC540" s="7"/>
      <c r="AF540" s="7"/>
      <c r="AG540" s="7"/>
      <c r="AI540" s="7"/>
      <c r="AL540" s="1"/>
      <c r="AM540" s="1"/>
      <c r="AO540" s="1"/>
      <c r="AR540" s="1"/>
      <c r="AS540" s="1"/>
    </row>
    <row r="541" spans="9:45" x14ac:dyDescent="0.3">
      <c r="I541" s="7"/>
      <c r="K541" s="7"/>
      <c r="N541" s="7"/>
      <c r="O541" s="7"/>
      <c r="Q541" s="7"/>
      <c r="T541" s="7"/>
      <c r="U541" s="7"/>
      <c r="W541" s="7"/>
      <c r="Z541" s="7"/>
      <c r="AA541" s="7"/>
      <c r="AC541" s="7"/>
      <c r="AF541" s="7"/>
      <c r="AG541" s="7"/>
      <c r="AI541" s="7"/>
      <c r="AL541" s="1"/>
      <c r="AM541" s="1"/>
      <c r="AO541" s="1"/>
      <c r="AR541" s="1"/>
      <c r="AS541" s="1"/>
    </row>
    <row r="542" spans="9:45" x14ac:dyDescent="0.3">
      <c r="I542" s="7"/>
      <c r="K542" s="7"/>
      <c r="N542" s="7"/>
      <c r="O542" s="7"/>
      <c r="Q542" s="7"/>
      <c r="T542" s="7"/>
      <c r="U542" s="7"/>
      <c r="W542" s="7"/>
      <c r="Z542" s="7"/>
      <c r="AA542" s="7"/>
      <c r="AC542" s="7"/>
      <c r="AF542" s="7"/>
      <c r="AG542" s="7"/>
      <c r="AI542" s="7"/>
      <c r="AL542" s="1"/>
      <c r="AM542" s="1"/>
      <c r="AO542" s="1"/>
      <c r="AR542" s="1"/>
      <c r="AS542" s="1"/>
    </row>
    <row r="543" spans="9:45" x14ac:dyDescent="0.3">
      <c r="I543" s="7"/>
      <c r="K543" s="7"/>
      <c r="N543" s="7"/>
      <c r="O543" s="7"/>
      <c r="Q543" s="7"/>
      <c r="T543" s="7"/>
      <c r="U543" s="7"/>
      <c r="W543" s="7"/>
      <c r="Z543" s="7"/>
      <c r="AA543" s="7"/>
      <c r="AC543" s="7"/>
      <c r="AF543" s="7"/>
      <c r="AG543" s="7"/>
      <c r="AI543" s="7"/>
      <c r="AL543" s="1"/>
      <c r="AM543" s="1"/>
      <c r="AO543" s="1"/>
      <c r="AR543" s="1"/>
      <c r="AS543" s="1"/>
    </row>
    <row r="544" spans="9:45" x14ac:dyDescent="0.3">
      <c r="I544" s="7"/>
      <c r="K544" s="7"/>
      <c r="N544" s="7"/>
      <c r="O544" s="7"/>
      <c r="Q544" s="7"/>
      <c r="T544" s="7"/>
      <c r="U544" s="7"/>
      <c r="W544" s="7"/>
      <c r="Z544" s="7"/>
      <c r="AA544" s="7"/>
      <c r="AC544" s="7"/>
      <c r="AF544" s="7"/>
      <c r="AG544" s="7"/>
      <c r="AI544" s="7"/>
      <c r="AL544" s="1"/>
      <c r="AM544" s="1"/>
      <c r="AO544" s="1"/>
      <c r="AR544" s="1"/>
      <c r="AS544" s="1"/>
    </row>
    <row r="545" spans="9:45" x14ac:dyDescent="0.3">
      <c r="I545" s="7"/>
      <c r="K545" s="7"/>
      <c r="N545" s="7"/>
      <c r="O545" s="7"/>
      <c r="Q545" s="7"/>
      <c r="T545" s="7"/>
      <c r="U545" s="7"/>
      <c r="W545" s="7"/>
      <c r="Z545" s="7"/>
      <c r="AA545" s="7"/>
      <c r="AC545" s="7"/>
      <c r="AF545" s="7"/>
      <c r="AG545" s="7"/>
      <c r="AI545" s="7"/>
      <c r="AL545" s="1"/>
      <c r="AM545" s="1"/>
      <c r="AO545" s="1"/>
      <c r="AR545" s="1"/>
      <c r="AS545" s="1"/>
    </row>
    <row r="546" spans="9:45" x14ac:dyDescent="0.3">
      <c r="I546" s="7"/>
      <c r="K546" s="7"/>
      <c r="N546" s="7"/>
      <c r="O546" s="7"/>
      <c r="Q546" s="7"/>
      <c r="T546" s="7"/>
      <c r="U546" s="7"/>
      <c r="W546" s="7"/>
      <c r="Z546" s="7"/>
      <c r="AA546" s="7"/>
      <c r="AC546" s="7"/>
      <c r="AF546" s="7"/>
      <c r="AG546" s="7"/>
      <c r="AI546" s="7"/>
      <c r="AL546" s="1"/>
      <c r="AM546" s="1"/>
      <c r="AO546" s="1"/>
      <c r="AR546" s="1"/>
      <c r="AS546" s="1"/>
    </row>
    <row r="547" spans="9:45" x14ac:dyDescent="0.3">
      <c r="I547" s="7"/>
      <c r="K547" s="7"/>
      <c r="N547" s="7"/>
      <c r="O547" s="7"/>
      <c r="Q547" s="7"/>
      <c r="T547" s="7"/>
      <c r="U547" s="7"/>
      <c r="W547" s="7"/>
      <c r="Z547" s="7"/>
      <c r="AA547" s="7"/>
      <c r="AC547" s="7"/>
      <c r="AF547" s="7"/>
      <c r="AG547" s="7"/>
      <c r="AI547" s="7"/>
      <c r="AL547" s="1"/>
      <c r="AM547" s="1"/>
      <c r="AO547" s="1"/>
      <c r="AR547" s="1"/>
      <c r="AS547" s="1"/>
    </row>
    <row r="548" spans="9:45" x14ac:dyDescent="0.3">
      <c r="I548" s="7"/>
      <c r="K548" s="7"/>
      <c r="N548" s="7"/>
      <c r="O548" s="7"/>
      <c r="Q548" s="7"/>
      <c r="T548" s="7"/>
      <c r="U548" s="7"/>
      <c r="W548" s="7"/>
      <c r="Z548" s="7"/>
      <c r="AA548" s="7"/>
      <c r="AC548" s="7"/>
      <c r="AF548" s="7"/>
      <c r="AG548" s="7"/>
      <c r="AI548" s="7"/>
      <c r="AL548" s="1"/>
      <c r="AM548" s="1"/>
      <c r="AO548" s="1"/>
      <c r="AR548" s="1"/>
      <c r="AS548" s="1"/>
    </row>
    <row r="549" spans="9:45" x14ac:dyDescent="0.3">
      <c r="I549" s="7"/>
      <c r="K549" s="7"/>
      <c r="N549" s="7"/>
      <c r="O549" s="7"/>
      <c r="Q549" s="7"/>
      <c r="T549" s="7"/>
      <c r="U549" s="7"/>
      <c r="W549" s="7"/>
      <c r="Z549" s="7"/>
      <c r="AA549" s="7"/>
      <c r="AC549" s="7"/>
      <c r="AF549" s="7"/>
      <c r="AG549" s="7"/>
      <c r="AI549" s="7"/>
      <c r="AL549" s="1"/>
      <c r="AM549" s="1"/>
      <c r="AO549" s="1"/>
      <c r="AR549" s="1"/>
      <c r="AS549" s="1"/>
    </row>
    <row r="550" spans="9:45" x14ac:dyDescent="0.3">
      <c r="I550" s="7"/>
      <c r="K550" s="7"/>
      <c r="N550" s="7"/>
      <c r="O550" s="7"/>
      <c r="Q550" s="7"/>
      <c r="T550" s="7"/>
      <c r="U550" s="7"/>
      <c r="W550" s="7"/>
      <c r="Z550" s="7"/>
      <c r="AA550" s="7"/>
      <c r="AC550" s="7"/>
      <c r="AF550" s="7"/>
      <c r="AG550" s="7"/>
      <c r="AI550" s="7"/>
      <c r="AL550" s="1"/>
      <c r="AM550" s="1"/>
      <c r="AO550" s="1"/>
      <c r="AR550" s="1"/>
      <c r="AS550" s="1"/>
    </row>
    <row r="551" spans="9:45" x14ac:dyDescent="0.3">
      <c r="I551" s="7"/>
      <c r="K551" s="7"/>
      <c r="N551" s="7"/>
      <c r="O551" s="7"/>
      <c r="Q551" s="7"/>
      <c r="T551" s="7"/>
      <c r="U551" s="7"/>
      <c r="W551" s="7"/>
      <c r="Z551" s="7"/>
      <c r="AA551" s="7"/>
      <c r="AC551" s="7"/>
      <c r="AF551" s="7"/>
      <c r="AG551" s="7"/>
      <c r="AI551" s="7"/>
      <c r="AL551" s="1"/>
      <c r="AM551" s="1"/>
      <c r="AO551" s="1"/>
      <c r="AR551" s="1"/>
      <c r="AS551" s="1"/>
    </row>
    <row r="552" spans="9:45" x14ac:dyDescent="0.3">
      <c r="I552" s="7"/>
      <c r="K552" s="7"/>
      <c r="N552" s="7"/>
      <c r="O552" s="7"/>
      <c r="Q552" s="7"/>
      <c r="T552" s="7"/>
      <c r="U552" s="7"/>
      <c r="W552" s="7"/>
      <c r="Z552" s="7"/>
      <c r="AA552" s="7"/>
      <c r="AC552" s="7"/>
      <c r="AF552" s="7"/>
      <c r="AG552" s="7"/>
      <c r="AI552" s="7"/>
      <c r="AL552" s="1"/>
      <c r="AM552" s="1"/>
      <c r="AO552" s="1"/>
      <c r="AR552" s="1"/>
      <c r="AS552" s="1"/>
    </row>
    <row r="553" spans="9:45" x14ac:dyDescent="0.3">
      <c r="I553" s="7"/>
      <c r="K553" s="7"/>
      <c r="N553" s="7"/>
      <c r="O553" s="7"/>
      <c r="Q553" s="7"/>
      <c r="T553" s="7"/>
      <c r="U553" s="7"/>
      <c r="W553" s="7"/>
      <c r="Z553" s="7"/>
      <c r="AA553" s="7"/>
      <c r="AC553" s="7"/>
      <c r="AF553" s="7"/>
      <c r="AG553" s="7"/>
      <c r="AI553" s="7"/>
      <c r="AL553" s="1"/>
      <c r="AM553" s="1"/>
      <c r="AO553" s="1"/>
      <c r="AR553" s="1"/>
      <c r="AS553" s="1"/>
    </row>
    <row r="554" spans="9:45" x14ac:dyDescent="0.3">
      <c r="I554" s="7"/>
      <c r="K554" s="7"/>
      <c r="N554" s="7"/>
      <c r="O554" s="7"/>
      <c r="Q554" s="7"/>
      <c r="T554" s="7"/>
      <c r="U554" s="7"/>
      <c r="W554" s="7"/>
      <c r="Z554" s="7"/>
      <c r="AA554" s="7"/>
      <c r="AC554" s="7"/>
      <c r="AF554" s="7"/>
      <c r="AG554" s="7"/>
      <c r="AI554" s="7"/>
      <c r="AL554" s="1"/>
      <c r="AM554" s="1"/>
      <c r="AO554" s="1"/>
      <c r="AR554" s="1"/>
      <c r="AS554" s="1"/>
    </row>
    <row r="555" spans="9:45" x14ac:dyDescent="0.3">
      <c r="I555" s="7"/>
      <c r="K555" s="7"/>
      <c r="N555" s="7"/>
      <c r="O555" s="7"/>
      <c r="Q555" s="7"/>
      <c r="T555" s="7"/>
      <c r="U555" s="7"/>
      <c r="W555" s="7"/>
      <c r="Z555" s="7"/>
      <c r="AA555" s="7"/>
      <c r="AC555" s="7"/>
      <c r="AF555" s="7"/>
      <c r="AG555" s="7"/>
      <c r="AI555" s="7"/>
      <c r="AL555" s="1"/>
      <c r="AM555" s="1"/>
      <c r="AO555" s="1"/>
      <c r="AR555" s="1"/>
      <c r="AS555" s="1"/>
    </row>
    <row r="556" spans="9:45" x14ac:dyDescent="0.3">
      <c r="I556" s="7"/>
      <c r="K556" s="7"/>
      <c r="N556" s="7"/>
      <c r="O556" s="7"/>
      <c r="Q556" s="7"/>
      <c r="T556" s="7"/>
      <c r="U556" s="7"/>
      <c r="W556" s="7"/>
      <c r="Z556" s="7"/>
      <c r="AA556" s="7"/>
      <c r="AC556" s="7"/>
      <c r="AF556" s="7"/>
      <c r="AG556" s="7"/>
      <c r="AI556" s="7"/>
      <c r="AL556" s="1"/>
      <c r="AM556" s="1"/>
      <c r="AO556" s="1"/>
      <c r="AR556" s="1"/>
      <c r="AS556" s="1"/>
    </row>
    <row r="557" spans="9:45" x14ac:dyDescent="0.3">
      <c r="I557" s="7"/>
      <c r="K557" s="7"/>
      <c r="N557" s="7"/>
      <c r="O557" s="7"/>
      <c r="Q557" s="7"/>
      <c r="T557" s="7"/>
      <c r="U557" s="7"/>
      <c r="W557" s="7"/>
      <c r="Z557" s="7"/>
      <c r="AA557" s="7"/>
      <c r="AC557" s="7"/>
      <c r="AF557" s="7"/>
      <c r="AG557" s="7"/>
      <c r="AI557" s="7"/>
      <c r="AL557" s="1"/>
      <c r="AM557" s="1"/>
      <c r="AO557" s="1"/>
      <c r="AR557" s="1"/>
      <c r="AS557" s="1"/>
    </row>
    <row r="558" spans="9:45" x14ac:dyDescent="0.3">
      <c r="I558" s="7"/>
      <c r="K558" s="7"/>
      <c r="N558" s="7"/>
      <c r="O558" s="7"/>
      <c r="Q558" s="7"/>
      <c r="T558" s="7"/>
      <c r="U558" s="7"/>
      <c r="W558" s="7"/>
      <c r="Z558" s="7"/>
      <c r="AA558" s="7"/>
      <c r="AC558" s="7"/>
      <c r="AF558" s="7"/>
      <c r="AG558" s="7"/>
      <c r="AI558" s="7"/>
      <c r="AL558" s="1"/>
      <c r="AM558" s="1"/>
      <c r="AO558" s="1"/>
      <c r="AR558" s="1"/>
      <c r="AS558" s="1"/>
    </row>
    <row r="559" spans="9:45" x14ac:dyDescent="0.3">
      <c r="I559" s="7"/>
      <c r="K559" s="7"/>
      <c r="N559" s="7"/>
      <c r="O559" s="7"/>
      <c r="Q559" s="7"/>
      <c r="T559" s="7"/>
      <c r="U559" s="7"/>
      <c r="W559" s="7"/>
      <c r="Z559" s="7"/>
      <c r="AA559" s="7"/>
      <c r="AC559" s="7"/>
      <c r="AF559" s="7"/>
      <c r="AG559" s="7"/>
      <c r="AI559" s="7"/>
      <c r="AL559" s="1"/>
      <c r="AM559" s="1"/>
      <c r="AO559" s="1"/>
      <c r="AR559" s="1"/>
      <c r="AS559" s="1"/>
    </row>
    <row r="560" spans="9:45" x14ac:dyDescent="0.3">
      <c r="I560" s="7"/>
      <c r="K560" s="7"/>
      <c r="N560" s="7"/>
      <c r="O560" s="7"/>
      <c r="Q560" s="7"/>
      <c r="T560" s="7"/>
      <c r="U560" s="7"/>
      <c r="W560" s="7"/>
      <c r="Z560" s="7"/>
      <c r="AA560" s="7"/>
      <c r="AC560" s="7"/>
      <c r="AF560" s="7"/>
      <c r="AG560" s="7"/>
      <c r="AI560" s="7"/>
      <c r="AL560" s="1"/>
      <c r="AM560" s="1"/>
      <c r="AO560" s="1"/>
      <c r="AR560" s="1"/>
      <c r="AS560" s="1"/>
    </row>
    <row r="561" spans="9:45" x14ac:dyDescent="0.3">
      <c r="I561" s="7"/>
      <c r="K561" s="7"/>
      <c r="N561" s="7"/>
      <c r="O561" s="7"/>
      <c r="Q561" s="7"/>
      <c r="T561" s="7"/>
      <c r="U561" s="7"/>
      <c r="W561" s="7"/>
      <c r="Z561" s="7"/>
      <c r="AA561" s="7"/>
      <c r="AC561" s="7"/>
      <c r="AF561" s="7"/>
      <c r="AG561" s="7"/>
      <c r="AI561" s="7"/>
      <c r="AL561" s="1"/>
      <c r="AM561" s="1"/>
      <c r="AO561" s="1"/>
      <c r="AR561" s="1"/>
      <c r="AS561" s="1"/>
    </row>
    <row r="562" spans="9:45" x14ac:dyDescent="0.3">
      <c r="I562" s="7"/>
      <c r="K562" s="7"/>
      <c r="N562" s="7"/>
      <c r="O562" s="7"/>
      <c r="Q562" s="7"/>
      <c r="T562" s="7"/>
      <c r="U562" s="7"/>
      <c r="W562" s="7"/>
      <c r="Z562" s="7"/>
      <c r="AA562" s="7"/>
      <c r="AC562" s="7"/>
      <c r="AF562" s="7"/>
      <c r="AG562" s="7"/>
      <c r="AI562" s="7"/>
      <c r="AL562" s="1"/>
      <c r="AM562" s="1"/>
      <c r="AO562" s="1"/>
      <c r="AR562" s="1"/>
      <c r="AS562" s="1"/>
    </row>
    <row r="563" spans="9:45" x14ac:dyDescent="0.3">
      <c r="I563" s="7"/>
      <c r="K563" s="7"/>
      <c r="N563" s="7"/>
      <c r="O563" s="7"/>
      <c r="Q563" s="7"/>
      <c r="T563" s="7"/>
      <c r="U563" s="7"/>
      <c r="W563" s="7"/>
      <c r="Z563" s="7"/>
      <c r="AA563" s="7"/>
      <c r="AC563" s="7"/>
      <c r="AF563" s="7"/>
      <c r="AG563" s="7"/>
      <c r="AI563" s="7"/>
      <c r="AL563" s="1"/>
      <c r="AM563" s="1"/>
      <c r="AO563" s="1"/>
      <c r="AR563" s="1"/>
      <c r="AS563" s="1"/>
    </row>
    <row r="564" spans="9:45" x14ac:dyDescent="0.3">
      <c r="I564" s="7"/>
      <c r="K564" s="7"/>
      <c r="N564" s="7"/>
      <c r="O564" s="7"/>
      <c r="Q564" s="7"/>
      <c r="T564" s="7"/>
      <c r="U564" s="7"/>
      <c r="W564" s="7"/>
      <c r="Z564" s="7"/>
      <c r="AA564" s="7"/>
      <c r="AC564" s="7"/>
      <c r="AF564" s="7"/>
      <c r="AG564" s="7"/>
      <c r="AI564" s="7"/>
      <c r="AL564" s="1"/>
      <c r="AM564" s="1"/>
      <c r="AO564" s="1"/>
      <c r="AR564" s="1"/>
      <c r="AS564" s="1"/>
    </row>
    <row r="565" spans="9:45" x14ac:dyDescent="0.3">
      <c r="I565" s="7"/>
      <c r="K565" s="7"/>
      <c r="N565" s="7"/>
      <c r="O565" s="7"/>
      <c r="Q565" s="7"/>
      <c r="T565" s="7"/>
      <c r="U565" s="7"/>
      <c r="W565" s="7"/>
      <c r="Z565" s="7"/>
      <c r="AA565" s="7"/>
      <c r="AC565" s="7"/>
      <c r="AF565" s="7"/>
      <c r="AG565" s="7"/>
      <c r="AI565" s="7"/>
      <c r="AL565" s="1"/>
      <c r="AM565" s="1"/>
      <c r="AO565" s="1"/>
      <c r="AR565" s="1"/>
      <c r="AS565" s="1"/>
    </row>
    <row r="566" spans="9:45" x14ac:dyDescent="0.3">
      <c r="I566" s="7"/>
      <c r="K566" s="7"/>
      <c r="N566" s="7"/>
      <c r="O566" s="7"/>
      <c r="Q566" s="7"/>
      <c r="T566" s="7"/>
      <c r="U566" s="7"/>
      <c r="W566" s="7"/>
      <c r="Z566" s="7"/>
      <c r="AA566" s="7"/>
      <c r="AC566" s="7"/>
      <c r="AF566" s="7"/>
      <c r="AG566" s="7"/>
      <c r="AI566" s="7"/>
      <c r="AL566" s="1"/>
      <c r="AM566" s="1"/>
      <c r="AO566" s="1"/>
      <c r="AR566" s="1"/>
      <c r="AS566" s="1"/>
    </row>
    <row r="567" spans="9:45" x14ac:dyDescent="0.3">
      <c r="I567" s="7"/>
      <c r="K567" s="7"/>
      <c r="N567" s="7"/>
      <c r="O567" s="7"/>
      <c r="Q567" s="7"/>
      <c r="T567" s="7"/>
      <c r="U567" s="7"/>
      <c r="W567" s="7"/>
      <c r="Z567" s="7"/>
      <c r="AA567" s="7"/>
      <c r="AC567" s="7"/>
      <c r="AF567" s="7"/>
      <c r="AG567" s="7"/>
      <c r="AI567" s="7"/>
      <c r="AL567" s="1"/>
      <c r="AM567" s="1"/>
      <c r="AO567" s="1"/>
      <c r="AR567" s="1"/>
      <c r="AS567" s="1"/>
    </row>
    <row r="568" spans="9:45" x14ac:dyDescent="0.3">
      <c r="I568" s="7"/>
      <c r="K568" s="7"/>
      <c r="N568" s="7"/>
      <c r="O568" s="7"/>
      <c r="Q568" s="7"/>
      <c r="T568" s="7"/>
      <c r="U568" s="7"/>
      <c r="W568" s="7"/>
      <c r="Z568" s="7"/>
      <c r="AA568" s="7"/>
      <c r="AC568" s="7"/>
      <c r="AF568" s="7"/>
      <c r="AG568" s="7"/>
      <c r="AI568" s="7"/>
      <c r="AL568" s="1"/>
      <c r="AM568" s="1"/>
      <c r="AO568" s="1"/>
      <c r="AR568" s="1"/>
      <c r="AS568" s="1"/>
    </row>
    <row r="569" spans="9:45" x14ac:dyDescent="0.3">
      <c r="I569" s="7"/>
      <c r="K569" s="7"/>
      <c r="N569" s="7"/>
      <c r="O569" s="7"/>
      <c r="Q569" s="7"/>
      <c r="T569" s="7"/>
      <c r="U569" s="7"/>
      <c r="W569" s="7"/>
      <c r="Z569" s="7"/>
      <c r="AA569" s="7"/>
      <c r="AC569" s="7"/>
      <c r="AF569" s="7"/>
      <c r="AG569" s="7"/>
      <c r="AI569" s="7"/>
      <c r="AL569" s="1"/>
      <c r="AM569" s="1"/>
      <c r="AO569" s="1"/>
      <c r="AR569" s="1"/>
      <c r="AS569" s="1"/>
    </row>
    <row r="570" spans="9:45" x14ac:dyDescent="0.3">
      <c r="I570" s="7"/>
      <c r="K570" s="7"/>
      <c r="N570" s="7"/>
      <c r="O570" s="7"/>
      <c r="Q570" s="7"/>
      <c r="T570" s="7"/>
      <c r="U570" s="7"/>
      <c r="W570" s="7"/>
      <c r="Z570" s="7"/>
      <c r="AA570" s="7"/>
      <c r="AC570" s="7"/>
      <c r="AF570" s="7"/>
      <c r="AG570" s="7"/>
      <c r="AI570" s="7"/>
      <c r="AL570" s="1"/>
      <c r="AM570" s="1"/>
      <c r="AO570" s="1"/>
      <c r="AR570" s="1"/>
      <c r="AS570" s="1"/>
    </row>
    <row r="571" spans="9:45" x14ac:dyDescent="0.3">
      <c r="I571" s="7"/>
      <c r="K571" s="7"/>
      <c r="N571" s="7"/>
      <c r="O571" s="7"/>
      <c r="Q571" s="7"/>
      <c r="T571" s="7"/>
      <c r="U571" s="7"/>
      <c r="W571" s="7"/>
      <c r="Z571" s="7"/>
      <c r="AA571" s="7"/>
      <c r="AC571" s="7"/>
      <c r="AF571" s="7"/>
      <c r="AG571" s="7"/>
      <c r="AI571" s="7"/>
      <c r="AL571" s="1"/>
      <c r="AM571" s="1"/>
      <c r="AO571" s="1"/>
      <c r="AR571" s="1"/>
      <c r="AS571" s="1"/>
    </row>
    <row r="572" spans="9:45" x14ac:dyDescent="0.3">
      <c r="I572" s="7"/>
      <c r="K572" s="7"/>
      <c r="N572" s="7"/>
      <c r="O572" s="7"/>
      <c r="Q572" s="7"/>
      <c r="T572" s="7"/>
      <c r="U572" s="7"/>
      <c r="W572" s="7"/>
      <c r="Z572" s="7"/>
      <c r="AA572" s="7"/>
      <c r="AC572" s="7"/>
      <c r="AF572" s="7"/>
      <c r="AG572" s="7"/>
      <c r="AI572" s="7"/>
      <c r="AL572" s="1"/>
      <c r="AM572" s="1"/>
      <c r="AO572" s="1"/>
      <c r="AR572" s="1"/>
      <c r="AS572" s="1"/>
    </row>
    <row r="573" spans="9:45" x14ac:dyDescent="0.3">
      <c r="I573" s="7"/>
      <c r="K573" s="7"/>
      <c r="N573" s="7"/>
      <c r="O573" s="7"/>
      <c r="Q573" s="7"/>
      <c r="T573" s="7"/>
      <c r="U573" s="7"/>
      <c r="W573" s="7"/>
      <c r="Z573" s="7"/>
      <c r="AA573" s="7"/>
      <c r="AC573" s="7"/>
      <c r="AF573" s="7"/>
      <c r="AG573" s="7"/>
      <c r="AI573" s="7"/>
      <c r="AL573" s="1"/>
      <c r="AM573" s="1"/>
      <c r="AO573" s="1"/>
      <c r="AR573" s="1"/>
      <c r="AS573" s="1"/>
    </row>
    <row r="574" spans="9:45" x14ac:dyDescent="0.3">
      <c r="I574" s="7"/>
      <c r="K574" s="7"/>
      <c r="N574" s="7"/>
      <c r="O574" s="7"/>
      <c r="Q574" s="7"/>
      <c r="T574" s="7"/>
      <c r="U574" s="7"/>
      <c r="W574" s="7"/>
      <c r="Z574" s="7"/>
      <c r="AA574" s="7"/>
      <c r="AC574" s="7"/>
      <c r="AF574" s="7"/>
      <c r="AG574" s="7"/>
      <c r="AI574" s="7"/>
      <c r="AL574" s="1"/>
      <c r="AM574" s="1"/>
      <c r="AO574" s="1"/>
      <c r="AR574" s="1"/>
      <c r="AS574" s="1"/>
    </row>
    <row r="575" spans="9:45" x14ac:dyDescent="0.3">
      <c r="I575" s="7"/>
      <c r="K575" s="7"/>
      <c r="N575" s="7"/>
      <c r="O575" s="7"/>
      <c r="Q575" s="7"/>
      <c r="T575" s="7"/>
      <c r="U575" s="7"/>
      <c r="W575" s="7"/>
      <c r="Z575" s="7"/>
      <c r="AA575" s="7"/>
      <c r="AC575" s="7"/>
      <c r="AF575" s="7"/>
      <c r="AG575" s="7"/>
      <c r="AI575" s="7"/>
      <c r="AL575" s="1"/>
      <c r="AM575" s="1"/>
      <c r="AO575" s="1"/>
      <c r="AR575" s="1"/>
      <c r="AS575" s="1"/>
    </row>
    <row r="576" spans="9:45" x14ac:dyDescent="0.3">
      <c r="I576" s="7"/>
      <c r="K576" s="7"/>
      <c r="N576" s="7"/>
      <c r="O576" s="7"/>
      <c r="Q576" s="7"/>
      <c r="T576" s="7"/>
      <c r="U576" s="7"/>
      <c r="W576" s="7"/>
      <c r="Z576" s="7"/>
      <c r="AA576" s="7"/>
      <c r="AC576" s="7"/>
      <c r="AF576" s="7"/>
      <c r="AG576" s="7"/>
      <c r="AI576" s="7"/>
      <c r="AL576" s="1"/>
      <c r="AM576" s="1"/>
      <c r="AO576" s="1"/>
      <c r="AR576" s="1"/>
      <c r="AS576" s="1"/>
    </row>
    <row r="577" spans="9:45" x14ac:dyDescent="0.3">
      <c r="I577" s="7"/>
      <c r="K577" s="7"/>
      <c r="N577" s="7"/>
      <c r="O577" s="7"/>
      <c r="Q577" s="7"/>
      <c r="T577" s="7"/>
      <c r="U577" s="7"/>
      <c r="W577" s="7"/>
      <c r="Z577" s="7"/>
      <c r="AA577" s="7"/>
      <c r="AC577" s="7"/>
      <c r="AF577" s="7"/>
      <c r="AG577" s="7"/>
      <c r="AI577" s="7"/>
      <c r="AL577" s="1"/>
      <c r="AM577" s="1"/>
      <c r="AO577" s="1"/>
      <c r="AR577" s="1"/>
      <c r="AS577" s="1"/>
    </row>
    <row r="578" spans="9:45" x14ac:dyDescent="0.3">
      <c r="I578" s="7"/>
      <c r="K578" s="7"/>
      <c r="N578" s="7"/>
      <c r="O578" s="7"/>
      <c r="Q578" s="7"/>
      <c r="T578" s="7"/>
      <c r="U578" s="7"/>
      <c r="W578" s="7"/>
      <c r="Z578" s="7"/>
      <c r="AA578" s="7"/>
      <c r="AC578" s="7"/>
      <c r="AF578" s="7"/>
      <c r="AG578" s="7"/>
      <c r="AI578" s="7"/>
      <c r="AL578" s="1"/>
      <c r="AM578" s="1"/>
      <c r="AO578" s="1"/>
      <c r="AR578" s="1"/>
      <c r="AS578" s="1"/>
    </row>
    <row r="579" spans="9:45" x14ac:dyDescent="0.3">
      <c r="I579" s="7"/>
      <c r="K579" s="7"/>
      <c r="N579" s="7"/>
      <c r="O579" s="7"/>
      <c r="Q579" s="7"/>
      <c r="T579" s="7"/>
      <c r="U579" s="7"/>
      <c r="W579" s="7"/>
      <c r="Z579" s="7"/>
      <c r="AA579" s="7"/>
      <c r="AC579" s="7"/>
      <c r="AF579" s="7"/>
      <c r="AG579" s="7"/>
      <c r="AI579" s="7"/>
      <c r="AL579" s="1"/>
      <c r="AM579" s="1"/>
      <c r="AO579" s="1"/>
      <c r="AR579" s="1"/>
      <c r="AS579" s="1"/>
    </row>
    <row r="580" spans="9:45" x14ac:dyDescent="0.3">
      <c r="I580" s="7"/>
      <c r="K580" s="7"/>
      <c r="N580" s="7"/>
      <c r="O580" s="7"/>
      <c r="Q580" s="7"/>
      <c r="T580" s="7"/>
      <c r="U580" s="7"/>
      <c r="W580" s="7"/>
      <c r="Z580" s="7"/>
      <c r="AA580" s="7"/>
      <c r="AC580" s="7"/>
      <c r="AF580" s="7"/>
      <c r="AG580" s="7"/>
      <c r="AI580" s="7"/>
      <c r="AL580" s="1"/>
      <c r="AM580" s="1"/>
      <c r="AO580" s="1"/>
      <c r="AR580" s="1"/>
      <c r="AS580" s="1"/>
    </row>
    <row r="581" spans="9:45" x14ac:dyDescent="0.3">
      <c r="I581" s="7"/>
      <c r="K581" s="7"/>
      <c r="N581" s="7"/>
      <c r="O581" s="7"/>
      <c r="Q581" s="7"/>
      <c r="T581" s="7"/>
      <c r="U581" s="7"/>
      <c r="W581" s="7"/>
      <c r="Z581" s="7"/>
      <c r="AA581" s="7"/>
      <c r="AC581" s="7"/>
      <c r="AF581" s="7"/>
      <c r="AG581" s="7"/>
      <c r="AI581" s="7"/>
      <c r="AL581" s="1"/>
      <c r="AM581" s="1"/>
      <c r="AO581" s="1"/>
      <c r="AR581" s="1"/>
      <c r="AS581" s="1"/>
    </row>
    <row r="582" spans="9:45" x14ac:dyDescent="0.3">
      <c r="I582" s="7"/>
      <c r="K582" s="7"/>
      <c r="N582" s="7"/>
      <c r="O582" s="7"/>
      <c r="Q582" s="7"/>
      <c r="T582" s="7"/>
      <c r="U582" s="7"/>
      <c r="W582" s="7"/>
      <c r="Z582" s="7"/>
      <c r="AA582" s="7"/>
      <c r="AC582" s="7"/>
      <c r="AF582" s="7"/>
      <c r="AG582" s="7"/>
      <c r="AI582" s="7"/>
      <c r="AL582" s="1"/>
      <c r="AM582" s="1"/>
      <c r="AO582" s="1"/>
      <c r="AR582" s="1"/>
      <c r="AS582" s="1"/>
    </row>
    <row r="583" spans="9:45" x14ac:dyDescent="0.3">
      <c r="I583" s="7"/>
      <c r="K583" s="7"/>
      <c r="N583" s="7"/>
      <c r="O583" s="7"/>
      <c r="Q583" s="7"/>
      <c r="T583" s="7"/>
      <c r="U583" s="7"/>
      <c r="W583" s="7"/>
      <c r="Z583" s="7"/>
      <c r="AA583" s="7"/>
      <c r="AC583" s="7"/>
      <c r="AF583" s="7"/>
      <c r="AG583" s="7"/>
      <c r="AI583" s="7"/>
      <c r="AL583" s="1"/>
      <c r="AM583" s="1"/>
      <c r="AO583" s="1"/>
      <c r="AR583" s="1"/>
      <c r="AS583" s="1"/>
    </row>
    <row r="584" spans="9:45" x14ac:dyDescent="0.3">
      <c r="I584" s="7"/>
      <c r="K584" s="7"/>
      <c r="N584" s="7"/>
      <c r="O584" s="7"/>
      <c r="Q584" s="7"/>
      <c r="T584" s="7"/>
      <c r="U584" s="7"/>
      <c r="W584" s="7"/>
      <c r="Z584" s="7"/>
      <c r="AA584" s="7"/>
      <c r="AC584" s="7"/>
      <c r="AF584" s="7"/>
      <c r="AG584" s="7"/>
      <c r="AI584" s="7"/>
      <c r="AL584" s="1"/>
      <c r="AM584" s="1"/>
      <c r="AO584" s="1"/>
      <c r="AR584" s="1"/>
      <c r="AS584" s="1"/>
    </row>
    <row r="585" spans="9:45" x14ac:dyDescent="0.3">
      <c r="I585" s="7"/>
      <c r="K585" s="7"/>
      <c r="N585" s="7"/>
      <c r="O585" s="7"/>
      <c r="Q585" s="7"/>
      <c r="T585" s="7"/>
      <c r="U585" s="7"/>
      <c r="W585" s="7"/>
      <c r="Z585" s="7"/>
      <c r="AA585" s="7"/>
      <c r="AC585" s="7"/>
      <c r="AF585" s="7"/>
      <c r="AG585" s="7"/>
      <c r="AI585" s="7"/>
      <c r="AL585" s="1"/>
      <c r="AM585" s="1"/>
      <c r="AO585" s="1"/>
      <c r="AR585" s="1"/>
      <c r="AS585" s="1"/>
    </row>
    <row r="586" spans="9:45" x14ac:dyDescent="0.3">
      <c r="I586" s="7"/>
      <c r="K586" s="7"/>
      <c r="N586" s="7"/>
      <c r="O586" s="7"/>
      <c r="Q586" s="7"/>
      <c r="T586" s="7"/>
      <c r="U586" s="7"/>
      <c r="W586" s="7"/>
      <c r="Z586" s="7"/>
      <c r="AA586" s="7"/>
      <c r="AC586" s="7"/>
      <c r="AF586" s="7"/>
      <c r="AG586" s="7"/>
      <c r="AI586" s="7"/>
      <c r="AL586" s="1"/>
      <c r="AM586" s="1"/>
      <c r="AO586" s="1"/>
      <c r="AR586" s="1"/>
      <c r="AS586" s="1"/>
    </row>
    <row r="587" spans="9:45" x14ac:dyDescent="0.3">
      <c r="I587" s="7"/>
      <c r="K587" s="7"/>
      <c r="N587" s="7"/>
      <c r="O587" s="7"/>
      <c r="Q587" s="7"/>
      <c r="T587" s="7"/>
      <c r="U587" s="7"/>
      <c r="W587" s="7"/>
      <c r="Z587" s="7"/>
      <c r="AA587" s="7"/>
      <c r="AC587" s="7"/>
      <c r="AF587" s="7"/>
      <c r="AG587" s="7"/>
      <c r="AI587" s="7"/>
      <c r="AL587" s="1"/>
      <c r="AM587" s="1"/>
      <c r="AO587" s="1"/>
      <c r="AR587" s="1"/>
      <c r="AS587" s="1"/>
    </row>
    <row r="588" spans="9:45" x14ac:dyDescent="0.3">
      <c r="I588" s="7"/>
      <c r="K588" s="7"/>
      <c r="N588" s="7"/>
      <c r="O588" s="7"/>
      <c r="Q588" s="7"/>
      <c r="T588" s="7"/>
      <c r="U588" s="7"/>
      <c r="W588" s="7"/>
      <c r="Z588" s="7"/>
      <c r="AA588" s="7"/>
      <c r="AC588" s="7"/>
      <c r="AF588" s="7"/>
      <c r="AG588" s="7"/>
      <c r="AI588" s="7"/>
      <c r="AL588" s="1"/>
      <c r="AM588" s="1"/>
      <c r="AO588" s="1"/>
      <c r="AR588" s="1"/>
      <c r="AS588" s="1"/>
    </row>
    <row r="589" spans="9:45" x14ac:dyDescent="0.3">
      <c r="I589" s="7"/>
      <c r="K589" s="7"/>
      <c r="N589" s="7"/>
      <c r="O589" s="7"/>
      <c r="Q589" s="7"/>
      <c r="T589" s="7"/>
      <c r="U589" s="7"/>
      <c r="W589" s="7"/>
      <c r="Z589" s="7"/>
      <c r="AA589" s="7"/>
      <c r="AC589" s="7"/>
      <c r="AF589" s="7"/>
      <c r="AG589" s="7"/>
      <c r="AI589" s="7"/>
      <c r="AL589" s="1"/>
      <c r="AM589" s="1"/>
      <c r="AO589" s="1"/>
      <c r="AR589" s="1"/>
      <c r="AS589" s="1"/>
    </row>
    <row r="590" spans="9:45" x14ac:dyDescent="0.3">
      <c r="I590" s="7"/>
      <c r="K590" s="7"/>
      <c r="N590" s="7"/>
      <c r="O590" s="7"/>
      <c r="Q590" s="7"/>
      <c r="T590" s="7"/>
      <c r="U590" s="7"/>
      <c r="W590" s="7"/>
      <c r="Z590" s="7"/>
      <c r="AA590" s="7"/>
      <c r="AC590" s="7"/>
      <c r="AF590" s="7"/>
      <c r="AG590" s="7"/>
      <c r="AI590" s="7"/>
      <c r="AL590" s="1"/>
      <c r="AM590" s="1"/>
      <c r="AO590" s="1"/>
      <c r="AR590" s="1"/>
      <c r="AS590" s="1"/>
    </row>
    <row r="591" spans="9:45" x14ac:dyDescent="0.3">
      <c r="I591" s="7"/>
      <c r="K591" s="7"/>
      <c r="N591" s="7"/>
      <c r="O591" s="7"/>
      <c r="Q591" s="7"/>
      <c r="T591" s="7"/>
      <c r="U591" s="7"/>
      <c r="W591" s="7"/>
      <c r="Z591" s="7"/>
      <c r="AA591" s="7"/>
      <c r="AC591" s="7"/>
      <c r="AF591" s="7"/>
      <c r="AG591" s="7"/>
      <c r="AI591" s="7"/>
      <c r="AL591" s="1"/>
      <c r="AM591" s="1"/>
      <c r="AO591" s="1"/>
      <c r="AR591" s="1"/>
      <c r="AS591" s="1"/>
    </row>
    <row r="592" spans="9:45" x14ac:dyDescent="0.3">
      <c r="I592" s="7"/>
      <c r="K592" s="7"/>
      <c r="N592" s="7"/>
      <c r="O592" s="7"/>
      <c r="Q592" s="7"/>
      <c r="T592" s="7"/>
      <c r="U592" s="7"/>
      <c r="W592" s="7"/>
      <c r="Z592" s="7"/>
      <c r="AA592" s="7"/>
      <c r="AC592" s="7"/>
      <c r="AF592" s="7"/>
      <c r="AG592" s="7"/>
      <c r="AI592" s="7"/>
      <c r="AL592" s="1"/>
      <c r="AM592" s="1"/>
      <c r="AO592" s="1"/>
      <c r="AR592" s="1"/>
      <c r="AS592" s="1"/>
    </row>
    <row r="593" spans="9:45" x14ac:dyDescent="0.3">
      <c r="I593" s="7"/>
      <c r="K593" s="7"/>
      <c r="N593" s="7"/>
      <c r="O593" s="7"/>
      <c r="Q593" s="7"/>
      <c r="T593" s="7"/>
      <c r="U593" s="7"/>
      <c r="W593" s="7"/>
      <c r="Z593" s="7"/>
      <c r="AA593" s="7"/>
      <c r="AC593" s="7"/>
      <c r="AF593" s="7"/>
      <c r="AG593" s="7"/>
      <c r="AI593" s="7"/>
      <c r="AL593" s="1"/>
      <c r="AM593" s="1"/>
      <c r="AO593" s="1"/>
      <c r="AR593" s="1"/>
      <c r="AS593" s="1"/>
    </row>
    <row r="594" spans="9:45" x14ac:dyDescent="0.3">
      <c r="I594" s="7"/>
      <c r="K594" s="7"/>
      <c r="N594" s="7"/>
      <c r="O594" s="7"/>
      <c r="Q594" s="7"/>
      <c r="T594" s="7"/>
      <c r="U594" s="7"/>
      <c r="W594" s="7"/>
      <c r="Z594" s="7"/>
      <c r="AA594" s="7"/>
      <c r="AC594" s="7"/>
      <c r="AF594" s="7"/>
      <c r="AG594" s="7"/>
      <c r="AI594" s="7"/>
      <c r="AL594" s="1"/>
      <c r="AM594" s="1"/>
      <c r="AO594" s="1"/>
      <c r="AR594" s="1"/>
      <c r="AS594" s="1"/>
    </row>
    <row r="595" spans="9:45" x14ac:dyDescent="0.3">
      <c r="I595" s="7"/>
      <c r="K595" s="7"/>
      <c r="N595" s="7"/>
      <c r="O595" s="7"/>
      <c r="Q595" s="7"/>
      <c r="T595" s="7"/>
      <c r="U595" s="7"/>
      <c r="W595" s="7"/>
      <c r="Z595" s="7"/>
      <c r="AA595" s="7"/>
      <c r="AC595" s="7"/>
      <c r="AF595" s="7"/>
      <c r="AG595" s="7"/>
      <c r="AI595" s="7"/>
      <c r="AL595" s="1"/>
      <c r="AM595" s="1"/>
      <c r="AO595" s="1"/>
      <c r="AR595" s="1"/>
      <c r="AS595" s="1"/>
    </row>
    <row r="596" spans="9:45" x14ac:dyDescent="0.3">
      <c r="I596" s="7"/>
      <c r="K596" s="7"/>
      <c r="N596" s="7"/>
      <c r="O596" s="7"/>
      <c r="Q596" s="7"/>
      <c r="T596" s="7"/>
      <c r="U596" s="7"/>
      <c r="W596" s="7"/>
      <c r="Z596" s="7"/>
      <c r="AA596" s="7"/>
      <c r="AC596" s="7"/>
      <c r="AF596" s="7"/>
      <c r="AG596" s="7"/>
      <c r="AI596" s="7"/>
      <c r="AL596" s="1"/>
      <c r="AM596" s="1"/>
      <c r="AO596" s="1"/>
      <c r="AR596" s="1"/>
      <c r="AS596" s="1"/>
    </row>
    <row r="597" spans="9:45" x14ac:dyDescent="0.3">
      <c r="I597" s="7"/>
      <c r="K597" s="7"/>
      <c r="N597" s="7"/>
      <c r="O597" s="7"/>
      <c r="Q597" s="7"/>
      <c r="T597" s="7"/>
      <c r="U597" s="7"/>
      <c r="W597" s="7"/>
      <c r="Z597" s="7"/>
      <c r="AA597" s="7"/>
      <c r="AC597" s="7"/>
      <c r="AF597" s="7"/>
      <c r="AG597" s="7"/>
      <c r="AI597" s="7"/>
      <c r="AL597" s="1"/>
      <c r="AM597" s="1"/>
      <c r="AO597" s="1"/>
      <c r="AR597" s="1"/>
      <c r="AS597" s="1"/>
    </row>
    <row r="598" spans="9:45" x14ac:dyDescent="0.3">
      <c r="I598" s="7"/>
      <c r="K598" s="7"/>
      <c r="N598" s="7"/>
      <c r="O598" s="7"/>
      <c r="Q598" s="7"/>
      <c r="T598" s="7"/>
      <c r="U598" s="7"/>
      <c r="W598" s="7"/>
      <c r="Z598" s="7"/>
      <c r="AA598" s="7"/>
      <c r="AC598" s="7"/>
      <c r="AF598" s="7"/>
      <c r="AG598" s="7"/>
      <c r="AI598" s="7"/>
      <c r="AL598" s="1"/>
      <c r="AM598" s="1"/>
      <c r="AO598" s="1"/>
      <c r="AR598" s="1"/>
      <c r="AS598" s="1"/>
    </row>
    <row r="599" spans="9:45" x14ac:dyDescent="0.3">
      <c r="I599" s="7"/>
      <c r="K599" s="7"/>
      <c r="N599" s="7"/>
      <c r="O599" s="7"/>
      <c r="Q599" s="7"/>
      <c r="T599" s="7"/>
      <c r="U599" s="7"/>
      <c r="W599" s="7"/>
      <c r="Z599" s="7"/>
      <c r="AA599" s="7"/>
      <c r="AC599" s="7"/>
      <c r="AF599" s="7"/>
      <c r="AG599" s="7"/>
      <c r="AI599" s="7"/>
      <c r="AL599" s="1"/>
      <c r="AM599" s="1"/>
      <c r="AO599" s="1"/>
      <c r="AR599" s="1"/>
      <c r="AS599" s="1"/>
    </row>
    <row r="600" spans="9:45" x14ac:dyDescent="0.3">
      <c r="I600" s="7"/>
      <c r="K600" s="7"/>
      <c r="N600" s="7"/>
      <c r="O600" s="7"/>
      <c r="Q600" s="7"/>
      <c r="T600" s="7"/>
      <c r="U600" s="7"/>
      <c r="W600" s="7"/>
      <c r="Z600" s="7"/>
      <c r="AA600" s="7"/>
      <c r="AC600" s="7"/>
      <c r="AF600" s="7"/>
      <c r="AG600" s="7"/>
      <c r="AI600" s="7"/>
      <c r="AL600" s="1"/>
      <c r="AM600" s="1"/>
      <c r="AO600" s="1"/>
      <c r="AR600" s="1"/>
      <c r="AS600" s="1"/>
    </row>
    <row r="601" spans="9:45" x14ac:dyDescent="0.3">
      <c r="I601" s="7"/>
      <c r="K601" s="7"/>
      <c r="N601" s="7"/>
      <c r="O601" s="7"/>
      <c r="Q601" s="7"/>
      <c r="T601" s="7"/>
      <c r="U601" s="7"/>
      <c r="W601" s="7"/>
      <c r="Z601" s="7"/>
      <c r="AA601" s="7"/>
      <c r="AC601" s="7"/>
      <c r="AF601" s="7"/>
      <c r="AG601" s="7"/>
      <c r="AI601" s="7"/>
      <c r="AL601" s="1"/>
      <c r="AM601" s="1"/>
      <c r="AO601" s="1"/>
      <c r="AR601" s="1"/>
      <c r="AS601" s="1"/>
    </row>
    <row r="602" spans="9:45" x14ac:dyDescent="0.3">
      <c r="I602" s="7"/>
      <c r="K602" s="7"/>
      <c r="N602" s="7"/>
      <c r="O602" s="7"/>
      <c r="Q602" s="7"/>
      <c r="T602" s="7"/>
      <c r="U602" s="7"/>
      <c r="W602" s="7"/>
      <c r="Z602" s="7"/>
      <c r="AA602" s="7"/>
      <c r="AC602" s="7"/>
      <c r="AF602" s="7"/>
      <c r="AG602" s="7"/>
      <c r="AI602" s="7"/>
      <c r="AL602" s="1"/>
      <c r="AM602" s="1"/>
      <c r="AO602" s="1"/>
      <c r="AR602" s="1"/>
      <c r="AS602" s="1"/>
    </row>
    <row r="603" spans="9:45" x14ac:dyDescent="0.3">
      <c r="I603" s="7"/>
      <c r="K603" s="7"/>
      <c r="N603" s="7"/>
      <c r="O603" s="7"/>
      <c r="Q603" s="7"/>
      <c r="T603" s="7"/>
      <c r="U603" s="7"/>
      <c r="W603" s="7"/>
      <c r="Z603" s="7"/>
      <c r="AA603" s="7"/>
      <c r="AC603" s="7"/>
      <c r="AF603" s="7"/>
      <c r="AG603" s="7"/>
      <c r="AI603" s="7"/>
      <c r="AL603" s="1"/>
      <c r="AM603" s="1"/>
      <c r="AO603" s="1"/>
      <c r="AR603" s="1"/>
      <c r="AS603" s="1"/>
    </row>
    <row r="604" spans="9:45" x14ac:dyDescent="0.3">
      <c r="I604" s="7"/>
      <c r="K604" s="7"/>
      <c r="N604" s="7"/>
      <c r="O604" s="7"/>
      <c r="Q604" s="7"/>
      <c r="T604" s="7"/>
      <c r="U604" s="7"/>
      <c r="W604" s="7"/>
      <c r="Z604" s="7"/>
      <c r="AA604" s="7"/>
      <c r="AC604" s="7"/>
      <c r="AF604" s="7"/>
      <c r="AG604" s="7"/>
      <c r="AI604" s="7"/>
      <c r="AL604" s="1"/>
      <c r="AM604" s="1"/>
      <c r="AO604" s="1"/>
      <c r="AR604" s="1"/>
      <c r="AS604" s="1"/>
    </row>
    <row r="605" spans="9:45" x14ac:dyDescent="0.3">
      <c r="I605" s="7"/>
      <c r="K605" s="7"/>
      <c r="N605" s="7"/>
      <c r="O605" s="7"/>
      <c r="Q605" s="7"/>
      <c r="T605" s="7"/>
      <c r="U605" s="7"/>
      <c r="W605" s="7"/>
      <c r="Z605" s="7"/>
      <c r="AA605" s="7"/>
      <c r="AC605" s="7"/>
      <c r="AF605" s="7"/>
      <c r="AG605" s="7"/>
      <c r="AI605" s="7"/>
      <c r="AL605" s="1"/>
      <c r="AM605" s="1"/>
      <c r="AO605" s="1"/>
      <c r="AR605" s="1"/>
      <c r="AS605" s="1"/>
    </row>
    <row r="606" spans="9:45" x14ac:dyDescent="0.3">
      <c r="I606" s="7"/>
      <c r="K606" s="7"/>
      <c r="N606" s="7"/>
      <c r="O606" s="7"/>
      <c r="Q606" s="7"/>
      <c r="T606" s="7"/>
      <c r="U606" s="7"/>
      <c r="W606" s="7"/>
      <c r="Z606" s="7"/>
      <c r="AA606" s="7"/>
      <c r="AC606" s="7"/>
      <c r="AF606" s="7"/>
      <c r="AG606" s="7"/>
      <c r="AI606" s="7"/>
      <c r="AL606" s="1"/>
      <c r="AM606" s="1"/>
      <c r="AO606" s="1"/>
      <c r="AR606" s="1"/>
      <c r="AS606" s="1"/>
    </row>
    <row r="607" spans="9:45" x14ac:dyDescent="0.3">
      <c r="I607" s="7"/>
      <c r="K607" s="7"/>
      <c r="N607" s="7"/>
      <c r="O607" s="7"/>
      <c r="Q607" s="7"/>
      <c r="T607" s="7"/>
      <c r="U607" s="7"/>
      <c r="W607" s="7"/>
      <c r="Z607" s="7"/>
      <c r="AA607" s="7"/>
      <c r="AC607" s="7"/>
      <c r="AF607" s="7"/>
      <c r="AG607" s="7"/>
      <c r="AI607" s="7"/>
      <c r="AL607" s="1"/>
      <c r="AM607" s="1"/>
      <c r="AO607" s="1"/>
      <c r="AR607" s="1"/>
      <c r="AS607" s="1"/>
    </row>
    <row r="608" spans="9:45" x14ac:dyDescent="0.3">
      <c r="I608" s="7"/>
      <c r="K608" s="7"/>
      <c r="N608" s="7"/>
      <c r="O608" s="7"/>
      <c r="Q608" s="7"/>
      <c r="T608" s="7"/>
      <c r="U608" s="7"/>
      <c r="W608" s="7"/>
      <c r="Z608" s="7"/>
      <c r="AA608" s="7"/>
      <c r="AC608" s="7"/>
      <c r="AF608" s="7"/>
      <c r="AG608" s="7"/>
      <c r="AI608" s="7"/>
      <c r="AL608" s="1"/>
      <c r="AM608" s="1"/>
      <c r="AO608" s="1"/>
      <c r="AR608" s="1"/>
      <c r="AS608" s="1"/>
    </row>
    <row r="609" spans="9:45" x14ac:dyDescent="0.3">
      <c r="I609" s="7"/>
      <c r="K609" s="7"/>
      <c r="N609" s="7"/>
      <c r="O609" s="7"/>
      <c r="Q609" s="7"/>
      <c r="T609" s="7"/>
      <c r="U609" s="7"/>
      <c r="W609" s="7"/>
      <c r="Z609" s="7"/>
      <c r="AA609" s="7"/>
      <c r="AC609" s="7"/>
      <c r="AF609" s="7"/>
      <c r="AG609" s="7"/>
      <c r="AI609" s="7"/>
      <c r="AL609" s="1"/>
      <c r="AM609" s="1"/>
      <c r="AO609" s="1"/>
      <c r="AR609" s="1"/>
      <c r="AS609" s="1"/>
    </row>
    <row r="610" spans="9:45" x14ac:dyDescent="0.3">
      <c r="I610" s="7"/>
      <c r="K610" s="7"/>
      <c r="N610" s="7"/>
      <c r="O610" s="7"/>
      <c r="Q610" s="7"/>
      <c r="T610" s="7"/>
      <c r="U610" s="7"/>
      <c r="W610" s="7"/>
      <c r="Z610" s="7"/>
      <c r="AA610" s="7"/>
      <c r="AC610" s="7"/>
      <c r="AF610" s="7"/>
      <c r="AG610" s="7"/>
      <c r="AI610" s="7"/>
      <c r="AL610" s="1"/>
      <c r="AM610" s="1"/>
      <c r="AO610" s="1"/>
      <c r="AR610" s="1"/>
      <c r="AS610" s="1"/>
    </row>
    <row r="611" spans="9:45" x14ac:dyDescent="0.3">
      <c r="I611" s="7"/>
      <c r="K611" s="7"/>
      <c r="N611" s="7"/>
      <c r="O611" s="7"/>
      <c r="Q611" s="7"/>
      <c r="T611" s="7"/>
      <c r="U611" s="7"/>
      <c r="W611" s="7"/>
      <c r="Z611" s="7"/>
      <c r="AA611" s="7"/>
      <c r="AC611" s="7"/>
      <c r="AF611" s="7"/>
      <c r="AG611" s="7"/>
      <c r="AI611" s="7"/>
      <c r="AL611" s="1"/>
      <c r="AM611" s="1"/>
      <c r="AO611" s="1"/>
      <c r="AR611" s="1"/>
      <c r="AS611" s="1"/>
    </row>
    <row r="612" spans="9:45" x14ac:dyDescent="0.3">
      <c r="I612" s="7"/>
      <c r="K612" s="7"/>
      <c r="N612" s="7"/>
      <c r="O612" s="7"/>
      <c r="Q612" s="7"/>
      <c r="T612" s="7"/>
      <c r="U612" s="7"/>
      <c r="W612" s="7"/>
      <c r="Z612" s="7"/>
      <c r="AA612" s="7"/>
      <c r="AC612" s="7"/>
      <c r="AF612" s="7"/>
      <c r="AG612" s="7"/>
      <c r="AI612" s="7"/>
      <c r="AL612" s="1"/>
      <c r="AM612" s="1"/>
      <c r="AO612" s="1"/>
      <c r="AR612" s="1"/>
      <c r="AS612" s="1"/>
    </row>
    <row r="613" spans="9:45" x14ac:dyDescent="0.3">
      <c r="I613" s="7"/>
      <c r="K613" s="7"/>
      <c r="N613" s="7"/>
      <c r="O613" s="7"/>
      <c r="Q613" s="7"/>
      <c r="T613" s="7"/>
      <c r="U613" s="7"/>
      <c r="W613" s="7"/>
      <c r="Z613" s="7"/>
      <c r="AA613" s="7"/>
      <c r="AC613" s="7"/>
      <c r="AF613" s="7"/>
      <c r="AG613" s="7"/>
      <c r="AI613" s="7"/>
      <c r="AL613" s="1"/>
      <c r="AM613" s="1"/>
      <c r="AO613" s="1"/>
      <c r="AR613" s="1"/>
      <c r="AS613" s="1"/>
    </row>
    <row r="614" spans="9:45" x14ac:dyDescent="0.3">
      <c r="I614" s="7"/>
      <c r="K614" s="7"/>
      <c r="N614" s="7"/>
      <c r="O614" s="7"/>
      <c r="Q614" s="7"/>
      <c r="T614" s="7"/>
      <c r="U614" s="7"/>
      <c r="W614" s="7"/>
      <c r="Z614" s="7"/>
      <c r="AA614" s="7"/>
      <c r="AC614" s="7"/>
      <c r="AF614" s="7"/>
      <c r="AG614" s="7"/>
      <c r="AI614" s="7"/>
      <c r="AL614" s="1"/>
      <c r="AM614" s="1"/>
      <c r="AO614" s="1"/>
      <c r="AR614" s="1"/>
      <c r="AS614" s="1"/>
    </row>
    <row r="615" spans="9:45" x14ac:dyDescent="0.3">
      <c r="I615" s="7"/>
      <c r="K615" s="7"/>
      <c r="N615" s="7"/>
      <c r="O615" s="7"/>
      <c r="Q615" s="7"/>
      <c r="T615" s="7"/>
      <c r="U615" s="7"/>
      <c r="W615" s="7"/>
      <c r="Z615" s="7"/>
      <c r="AA615" s="7"/>
      <c r="AC615" s="7"/>
      <c r="AF615" s="7"/>
      <c r="AG615" s="7"/>
      <c r="AI615" s="7"/>
      <c r="AL615" s="1"/>
      <c r="AM615" s="1"/>
      <c r="AO615" s="1"/>
      <c r="AR615" s="1"/>
      <c r="AS615" s="1"/>
    </row>
    <row r="616" spans="9:45" x14ac:dyDescent="0.3">
      <c r="I616" s="7"/>
      <c r="K616" s="7"/>
      <c r="N616" s="7"/>
      <c r="O616" s="7"/>
      <c r="Q616" s="7"/>
      <c r="T616" s="7"/>
      <c r="U616" s="7"/>
      <c r="W616" s="7"/>
      <c r="Z616" s="7"/>
      <c r="AA616" s="7"/>
      <c r="AC616" s="7"/>
      <c r="AF616" s="7"/>
      <c r="AG616" s="7"/>
      <c r="AI616" s="7"/>
      <c r="AL616" s="1"/>
      <c r="AM616" s="1"/>
      <c r="AO616" s="1"/>
      <c r="AR616" s="1"/>
      <c r="AS616" s="1"/>
    </row>
    <row r="617" spans="9:45" x14ac:dyDescent="0.3">
      <c r="I617" s="7"/>
      <c r="K617" s="7"/>
      <c r="N617" s="7"/>
      <c r="O617" s="7"/>
      <c r="Q617" s="7"/>
      <c r="T617" s="7"/>
      <c r="U617" s="7"/>
      <c r="W617" s="7"/>
      <c r="Z617" s="7"/>
      <c r="AA617" s="7"/>
      <c r="AC617" s="7"/>
      <c r="AF617" s="7"/>
      <c r="AG617" s="7"/>
      <c r="AI617" s="7"/>
      <c r="AL617" s="1"/>
      <c r="AM617" s="1"/>
      <c r="AO617" s="1"/>
      <c r="AR617" s="1"/>
      <c r="AS617" s="1"/>
    </row>
    <row r="618" spans="9:45" x14ac:dyDescent="0.3">
      <c r="I618" s="7"/>
      <c r="K618" s="7"/>
      <c r="N618" s="7"/>
      <c r="O618" s="7"/>
      <c r="Q618" s="7"/>
      <c r="T618" s="7"/>
      <c r="U618" s="7"/>
      <c r="W618" s="7"/>
      <c r="Z618" s="7"/>
      <c r="AA618" s="7"/>
      <c r="AC618" s="7"/>
      <c r="AF618" s="7"/>
      <c r="AG618" s="7"/>
      <c r="AI618" s="7"/>
      <c r="AL618" s="1"/>
      <c r="AM618" s="1"/>
      <c r="AO618" s="1"/>
      <c r="AR618" s="1"/>
      <c r="AS618" s="1"/>
    </row>
    <row r="619" spans="9:45" x14ac:dyDescent="0.3">
      <c r="I619" s="7"/>
      <c r="K619" s="7"/>
      <c r="N619" s="7"/>
      <c r="O619" s="7"/>
      <c r="Q619" s="7"/>
      <c r="T619" s="7"/>
      <c r="U619" s="7"/>
      <c r="W619" s="7"/>
      <c r="Z619" s="7"/>
      <c r="AA619" s="7"/>
      <c r="AC619" s="7"/>
      <c r="AF619" s="7"/>
      <c r="AG619" s="7"/>
      <c r="AI619" s="7"/>
      <c r="AL619" s="1"/>
      <c r="AM619" s="1"/>
      <c r="AO619" s="1"/>
      <c r="AR619" s="1"/>
      <c r="AS619" s="1"/>
    </row>
    <row r="620" spans="9:45" x14ac:dyDescent="0.3">
      <c r="I620" s="7"/>
      <c r="K620" s="7"/>
      <c r="N620" s="7"/>
      <c r="O620" s="7"/>
      <c r="Q620" s="7"/>
      <c r="T620" s="7"/>
      <c r="U620" s="7"/>
      <c r="W620" s="7"/>
      <c r="Z620" s="7"/>
      <c r="AA620" s="7"/>
      <c r="AC620" s="7"/>
      <c r="AF620" s="7"/>
      <c r="AG620" s="7"/>
      <c r="AI620" s="7"/>
      <c r="AL620" s="1"/>
      <c r="AM620" s="1"/>
      <c r="AO620" s="1"/>
      <c r="AR620" s="1"/>
      <c r="AS620" s="1"/>
    </row>
    <row r="621" spans="9:45" x14ac:dyDescent="0.3">
      <c r="I621" s="7"/>
      <c r="K621" s="7"/>
      <c r="N621" s="7"/>
      <c r="O621" s="7"/>
      <c r="Q621" s="7"/>
      <c r="T621" s="7"/>
      <c r="U621" s="7"/>
      <c r="W621" s="7"/>
      <c r="Z621" s="7"/>
      <c r="AA621" s="7"/>
      <c r="AC621" s="7"/>
      <c r="AF621" s="7"/>
      <c r="AG621" s="7"/>
      <c r="AI621" s="7"/>
      <c r="AL621" s="1"/>
      <c r="AM621" s="1"/>
      <c r="AO621" s="1"/>
      <c r="AR621" s="1"/>
      <c r="AS621" s="1"/>
    </row>
    <row r="622" spans="9:45" x14ac:dyDescent="0.3">
      <c r="I622" s="7"/>
      <c r="K622" s="7"/>
      <c r="N622" s="7"/>
      <c r="O622" s="7"/>
      <c r="Q622" s="7"/>
      <c r="T622" s="7"/>
      <c r="U622" s="7"/>
      <c r="W622" s="7"/>
      <c r="Z622" s="7"/>
      <c r="AA622" s="7"/>
      <c r="AC622" s="7"/>
      <c r="AF622" s="7"/>
      <c r="AG622" s="7"/>
      <c r="AI622" s="7"/>
      <c r="AL622" s="1"/>
      <c r="AM622" s="1"/>
      <c r="AO622" s="1"/>
      <c r="AR622" s="1"/>
      <c r="AS622" s="1"/>
    </row>
    <row r="623" spans="9:45" x14ac:dyDescent="0.3">
      <c r="I623" s="7"/>
      <c r="K623" s="7"/>
      <c r="N623" s="7"/>
      <c r="O623" s="7"/>
      <c r="Q623" s="7"/>
      <c r="T623" s="7"/>
      <c r="U623" s="7"/>
      <c r="W623" s="7"/>
      <c r="Z623" s="7"/>
      <c r="AA623" s="7"/>
      <c r="AC623" s="7"/>
      <c r="AF623" s="7"/>
      <c r="AG623" s="7"/>
      <c r="AI623" s="7"/>
      <c r="AL623" s="1"/>
      <c r="AM623" s="1"/>
      <c r="AO623" s="1"/>
      <c r="AR623" s="1"/>
      <c r="AS623" s="1"/>
    </row>
    <row r="624" spans="9:45" x14ac:dyDescent="0.3">
      <c r="I624" s="7"/>
      <c r="K624" s="7"/>
      <c r="N624" s="7"/>
      <c r="O624" s="7"/>
      <c r="Q624" s="7"/>
      <c r="T624" s="7"/>
      <c r="U624" s="7"/>
      <c r="W624" s="7"/>
      <c r="Z624" s="7"/>
      <c r="AA624" s="7"/>
      <c r="AC624" s="7"/>
      <c r="AF624" s="7"/>
      <c r="AG624" s="7"/>
      <c r="AI624" s="7"/>
      <c r="AL624" s="1"/>
      <c r="AM624" s="1"/>
      <c r="AO624" s="1"/>
      <c r="AR624" s="1"/>
      <c r="AS624" s="1"/>
    </row>
    <row r="625" spans="9:45" x14ac:dyDescent="0.3">
      <c r="I625" s="7"/>
      <c r="K625" s="7"/>
      <c r="N625" s="7"/>
      <c r="O625" s="7"/>
      <c r="Q625" s="7"/>
      <c r="T625" s="7"/>
      <c r="U625" s="7"/>
      <c r="W625" s="7"/>
      <c r="Z625" s="7"/>
      <c r="AA625" s="7"/>
      <c r="AC625" s="7"/>
      <c r="AF625" s="7"/>
      <c r="AG625" s="7"/>
      <c r="AI625" s="7"/>
      <c r="AL625" s="1"/>
      <c r="AM625" s="1"/>
      <c r="AO625" s="1"/>
      <c r="AR625" s="1"/>
      <c r="AS625" s="1"/>
    </row>
    <row r="626" spans="9:45" x14ac:dyDescent="0.3">
      <c r="I626" s="7"/>
      <c r="K626" s="7"/>
      <c r="N626" s="7"/>
      <c r="O626" s="7"/>
      <c r="Q626" s="7"/>
      <c r="T626" s="7"/>
      <c r="U626" s="7"/>
      <c r="W626" s="7"/>
      <c r="Z626" s="7"/>
      <c r="AA626" s="7"/>
      <c r="AC626" s="7"/>
      <c r="AF626" s="7"/>
      <c r="AG626" s="7"/>
      <c r="AI626" s="7"/>
      <c r="AL626" s="1"/>
      <c r="AM626" s="1"/>
      <c r="AO626" s="1"/>
      <c r="AR626" s="1"/>
      <c r="AS626" s="1"/>
    </row>
    <row r="627" spans="9:45" x14ac:dyDescent="0.3">
      <c r="I627" s="7"/>
      <c r="K627" s="7"/>
      <c r="N627" s="7"/>
      <c r="O627" s="7"/>
      <c r="Q627" s="7"/>
      <c r="T627" s="7"/>
      <c r="U627" s="7"/>
      <c r="W627" s="7"/>
      <c r="Z627" s="7"/>
      <c r="AA627" s="7"/>
      <c r="AC627" s="7"/>
      <c r="AF627" s="7"/>
      <c r="AG627" s="7"/>
      <c r="AI627" s="7"/>
      <c r="AL627" s="1"/>
      <c r="AM627" s="1"/>
      <c r="AO627" s="1"/>
      <c r="AR627" s="1"/>
      <c r="AS627" s="1"/>
    </row>
    <row r="628" spans="9:45" x14ac:dyDescent="0.3">
      <c r="I628" s="7"/>
      <c r="K628" s="7"/>
      <c r="N628" s="7"/>
      <c r="O628" s="7"/>
      <c r="Q628" s="7"/>
      <c r="T628" s="7"/>
      <c r="U628" s="7"/>
      <c r="W628" s="7"/>
      <c r="Z628" s="7"/>
      <c r="AA628" s="7"/>
      <c r="AC628" s="7"/>
      <c r="AF628" s="7"/>
      <c r="AG628" s="7"/>
      <c r="AI628" s="7"/>
      <c r="AL628" s="1"/>
      <c r="AM628" s="1"/>
      <c r="AO628" s="1"/>
      <c r="AR628" s="1"/>
      <c r="AS628" s="1"/>
    </row>
    <row r="629" spans="9:45" x14ac:dyDescent="0.3">
      <c r="I629" s="7"/>
      <c r="K629" s="7"/>
      <c r="N629" s="7"/>
      <c r="O629" s="7"/>
      <c r="Q629" s="7"/>
      <c r="T629" s="7"/>
      <c r="U629" s="7"/>
      <c r="W629" s="7"/>
      <c r="Z629" s="7"/>
      <c r="AA629" s="7"/>
      <c r="AC629" s="7"/>
      <c r="AF629" s="7"/>
      <c r="AG629" s="7"/>
      <c r="AI629" s="7"/>
      <c r="AL629" s="1"/>
      <c r="AM629" s="1"/>
      <c r="AO629" s="1"/>
      <c r="AR629" s="1"/>
      <c r="AS629" s="1"/>
    </row>
    <row r="630" spans="9:45" x14ac:dyDescent="0.3">
      <c r="I630" s="7"/>
      <c r="K630" s="7"/>
      <c r="N630" s="7"/>
      <c r="O630" s="7"/>
      <c r="Q630" s="7"/>
      <c r="T630" s="7"/>
      <c r="U630" s="7"/>
      <c r="W630" s="7"/>
      <c r="Z630" s="7"/>
      <c r="AA630" s="7"/>
      <c r="AC630" s="7"/>
      <c r="AF630" s="7"/>
      <c r="AG630" s="7"/>
      <c r="AI630" s="7"/>
      <c r="AL630" s="1"/>
      <c r="AM630" s="1"/>
      <c r="AO630" s="1"/>
      <c r="AR630" s="1"/>
      <c r="AS630" s="1"/>
    </row>
    <row r="631" spans="9:45" x14ac:dyDescent="0.3">
      <c r="I631" s="7"/>
      <c r="K631" s="7"/>
      <c r="N631" s="7"/>
      <c r="O631" s="7"/>
      <c r="Q631" s="7"/>
      <c r="T631" s="7"/>
      <c r="U631" s="7"/>
      <c r="W631" s="7"/>
      <c r="Z631" s="7"/>
      <c r="AA631" s="7"/>
      <c r="AC631" s="7"/>
      <c r="AF631" s="7"/>
      <c r="AG631" s="7"/>
      <c r="AI631" s="7"/>
      <c r="AL631" s="1"/>
      <c r="AM631" s="1"/>
      <c r="AO631" s="1"/>
      <c r="AR631" s="1"/>
      <c r="AS631" s="1"/>
    </row>
    <row r="632" spans="9:45" x14ac:dyDescent="0.3">
      <c r="I632" s="7"/>
      <c r="K632" s="7"/>
      <c r="N632" s="7"/>
      <c r="O632" s="7"/>
      <c r="Q632" s="7"/>
      <c r="T632" s="7"/>
      <c r="U632" s="7"/>
      <c r="W632" s="7"/>
      <c r="Z632" s="7"/>
      <c r="AA632" s="7"/>
      <c r="AC632" s="7"/>
      <c r="AF632" s="7"/>
      <c r="AG632" s="7"/>
      <c r="AI632" s="7"/>
      <c r="AL632" s="1"/>
      <c r="AM632" s="1"/>
      <c r="AO632" s="1"/>
      <c r="AR632" s="1"/>
      <c r="AS632" s="1"/>
    </row>
    <row r="633" spans="9:45" x14ac:dyDescent="0.3">
      <c r="I633" s="7"/>
      <c r="K633" s="7"/>
      <c r="N633" s="7"/>
      <c r="O633" s="7"/>
      <c r="Q633" s="7"/>
      <c r="T633" s="7"/>
      <c r="U633" s="7"/>
      <c r="W633" s="7"/>
      <c r="Z633" s="7"/>
      <c r="AA633" s="7"/>
      <c r="AC633" s="7"/>
      <c r="AF633" s="7"/>
      <c r="AG633" s="7"/>
      <c r="AI633" s="7"/>
      <c r="AL633" s="1"/>
      <c r="AM633" s="1"/>
      <c r="AO633" s="1"/>
      <c r="AR633" s="1"/>
      <c r="AS633" s="1"/>
    </row>
    <row r="634" spans="9:45" x14ac:dyDescent="0.3">
      <c r="I634" s="7"/>
      <c r="K634" s="7"/>
      <c r="N634" s="7"/>
      <c r="O634" s="7"/>
      <c r="Q634" s="7"/>
      <c r="T634" s="7"/>
      <c r="U634" s="7"/>
      <c r="W634" s="7"/>
      <c r="Z634" s="7"/>
      <c r="AA634" s="7"/>
      <c r="AC634" s="7"/>
      <c r="AF634" s="7"/>
      <c r="AG634" s="7"/>
      <c r="AI634" s="7"/>
      <c r="AL634" s="1"/>
      <c r="AM634" s="1"/>
      <c r="AO634" s="1"/>
      <c r="AR634" s="1"/>
      <c r="AS634" s="1"/>
    </row>
    <row r="635" spans="9:45" x14ac:dyDescent="0.3">
      <c r="I635" s="7"/>
      <c r="K635" s="7"/>
      <c r="N635" s="7"/>
      <c r="O635" s="7"/>
      <c r="Q635" s="7"/>
      <c r="T635" s="7"/>
      <c r="U635" s="7"/>
      <c r="W635" s="7"/>
      <c r="Z635" s="7"/>
      <c r="AA635" s="7"/>
      <c r="AC635" s="7"/>
      <c r="AF635" s="7"/>
      <c r="AG635" s="7"/>
      <c r="AI635" s="7"/>
      <c r="AL635" s="1"/>
      <c r="AM635" s="1"/>
      <c r="AO635" s="1"/>
      <c r="AR635" s="1"/>
      <c r="AS635" s="1"/>
    </row>
    <row r="636" spans="9:45" x14ac:dyDescent="0.3">
      <c r="I636" s="7"/>
      <c r="K636" s="7"/>
      <c r="N636" s="7"/>
      <c r="O636" s="7"/>
      <c r="Q636" s="7"/>
      <c r="T636" s="7"/>
      <c r="U636" s="7"/>
      <c r="W636" s="7"/>
      <c r="Z636" s="7"/>
      <c r="AA636" s="7"/>
      <c r="AC636" s="7"/>
      <c r="AF636" s="7"/>
      <c r="AG636" s="7"/>
      <c r="AI636" s="7"/>
      <c r="AL636" s="1"/>
      <c r="AM636" s="1"/>
      <c r="AO636" s="1"/>
      <c r="AR636" s="1"/>
      <c r="AS636" s="1"/>
    </row>
    <row r="637" spans="9:45" x14ac:dyDescent="0.3">
      <c r="I637" s="7"/>
      <c r="K637" s="7"/>
      <c r="N637" s="7"/>
      <c r="O637" s="7"/>
      <c r="Q637" s="7"/>
      <c r="T637" s="7"/>
      <c r="U637" s="7"/>
      <c r="W637" s="7"/>
      <c r="Z637" s="7"/>
      <c r="AA637" s="7"/>
      <c r="AC637" s="7"/>
      <c r="AF637" s="7"/>
      <c r="AG637" s="7"/>
      <c r="AI637" s="7"/>
      <c r="AL637" s="1"/>
      <c r="AM637" s="1"/>
      <c r="AO637" s="1"/>
      <c r="AR637" s="1"/>
      <c r="AS637" s="1"/>
    </row>
    <row r="638" spans="9:45" x14ac:dyDescent="0.3">
      <c r="I638" s="7"/>
      <c r="K638" s="7"/>
      <c r="N638" s="7"/>
      <c r="O638" s="7"/>
      <c r="Q638" s="7"/>
      <c r="T638" s="7"/>
      <c r="U638" s="7"/>
      <c r="W638" s="7"/>
      <c r="Z638" s="7"/>
      <c r="AA638" s="7"/>
      <c r="AC638" s="7"/>
      <c r="AF638" s="7"/>
      <c r="AG638" s="7"/>
      <c r="AI638" s="7"/>
      <c r="AL638" s="1"/>
      <c r="AM638" s="1"/>
      <c r="AO638" s="1"/>
      <c r="AR638" s="1"/>
      <c r="AS638" s="1"/>
    </row>
    <row r="639" spans="9:45" x14ac:dyDescent="0.3">
      <c r="I639" s="7"/>
      <c r="K639" s="7"/>
      <c r="N639" s="7"/>
      <c r="O639" s="7"/>
      <c r="Q639" s="7"/>
      <c r="T639" s="7"/>
      <c r="U639" s="7"/>
      <c r="W639" s="7"/>
      <c r="Z639" s="7"/>
      <c r="AA639" s="7"/>
      <c r="AC639" s="7"/>
      <c r="AF639" s="7"/>
      <c r="AG639" s="7"/>
      <c r="AI639" s="7"/>
      <c r="AL639" s="1"/>
      <c r="AM639" s="1"/>
      <c r="AO639" s="1"/>
      <c r="AR639" s="1"/>
      <c r="AS639" s="1"/>
    </row>
    <row r="640" spans="9:45" x14ac:dyDescent="0.3">
      <c r="I640" s="7"/>
      <c r="K640" s="7"/>
      <c r="N640" s="7"/>
      <c r="O640" s="7"/>
      <c r="Q640" s="7"/>
      <c r="T640" s="7"/>
      <c r="U640" s="7"/>
      <c r="W640" s="7"/>
      <c r="Z640" s="7"/>
      <c r="AA640" s="7"/>
      <c r="AC640" s="7"/>
      <c r="AF640" s="7"/>
      <c r="AG640" s="7"/>
      <c r="AI640" s="7"/>
      <c r="AL640" s="1"/>
      <c r="AM640" s="1"/>
      <c r="AO640" s="1"/>
      <c r="AR640" s="1"/>
      <c r="AS640" s="1"/>
    </row>
    <row r="641" spans="9:45" x14ac:dyDescent="0.3">
      <c r="I641" s="7"/>
      <c r="K641" s="7"/>
      <c r="N641" s="7"/>
      <c r="O641" s="7"/>
      <c r="Q641" s="7"/>
      <c r="T641" s="7"/>
      <c r="U641" s="7"/>
      <c r="W641" s="7"/>
      <c r="Z641" s="7"/>
      <c r="AA641" s="7"/>
      <c r="AC641" s="7"/>
      <c r="AF641" s="7"/>
      <c r="AG641" s="7"/>
      <c r="AI641" s="7"/>
      <c r="AL641" s="1"/>
      <c r="AM641" s="1"/>
      <c r="AO641" s="1"/>
      <c r="AR641" s="1"/>
      <c r="AS641" s="1"/>
    </row>
    <row r="642" spans="9:45" x14ac:dyDescent="0.3">
      <c r="I642" s="7"/>
      <c r="K642" s="7"/>
      <c r="N642" s="7"/>
      <c r="O642" s="7"/>
      <c r="Q642" s="7"/>
      <c r="T642" s="7"/>
      <c r="U642" s="7"/>
      <c r="W642" s="7"/>
      <c r="Z642" s="7"/>
      <c r="AA642" s="7"/>
      <c r="AC642" s="7"/>
      <c r="AF642" s="7"/>
      <c r="AG642" s="7"/>
      <c r="AI642" s="7"/>
      <c r="AL642" s="1"/>
      <c r="AM642" s="1"/>
      <c r="AO642" s="1"/>
      <c r="AR642" s="1"/>
      <c r="AS642" s="1"/>
    </row>
    <row r="643" spans="9:45" x14ac:dyDescent="0.3">
      <c r="I643" s="7"/>
      <c r="K643" s="7"/>
      <c r="N643" s="7"/>
      <c r="O643" s="7"/>
      <c r="Q643" s="7"/>
      <c r="T643" s="7"/>
      <c r="U643" s="7"/>
      <c r="W643" s="7"/>
      <c r="Z643" s="7"/>
      <c r="AA643" s="7"/>
      <c r="AC643" s="7"/>
      <c r="AF643" s="7"/>
      <c r="AG643" s="7"/>
      <c r="AI643" s="7"/>
      <c r="AL643" s="1"/>
      <c r="AM643" s="1"/>
      <c r="AO643" s="1"/>
      <c r="AR643" s="1"/>
      <c r="AS643" s="1"/>
    </row>
    <row r="644" spans="9:45" x14ac:dyDescent="0.3">
      <c r="I644" s="7"/>
      <c r="K644" s="7"/>
      <c r="N644" s="7"/>
      <c r="O644" s="7"/>
      <c r="Q644" s="7"/>
      <c r="T644" s="7"/>
      <c r="U644" s="7"/>
      <c r="W644" s="7"/>
      <c r="Z644" s="7"/>
      <c r="AA644" s="7"/>
      <c r="AC644" s="7"/>
      <c r="AF644" s="7"/>
      <c r="AG644" s="7"/>
      <c r="AI644" s="7"/>
      <c r="AL644" s="1"/>
      <c r="AM644" s="1"/>
      <c r="AO644" s="1"/>
      <c r="AR644" s="1"/>
      <c r="AS644" s="1"/>
    </row>
    <row r="645" spans="9:45" x14ac:dyDescent="0.3">
      <c r="I645" s="7"/>
      <c r="K645" s="7"/>
      <c r="N645" s="7"/>
      <c r="O645" s="7"/>
      <c r="Q645" s="7"/>
      <c r="T645" s="7"/>
      <c r="U645" s="7"/>
      <c r="W645" s="7"/>
      <c r="Z645" s="7"/>
      <c r="AA645" s="7"/>
      <c r="AC645" s="7"/>
      <c r="AF645" s="7"/>
      <c r="AG645" s="7"/>
      <c r="AI645" s="7"/>
      <c r="AL645" s="1"/>
      <c r="AM645" s="1"/>
      <c r="AO645" s="1"/>
      <c r="AR645" s="1"/>
      <c r="AS645" s="1"/>
    </row>
    <row r="646" spans="9:45" x14ac:dyDescent="0.3">
      <c r="I646" s="7"/>
      <c r="K646" s="7"/>
      <c r="N646" s="7"/>
      <c r="O646" s="7"/>
      <c r="Q646" s="7"/>
      <c r="T646" s="7"/>
      <c r="U646" s="7"/>
      <c r="W646" s="7"/>
      <c r="Z646" s="7"/>
      <c r="AA646" s="7"/>
      <c r="AC646" s="7"/>
      <c r="AF646" s="7"/>
      <c r="AG646" s="7"/>
      <c r="AI646" s="7"/>
      <c r="AL646" s="1"/>
      <c r="AM646" s="1"/>
      <c r="AO646" s="1"/>
      <c r="AR646" s="1"/>
      <c r="AS646" s="1"/>
    </row>
    <row r="647" spans="9:45" x14ac:dyDescent="0.3">
      <c r="I647" s="7"/>
      <c r="K647" s="7"/>
      <c r="N647" s="7"/>
      <c r="O647" s="7"/>
      <c r="Q647" s="7"/>
      <c r="T647" s="7"/>
      <c r="U647" s="7"/>
      <c r="W647" s="7"/>
      <c r="Z647" s="7"/>
      <c r="AA647" s="7"/>
      <c r="AC647" s="7"/>
      <c r="AF647" s="7"/>
      <c r="AG647" s="7"/>
      <c r="AI647" s="7"/>
      <c r="AL647" s="1"/>
      <c r="AM647" s="1"/>
      <c r="AO647" s="1"/>
      <c r="AR647" s="1"/>
      <c r="AS647" s="1"/>
    </row>
    <row r="648" spans="9:45" x14ac:dyDescent="0.3">
      <c r="I648" s="7"/>
      <c r="K648" s="7"/>
      <c r="N648" s="7"/>
      <c r="O648" s="7"/>
      <c r="Q648" s="7"/>
      <c r="T648" s="7"/>
      <c r="U648" s="7"/>
      <c r="W648" s="7"/>
      <c r="Z648" s="7"/>
      <c r="AA648" s="7"/>
      <c r="AC648" s="7"/>
      <c r="AF648" s="7"/>
      <c r="AG648" s="7"/>
      <c r="AI648" s="7"/>
      <c r="AL648" s="1"/>
      <c r="AM648" s="1"/>
      <c r="AO648" s="1"/>
      <c r="AR648" s="1"/>
      <c r="AS648" s="1"/>
    </row>
    <row r="649" spans="9:45" x14ac:dyDescent="0.3">
      <c r="I649" s="7"/>
      <c r="K649" s="7"/>
      <c r="N649" s="7"/>
      <c r="O649" s="7"/>
      <c r="Q649" s="7"/>
      <c r="T649" s="7"/>
      <c r="U649" s="7"/>
      <c r="W649" s="7"/>
      <c r="Z649" s="7"/>
      <c r="AA649" s="7"/>
      <c r="AC649" s="7"/>
      <c r="AF649" s="7"/>
      <c r="AG649" s="7"/>
      <c r="AI649" s="7"/>
      <c r="AL649" s="1"/>
      <c r="AM649" s="1"/>
      <c r="AO649" s="1"/>
      <c r="AR649" s="1"/>
      <c r="AS649" s="1"/>
    </row>
    <row r="650" spans="9:45" x14ac:dyDescent="0.3">
      <c r="I650" s="7"/>
      <c r="K650" s="7"/>
      <c r="N650" s="7"/>
      <c r="O650" s="7"/>
      <c r="Q650" s="7"/>
      <c r="T650" s="7"/>
      <c r="U650" s="7"/>
      <c r="W650" s="7"/>
      <c r="Z650" s="7"/>
      <c r="AA650" s="7"/>
      <c r="AC650" s="7"/>
      <c r="AF650" s="7"/>
      <c r="AG650" s="7"/>
      <c r="AI650" s="7"/>
      <c r="AL650" s="1"/>
      <c r="AM650" s="1"/>
      <c r="AO650" s="1"/>
      <c r="AR650" s="1"/>
      <c r="AS650" s="1"/>
    </row>
    <row r="651" spans="9:45" x14ac:dyDescent="0.3">
      <c r="I651" s="7"/>
      <c r="K651" s="7"/>
      <c r="N651" s="7"/>
      <c r="O651" s="7"/>
      <c r="Q651" s="7"/>
      <c r="T651" s="7"/>
      <c r="U651" s="7"/>
      <c r="W651" s="7"/>
      <c r="Z651" s="7"/>
      <c r="AA651" s="7"/>
      <c r="AC651" s="7"/>
      <c r="AF651" s="7"/>
      <c r="AG651" s="7"/>
      <c r="AI651" s="7"/>
      <c r="AL651" s="1"/>
      <c r="AM651" s="1"/>
      <c r="AO651" s="1"/>
      <c r="AR651" s="1"/>
      <c r="AS651" s="1"/>
    </row>
    <row r="652" spans="9:45" x14ac:dyDescent="0.3">
      <c r="I652" s="7"/>
      <c r="K652" s="7"/>
      <c r="N652" s="7"/>
      <c r="O652" s="7"/>
      <c r="Q652" s="7"/>
      <c r="T652" s="7"/>
      <c r="U652" s="7"/>
      <c r="W652" s="7"/>
      <c r="Z652" s="7"/>
      <c r="AA652" s="7"/>
      <c r="AC652" s="7"/>
      <c r="AF652" s="7"/>
      <c r="AG652" s="7"/>
      <c r="AI652" s="7"/>
      <c r="AL652" s="1"/>
      <c r="AM652" s="1"/>
      <c r="AO652" s="1"/>
      <c r="AR652" s="1"/>
      <c r="AS652" s="1"/>
    </row>
    <row r="653" spans="9:45" x14ac:dyDescent="0.3">
      <c r="I653" s="7"/>
      <c r="K653" s="7"/>
      <c r="N653" s="7"/>
      <c r="O653" s="7"/>
      <c r="Q653" s="7"/>
      <c r="T653" s="7"/>
      <c r="U653" s="7"/>
      <c r="W653" s="7"/>
      <c r="Z653" s="7"/>
      <c r="AA653" s="7"/>
      <c r="AC653" s="7"/>
      <c r="AF653" s="7"/>
      <c r="AG653" s="7"/>
      <c r="AI653" s="7"/>
      <c r="AL653" s="1"/>
      <c r="AM653" s="1"/>
      <c r="AO653" s="1"/>
      <c r="AR653" s="1"/>
      <c r="AS653" s="1"/>
    </row>
    <row r="654" spans="9:45" x14ac:dyDescent="0.3">
      <c r="I654" s="7"/>
      <c r="K654" s="7"/>
      <c r="N654" s="7"/>
      <c r="O654" s="7"/>
      <c r="Q654" s="7"/>
      <c r="T654" s="7"/>
      <c r="U654" s="7"/>
      <c r="W654" s="7"/>
      <c r="Z654" s="7"/>
      <c r="AA654" s="7"/>
      <c r="AC654" s="7"/>
      <c r="AF654" s="7"/>
      <c r="AG654" s="7"/>
      <c r="AI654" s="7"/>
      <c r="AL654" s="1"/>
      <c r="AM654" s="1"/>
      <c r="AO654" s="1"/>
      <c r="AR654" s="1"/>
      <c r="AS654" s="1"/>
    </row>
    <row r="655" spans="9:45" x14ac:dyDescent="0.3">
      <c r="I655" s="7"/>
      <c r="K655" s="7"/>
      <c r="N655" s="7"/>
      <c r="O655" s="7"/>
      <c r="Q655" s="7"/>
      <c r="T655" s="7"/>
      <c r="U655" s="7"/>
      <c r="W655" s="7"/>
      <c r="Z655" s="7"/>
      <c r="AA655" s="7"/>
      <c r="AC655" s="7"/>
      <c r="AF655" s="7"/>
      <c r="AG655" s="7"/>
      <c r="AI655" s="7"/>
      <c r="AL655" s="1"/>
      <c r="AM655" s="1"/>
      <c r="AO655" s="1"/>
      <c r="AR655" s="1"/>
      <c r="AS655" s="1"/>
    </row>
    <row r="656" spans="9:45" x14ac:dyDescent="0.3">
      <c r="I656" s="7"/>
      <c r="K656" s="7"/>
      <c r="N656" s="7"/>
      <c r="O656" s="7"/>
      <c r="Q656" s="7"/>
      <c r="T656" s="7"/>
      <c r="U656" s="7"/>
      <c r="W656" s="7"/>
      <c r="Z656" s="7"/>
      <c r="AA656" s="7"/>
      <c r="AC656" s="7"/>
      <c r="AF656" s="7"/>
      <c r="AG656" s="7"/>
      <c r="AI656" s="7"/>
      <c r="AL656" s="1"/>
      <c r="AM656" s="1"/>
      <c r="AO656" s="1"/>
      <c r="AR656" s="1"/>
      <c r="AS656" s="1"/>
    </row>
    <row r="657" spans="9:45" x14ac:dyDescent="0.3">
      <c r="I657" s="7"/>
      <c r="K657" s="7"/>
      <c r="N657" s="7"/>
      <c r="O657" s="7"/>
      <c r="Q657" s="7"/>
      <c r="T657" s="7"/>
      <c r="U657" s="7"/>
      <c r="W657" s="7"/>
      <c r="Z657" s="7"/>
      <c r="AA657" s="7"/>
      <c r="AC657" s="7"/>
      <c r="AF657" s="7"/>
      <c r="AG657" s="7"/>
      <c r="AI657" s="7"/>
      <c r="AL657" s="1"/>
      <c r="AM657" s="1"/>
      <c r="AO657" s="1"/>
      <c r="AR657" s="1"/>
      <c r="AS657" s="1"/>
    </row>
    <row r="658" spans="9:45" x14ac:dyDescent="0.3">
      <c r="I658" s="7"/>
      <c r="K658" s="7"/>
      <c r="N658" s="7"/>
      <c r="O658" s="7"/>
      <c r="Q658" s="7"/>
      <c r="T658" s="7"/>
      <c r="U658" s="7"/>
      <c r="W658" s="7"/>
      <c r="Z658" s="7"/>
      <c r="AA658" s="7"/>
      <c r="AC658" s="7"/>
      <c r="AF658" s="7"/>
      <c r="AG658" s="7"/>
      <c r="AI658" s="7"/>
      <c r="AL658" s="1"/>
      <c r="AM658" s="1"/>
      <c r="AO658" s="1"/>
      <c r="AR658" s="1"/>
      <c r="AS658" s="1"/>
    </row>
    <row r="659" spans="9:45" x14ac:dyDescent="0.3">
      <c r="I659" s="7"/>
      <c r="K659" s="7"/>
      <c r="N659" s="7"/>
      <c r="O659" s="7"/>
      <c r="Q659" s="7"/>
      <c r="T659" s="7"/>
      <c r="U659" s="7"/>
      <c r="W659" s="7"/>
      <c r="Z659" s="7"/>
      <c r="AA659" s="7"/>
      <c r="AC659" s="7"/>
      <c r="AF659" s="7"/>
      <c r="AG659" s="7"/>
      <c r="AI659" s="7"/>
      <c r="AL659" s="1"/>
      <c r="AM659" s="1"/>
      <c r="AO659" s="1"/>
      <c r="AR659" s="1"/>
      <c r="AS659" s="1"/>
    </row>
    <row r="660" spans="9:45" x14ac:dyDescent="0.3">
      <c r="I660" s="7"/>
      <c r="K660" s="7"/>
      <c r="N660" s="7"/>
      <c r="O660" s="7"/>
      <c r="Q660" s="7"/>
      <c r="T660" s="7"/>
      <c r="U660" s="7"/>
      <c r="W660" s="7"/>
      <c r="Z660" s="7"/>
      <c r="AA660" s="7"/>
      <c r="AC660" s="7"/>
      <c r="AF660" s="7"/>
      <c r="AG660" s="7"/>
      <c r="AI660" s="7"/>
      <c r="AL660" s="1"/>
      <c r="AM660" s="1"/>
      <c r="AO660" s="1"/>
      <c r="AR660" s="1"/>
      <c r="AS660" s="1"/>
    </row>
    <row r="661" spans="9:45" x14ac:dyDescent="0.3">
      <c r="I661" s="7"/>
      <c r="K661" s="7"/>
      <c r="N661" s="7"/>
      <c r="O661" s="7"/>
      <c r="Q661" s="7"/>
      <c r="T661" s="7"/>
      <c r="U661" s="7"/>
      <c r="W661" s="7"/>
      <c r="Z661" s="7"/>
      <c r="AA661" s="7"/>
      <c r="AC661" s="7"/>
      <c r="AF661" s="7"/>
      <c r="AG661" s="7"/>
      <c r="AI661" s="7"/>
      <c r="AL661" s="1"/>
      <c r="AM661" s="1"/>
      <c r="AO661" s="1"/>
      <c r="AR661" s="1"/>
      <c r="AS661" s="1"/>
    </row>
    <row r="662" spans="9:45" x14ac:dyDescent="0.3">
      <c r="I662" s="7"/>
      <c r="K662" s="7"/>
      <c r="N662" s="7"/>
      <c r="O662" s="7"/>
      <c r="Q662" s="7"/>
      <c r="T662" s="7"/>
      <c r="U662" s="7"/>
      <c r="W662" s="7"/>
      <c r="Z662" s="7"/>
      <c r="AA662" s="7"/>
      <c r="AC662" s="7"/>
      <c r="AF662" s="7"/>
      <c r="AG662" s="7"/>
      <c r="AI662" s="7"/>
      <c r="AL662" s="1"/>
      <c r="AM662" s="1"/>
      <c r="AO662" s="1"/>
      <c r="AR662" s="1"/>
      <c r="AS662" s="1"/>
    </row>
    <row r="663" spans="9:45" x14ac:dyDescent="0.3">
      <c r="I663" s="7"/>
      <c r="K663" s="7"/>
      <c r="N663" s="7"/>
      <c r="O663" s="7"/>
      <c r="Q663" s="7"/>
      <c r="T663" s="7"/>
      <c r="U663" s="7"/>
      <c r="W663" s="7"/>
      <c r="Z663" s="7"/>
      <c r="AA663" s="7"/>
      <c r="AC663" s="7"/>
      <c r="AF663" s="7"/>
      <c r="AG663" s="7"/>
      <c r="AI663" s="7"/>
      <c r="AL663" s="1"/>
      <c r="AM663" s="1"/>
      <c r="AO663" s="1"/>
      <c r="AR663" s="1"/>
      <c r="AS663" s="1"/>
    </row>
    <row r="664" spans="9:45" x14ac:dyDescent="0.3">
      <c r="I664" s="7"/>
      <c r="K664" s="7"/>
      <c r="N664" s="7"/>
      <c r="O664" s="7"/>
      <c r="Q664" s="7"/>
      <c r="T664" s="7"/>
      <c r="U664" s="7"/>
      <c r="W664" s="7"/>
      <c r="Z664" s="7"/>
      <c r="AA664" s="7"/>
      <c r="AC664" s="7"/>
      <c r="AF664" s="7"/>
      <c r="AG664" s="7"/>
      <c r="AI664" s="7"/>
      <c r="AL664" s="1"/>
      <c r="AM664" s="1"/>
      <c r="AO664" s="1"/>
      <c r="AR664" s="1"/>
      <c r="AS664" s="1"/>
    </row>
    <row r="665" spans="9:45" x14ac:dyDescent="0.3">
      <c r="I665" s="7"/>
      <c r="K665" s="7"/>
      <c r="N665" s="7"/>
      <c r="O665" s="7"/>
      <c r="Q665" s="7"/>
      <c r="T665" s="7"/>
      <c r="U665" s="7"/>
      <c r="W665" s="7"/>
      <c r="Z665" s="7"/>
      <c r="AA665" s="7"/>
      <c r="AC665" s="7"/>
      <c r="AF665" s="7"/>
      <c r="AG665" s="7"/>
      <c r="AI665" s="7"/>
      <c r="AL665" s="1"/>
      <c r="AM665" s="1"/>
      <c r="AO665" s="1"/>
      <c r="AR665" s="1"/>
      <c r="AS665" s="1"/>
    </row>
    <row r="666" spans="9:45" x14ac:dyDescent="0.3">
      <c r="I666" s="7"/>
      <c r="K666" s="7"/>
      <c r="N666" s="7"/>
      <c r="O666" s="7"/>
      <c r="Q666" s="7"/>
      <c r="T666" s="7"/>
      <c r="U666" s="7"/>
      <c r="W666" s="7"/>
      <c r="Z666" s="7"/>
      <c r="AA666" s="7"/>
      <c r="AC666" s="7"/>
      <c r="AF666" s="7"/>
      <c r="AG666" s="7"/>
      <c r="AI666" s="7"/>
      <c r="AL666" s="1"/>
      <c r="AM666" s="1"/>
      <c r="AO666" s="1"/>
      <c r="AR666" s="1"/>
      <c r="AS666" s="1"/>
    </row>
    <row r="667" spans="9:45" x14ac:dyDescent="0.3">
      <c r="I667" s="7"/>
      <c r="K667" s="7"/>
      <c r="N667" s="7"/>
      <c r="O667" s="7"/>
      <c r="Q667" s="7"/>
      <c r="T667" s="7"/>
      <c r="U667" s="7"/>
      <c r="W667" s="7"/>
      <c r="Z667" s="7"/>
      <c r="AA667" s="7"/>
      <c r="AC667" s="7"/>
      <c r="AF667" s="7"/>
      <c r="AG667" s="7"/>
      <c r="AI667" s="7"/>
      <c r="AL667" s="1"/>
      <c r="AM667" s="1"/>
      <c r="AO667" s="1"/>
      <c r="AR667" s="1"/>
      <c r="AS667" s="1"/>
    </row>
    <row r="668" spans="9:45" x14ac:dyDescent="0.3">
      <c r="I668" s="7"/>
      <c r="K668" s="7"/>
      <c r="N668" s="7"/>
      <c r="O668" s="7"/>
      <c r="Q668" s="7"/>
      <c r="T668" s="7"/>
      <c r="U668" s="7"/>
      <c r="W668" s="7"/>
      <c r="Z668" s="7"/>
      <c r="AA668" s="7"/>
      <c r="AC668" s="7"/>
      <c r="AF668" s="7"/>
      <c r="AG668" s="7"/>
      <c r="AI668" s="7"/>
      <c r="AL668" s="1"/>
      <c r="AM668" s="1"/>
      <c r="AO668" s="1"/>
      <c r="AR668" s="1"/>
      <c r="AS668" s="1"/>
    </row>
    <row r="669" spans="9:45" x14ac:dyDescent="0.3">
      <c r="I669" s="7"/>
      <c r="K669" s="7"/>
      <c r="N669" s="7"/>
      <c r="O669" s="7"/>
      <c r="Q669" s="7"/>
      <c r="T669" s="7"/>
      <c r="U669" s="7"/>
      <c r="W669" s="7"/>
      <c r="Z669" s="7"/>
      <c r="AA669" s="7"/>
      <c r="AC669" s="7"/>
      <c r="AF669" s="7"/>
      <c r="AG669" s="7"/>
      <c r="AI669" s="7"/>
      <c r="AL669" s="1"/>
      <c r="AM669" s="1"/>
      <c r="AO669" s="1"/>
      <c r="AR669" s="1"/>
      <c r="AS669" s="1"/>
    </row>
    <row r="670" spans="9:45" x14ac:dyDescent="0.3">
      <c r="I670" s="7"/>
      <c r="K670" s="7"/>
      <c r="N670" s="7"/>
      <c r="O670" s="7"/>
      <c r="Q670" s="7"/>
      <c r="T670" s="7"/>
      <c r="U670" s="7"/>
      <c r="W670" s="7"/>
      <c r="Z670" s="7"/>
      <c r="AA670" s="7"/>
      <c r="AC670" s="7"/>
      <c r="AF670" s="7"/>
      <c r="AG670" s="7"/>
      <c r="AI670" s="7"/>
      <c r="AL670" s="1"/>
      <c r="AM670" s="1"/>
      <c r="AO670" s="1"/>
      <c r="AR670" s="1"/>
      <c r="AS670" s="1"/>
    </row>
    <row r="671" spans="9:45" x14ac:dyDescent="0.3">
      <c r="I671" s="7"/>
      <c r="K671" s="7"/>
      <c r="N671" s="7"/>
      <c r="O671" s="7"/>
      <c r="Q671" s="7"/>
      <c r="T671" s="7"/>
      <c r="U671" s="7"/>
      <c r="W671" s="7"/>
      <c r="Z671" s="7"/>
      <c r="AA671" s="7"/>
      <c r="AC671" s="7"/>
      <c r="AF671" s="7"/>
      <c r="AG671" s="7"/>
      <c r="AI671" s="7"/>
      <c r="AL671" s="1"/>
      <c r="AM671" s="1"/>
      <c r="AO671" s="1"/>
      <c r="AR671" s="1"/>
      <c r="AS671" s="1"/>
    </row>
    <row r="672" spans="9:45" x14ac:dyDescent="0.3">
      <c r="I672" s="7"/>
      <c r="K672" s="7"/>
      <c r="N672" s="7"/>
      <c r="O672" s="7"/>
      <c r="Q672" s="7"/>
      <c r="T672" s="7"/>
      <c r="U672" s="7"/>
      <c r="W672" s="7"/>
      <c r="Z672" s="7"/>
      <c r="AA672" s="7"/>
      <c r="AC672" s="7"/>
      <c r="AF672" s="7"/>
      <c r="AG672" s="7"/>
      <c r="AI672" s="7"/>
      <c r="AL672" s="1"/>
      <c r="AM672" s="1"/>
      <c r="AO672" s="1"/>
      <c r="AR672" s="1"/>
      <c r="AS672" s="1"/>
    </row>
    <row r="673" spans="9:45" x14ac:dyDescent="0.3">
      <c r="I673" s="7"/>
      <c r="K673" s="7"/>
      <c r="N673" s="7"/>
      <c r="O673" s="7"/>
      <c r="Q673" s="7"/>
      <c r="T673" s="7"/>
      <c r="U673" s="7"/>
      <c r="W673" s="7"/>
      <c r="Z673" s="7"/>
      <c r="AA673" s="7"/>
      <c r="AC673" s="7"/>
      <c r="AF673" s="7"/>
      <c r="AG673" s="7"/>
      <c r="AI673" s="7"/>
      <c r="AL673" s="1"/>
      <c r="AM673" s="1"/>
      <c r="AO673" s="1"/>
      <c r="AR673" s="1"/>
      <c r="AS673" s="1"/>
    </row>
    <row r="674" spans="9:45" x14ac:dyDescent="0.3">
      <c r="I674" s="7"/>
      <c r="K674" s="7"/>
      <c r="N674" s="7"/>
      <c r="O674" s="7"/>
      <c r="Q674" s="7"/>
      <c r="T674" s="7"/>
      <c r="U674" s="7"/>
      <c r="W674" s="7"/>
      <c r="Z674" s="7"/>
      <c r="AA674" s="7"/>
      <c r="AC674" s="7"/>
      <c r="AF674" s="7"/>
      <c r="AG674" s="7"/>
      <c r="AI674" s="7"/>
      <c r="AL674" s="1"/>
      <c r="AM674" s="1"/>
      <c r="AO674" s="1"/>
      <c r="AR674" s="1"/>
      <c r="AS674" s="1"/>
    </row>
    <row r="675" spans="9:45" x14ac:dyDescent="0.3">
      <c r="I675" s="7"/>
      <c r="K675" s="7"/>
      <c r="N675" s="7"/>
      <c r="O675" s="7"/>
      <c r="Q675" s="7"/>
      <c r="T675" s="7"/>
      <c r="U675" s="7"/>
      <c r="W675" s="7"/>
      <c r="Z675" s="7"/>
      <c r="AA675" s="7"/>
      <c r="AC675" s="7"/>
      <c r="AF675" s="7"/>
      <c r="AG675" s="7"/>
      <c r="AI675" s="7"/>
      <c r="AL675" s="1"/>
      <c r="AM675" s="1"/>
      <c r="AO675" s="1"/>
      <c r="AR675" s="1"/>
      <c r="AS675" s="1"/>
    </row>
    <row r="676" spans="9:45" x14ac:dyDescent="0.3">
      <c r="I676" s="7"/>
      <c r="K676" s="7"/>
      <c r="N676" s="7"/>
      <c r="O676" s="7"/>
      <c r="Q676" s="7"/>
      <c r="T676" s="7"/>
      <c r="U676" s="7"/>
      <c r="W676" s="7"/>
      <c r="Z676" s="7"/>
      <c r="AA676" s="7"/>
      <c r="AC676" s="7"/>
      <c r="AF676" s="7"/>
      <c r="AG676" s="7"/>
      <c r="AI676" s="7"/>
      <c r="AL676" s="1"/>
      <c r="AM676" s="1"/>
      <c r="AO676" s="1"/>
      <c r="AR676" s="1"/>
      <c r="AS676" s="1"/>
    </row>
    <row r="677" spans="9:45" x14ac:dyDescent="0.3">
      <c r="I677" s="7"/>
      <c r="K677" s="7"/>
      <c r="N677" s="7"/>
      <c r="O677" s="7"/>
      <c r="Q677" s="7"/>
      <c r="T677" s="7"/>
      <c r="U677" s="7"/>
      <c r="W677" s="7"/>
      <c r="Z677" s="7"/>
      <c r="AA677" s="7"/>
      <c r="AC677" s="7"/>
      <c r="AF677" s="7"/>
      <c r="AG677" s="7"/>
      <c r="AI677" s="7"/>
      <c r="AL677" s="1"/>
      <c r="AM677" s="1"/>
      <c r="AO677" s="1"/>
      <c r="AR677" s="1"/>
      <c r="AS677" s="1"/>
    </row>
    <row r="678" spans="9:45" x14ac:dyDescent="0.3">
      <c r="I678" s="7"/>
      <c r="K678" s="7"/>
      <c r="N678" s="7"/>
      <c r="O678" s="7"/>
      <c r="Q678" s="7"/>
      <c r="T678" s="7"/>
      <c r="U678" s="7"/>
      <c r="W678" s="7"/>
      <c r="Z678" s="7"/>
      <c r="AA678" s="7"/>
      <c r="AC678" s="7"/>
      <c r="AF678" s="7"/>
      <c r="AG678" s="7"/>
      <c r="AI678" s="7"/>
      <c r="AL678" s="1"/>
      <c r="AM678" s="1"/>
      <c r="AO678" s="1"/>
      <c r="AR678" s="1"/>
      <c r="AS678" s="1"/>
    </row>
    <row r="679" spans="9:45" x14ac:dyDescent="0.3">
      <c r="I679" s="7"/>
      <c r="K679" s="7"/>
      <c r="N679" s="7"/>
      <c r="O679" s="7"/>
      <c r="Q679" s="7"/>
      <c r="T679" s="7"/>
      <c r="U679" s="7"/>
      <c r="W679" s="7"/>
      <c r="Z679" s="7"/>
      <c r="AA679" s="7"/>
      <c r="AC679" s="7"/>
      <c r="AF679" s="7"/>
      <c r="AG679" s="7"/>
      <c r="AI679" s="7"/>
      <c r="AL679" s="1"/>
      <c r="AM679" s="1"/>
      <c r="AO679" s="1"/>
      <c r="AR679" s="1"/>
      <c r="AS679" s="1"/>
    </row>
    <row r="680" spans="9:45" x14ac:dyDescent="0.3">
      <c r="I680" s="7"/>
      <c r="K680" s="7"/>
      <c r="N680" s="7"/>
      <c r="O680" s="7"/>
      <c r="Q680" s="7"/>
      <c r="T680" s="7"/>
      <c r="U680" s="7"/>
      <c r="W680" s="7"/>
      <c r="Z680" s="7"/>
      <c r="AA680" s="7"/>
      <c r="AC680" s="7"/>
      <c r="AF680" s="7"/>
      <c r="AG680" s="7"/>
      <c r="AI680" s="7"/>
      <c r="AL680" s="1"/>
      <c r="AM680" s="1"/>
      <c r="AO680" s="1"/>
      <c r="AR680" s="1"/>
      <c r="AS680" s="1"/>
    </row>
    <row r="681" spans="9:45" x14ac:dyDescent="0.3">
      <c r="I681" s="7"/>
      <c r="K681" s="7"/>
      <c r="N681" s="7"/>
      <c r="O681" s="7"/>
      <c r="Q681" s="7"/>
      <c r="T681" s="7"/>
      <c r="U681" s="7"/>
      <c r="W681" s="7"/>
      <c r="Z681" s="7"/>
      <c r="AA681" s="7"/>
      <c r="AC681" s="7"/>
      <c r="AF681" s="7"/>
      <c r="AG681" s="7"/>
      <c r="AI681" s="7"/>
      <c r="AL681" s="1"/>
      <c r="AM681" s="1"/>
      <c r="AO681" s="1"/>
      <c r="AR681" s="1"/>
      <c r="AS681" s="1"/>
    </row>
    <row r="682" spans="9:45" x14ac:dyDescent="0.3">
      <c r="I682" s="7"/>
      <c r="K682" s="7"/>
      <c r="N682" s="7"/>
      <c r="O682" s="7"/>
      <c r="Q682" s="7"/>
      <c r="T682" s="7"/>
      <c r="U682" s="7"/>
      <c r="W682" s="7"/>
      <c r="Z682" s="7"/>
      <c r="AA682" s="7"/>
      <c r="AC682" s="7"/>
      <c r="AF682" s="7"/>
      <c r="AG682" s="7"/>
      <c r="AI682" s="7"/>
      <c r="AL682" s="1"/>
      <c r="AM682" s="1"/>
      <c r="AO682" s="1"/>
      <c r="AR682" s="1"/>
      <c r="AS682" s="1"/>
    </row>
    <row r="683" spans="9:45" x14ac:dyDescent="0.3">
      <c r="I683" s="7"/>
      <c r="K683" s="7"/>
      <c r="N683" s="7"/>
      <c r="O683" s="7"/>
      <c r="Q683" s="7"/>
      <c r="T683" s="7"/>
      <c r="U683" s="7"/>
      <c r="W683" s="7"/>
      <c r="Z683" s="7"/>
      <c r="AA683" s="7"/>
      <c r="AC683" s="7"/>
      <c r="AF683" s="7"/>
      <c r="AG683" s="7"/>
      <c r="AI683" s="7"/>
      <c r="AL683" s="1"/>
      <c r="AM683" s="1"/>
      <c r="AO683" s="1"/>
      <c r="AR683" s="1"/>
      <c r="AS683" s="1"/>
    </row>
    <row r="684" spans="9:45" x14ac:dyDescent="0.3">
      <c r="I684" s="7"/>
      <c r="K684" s="7"/>
      <c r="N684" s="7"/>
      <c r="O684" s="7"/>
      <c r="Q684" s="7"/>
      <c r="T684" s="7"/>
      <c r="U684" s="7"/>
      <c r="W684" s="7"/>
      <c r="Z684" s="7"/>
      <c r="AA684" s="7"/>
      <c r="AC684" s="7"/>
      <c r="AF684" s="7"/>
      <c r="AG684" s="7"/>
      <c r="AI684" s="7"/>
      <c r="AL684" s="1"/>
      <c r="AM684" s="1"/>
      <c r="AO684" s="1"/>
      <c r="AR684" s="1"/>
      <c r="AS684" s="1"/>
    </row>
    <row r="685" spans="9:45" x14ac:dyDescent="0.3">
      <c r="I685" s="7"/>
      <c r="K685" s="7"/>
      <c r="N685" s="7"/>
      <c r="O685" s="7"/>
      <c r="Q685" s="7"/>
      <c r="T685" s="7"/>
      <c r="U685" s="7"/>
      <c r="W685" s="7"/>
      <c r="Z685" s="7"/>
      <c r="AA685" s="7"/>
      <c r="AC685" s="7"/>
      <c r="AF685" s="7"/>
      <c r="AG685" s="7"/>
      <c r="AI685" s="7"/>
      <c r="AL685" s="1"/>
      <c r="AM685" s="1"/>
      <c r="AO685" s="1"/>
      <c r="AR685" s="1"/>
      <c r="AS685" s="1"/>
    </row>
    <row r="686" spans="9:45" x14ac:dyDescent="0.3">
      <c r="I686" s="7"/>
      <c r="K686" s="7"/>
      <c r="N686" s="7"/>
      <c r="O686" s="7"/>
      <c r="Q686" s="7"/>
      <c r="T686" s="7"/>
      <c r="U686" s="7"/>
      <c r="W686" s="7"/>
      <c r="Z686" s="7"/>
      <c r="AA686" s="7"/>
      <c r="AC686" s="7"/>
      <c r="AF686" s="7"/>
      <c r="AG686" s="7"/>
      <c r="AI686" s="7"/>
      <c r="AL686" s="1"/>
      <c r="AM686" s="1"/>
      <c r="AO686" s="1"/>
      <c r="AR686" s="1"/>
      <c r="AS686" s="1"/>
    </row>
    <row r="687" spans="9:45" x14ac:dyDescent="0.3">
      <c r="I687" s="7"/>
      <c r="K687" s="7"/>
      <c r="N687" s="7"/>
      <c r="O687" s="7"/>
      <c r="Q687" s="7"/>
      <c r="T687" s="7"/>
      <c r="U687" s="7"/>
      <c r="W687" s="7"/>
      <c r="Z687" s="7"/>
      <c r="AA687" s="7"/>
      <c r="AC687" s="7"/>
      <c r="AF687" s="7"/>
      <c r="AG687" s="7"/>
      <c r="AI687" s="7"/>
      <c r="AL687" s="1"/>
      <c r="AM687" s="1"/>
      <c r="AO687" s="1"/>
      <c r="AR687" s="1"/>
      <c r="AS687" s="1"/>
    </row>
    <row r="688" spans="9:45" x14ac:dyDescent="0.3">
      <c r="I688" s="7"/>
      <c r="K688" s="7"/>
      <c r="N688" s="7"/>
      <c r="O688" s="7"/>
      <c r="Q688" s="7"/>
      <c r="T688" s="7"/>
      <c r="U688" s="7"/>
      <c r="W688" s="7"/>
      <c r="Z688" s="7"/>
      <c r="AA688" s="7"/>
      <c r="AC688" s="7"/>
      <c r="AF688" s="7"/>
      <c r="AG688" s="7"/>
      <c r="AI688" s="7"/>
      <c r="AL688" s="1"/>
      <c r="AM688" s="1"/>
      <c r="AO688" s="1"/>
      <c r="AR688" s="1"/>
      <c r="AS688" s="1"/>
    </row>
    <row r="689" spans="9:45" x14ac:dyDescent="0.3">
      <c r="I689" s="7"/>
      <c r="K689" s="7"/>
      <c r="N689" s="7"/>
      <c r="O689" s="7"/>
      <c r="Q689" s="7"/>
      <c r="T689" s="7"/>
      <c r="U689" s="7"/>
      <c r="W689" s="7"/>
      <c r="Z689" s="7"/>
      <c r="AA689" s="7"/>
      <c r="AC689" s="7"/>
      <c r="AF689" s="7"/>
      <c r="AG689" s="7"/>
      <c r="AI689" s="7"/>
      <c r="AL689" s="1"/>
      <c r="AM689" s="1"/>
      <c r="AO689" s="1"/>
      <c r="AR689" s="1"/>
      <c r="AS689" s="1"/>
    </row>
    <row r="690" spans="9:45" x14ac:dyDescent="0.3">
      <c r="I690" s="7"/>
      <c r="K690" s="7"/>
      <c r="N690" s="7"/>
      <c r="O690" s="7"/>
      <c r="Q690" s="7"/>
      <c r="T690" s="7"/>
      <c r="U690" s="7"/>
      <c r="W690" s="7"/>
      <c r="Z690" s="7"/>
      <c r="AA690" s="7"/>
      <c r="AC690" s="7"/>
      <c r="AF690" s="7"/>
      <c r="AG690" s="7"/>
      <c r="AI690" s="7"/>
      <c r="AL690" s="1"/>
      <c r="AM690" s="1"/>
      <c r="AO690" s="1"/>
      <c r="AR690" s="1"/>
      <c r="AS690" s="1"/>
    </row>
    <row r="691" spans="9:45" x14ac:dyDescent="0.3">
      <c r="I691" s="7"/>
      <c r="K691" s="7"/>
      <c r="N691" s="7"/>
      <c r="O691" s="7"/>
      <c r="Q691" s="7"/>
      <c r="T691" s="7"/>
      <c r="U691" s="7"/>
      <c r="W691" s="7"/>
      <c r="Z691" s="7"/>
      <c r="AA691" s="7"/>
      <c r="AC691" s="7"/>
      <c r="AF691" s="7"/>
      <c r="AG691" s="7"/>
      <c r="AI691" s="7"/>
      <c r="AL691" s="1"/>
      <c r="AM691" s="1"/>
      <c r="AO691" s="1"/>
      <c r="AR691" s="1"/>
      <c r="AS691" s="1"/>
    </row>
    <row r="692" spans="9:45" x14ac:dyDescent="0.3">
      <c r="I692" s="7"/>
      <c r="K692" s="7"/>
      <c r="N692" s="7"/>
      <c r="O692" s="7"/>
      <c r="Q692" s="7"/>
      <c r="T692" s="7"/>
      <c r="U692" s="7"/>
      <c r="W692" s="7"/>
      <c r="Z692" s="7"/>
      <c r="AA692" s="7"/>
      <c r="AC692" s="7"/>
      <c r="AF692" s="7"/>
      <c r="AG692" s="7"/>
      <c r="AI692" s="7"/>
      <c r="AL692" s="1"/>
      <c r="AM692" s="1"/>
      <c r="AO692" s="1"/>
      <c r="AR692" s="1"/>
      <c r="AS692" s="1"/>
    </row>
    <row r="693" spans="9:45" x14ac:dyDescent="0.3">
      <c r="I693" s="7"/>
      <c r="K693" s="7"/>
      <c r="N693" s="7"/>
      <c r="O693" s="7"/>
      <c r="Q693" s="7"/>
      <c r="T693" s="7"/>
      <c r="U693" s="7"/>
      <c r="W693" s="7"/>
      <c r="Z693" s="7"/>
      <c r="AA693" s="7"/>
      <c r="AC693" s="7"/>
      <c r="AF693" s="7"/>
      <c r="AG693" s="7"/>
      <c r="AI693" s="7"/>
      <c r="AL693" s="1"/>
      <c r="AM693" s="1"/>
      <c r="AO693" s="1"/>
      <c r="AR693" s="1"/>
      <c r="AS693" s="1"/>
    </row>
    <row r="694" spans="9:45" x14ac:dyDescent="0.3">
      <c r="I694" s="7"/>
      <c r="K694" s="7"/>
      <c r="N694" s="7"/>
      <c r="O694" s="7"/>
      <c r="Q694" s="7"/>
      <c r="T694" s="7"/>
      <c r="U694" s="7"/>
      <c r="W694" s="7"/>
      <c r="Z694" s="7"/>
      <c r="AA694" s="7"/>
      <c r="AC694" s="7"/>
      <c r="AF694" s="7"/>
      <c r="AG694" s="7"/>
      <c r="AI694" s="7"/>
      <c r="AL694" s="1"/>
      <c r="AM694" s="1"/>
      <c r="AO694" s="1"/>
      <c r="AR694" s="1"/>
      <c r="AS694" s="1"/>
    </row>
    <row r="695" spans="9:45" x14ac:dyDescent="0.3">
      <c r="I695" s="7"/>
      <c r="K695" s="7"/>
      <c r="N695" s="7"/>
      <c r="O695" s="7"/>
      <c r="Q695" s="7"/>
      <c r="T695" s="7"/>
      <c r="U695" s="7"/>
      <c r="W695" s="7"/>
      <c r="Z695" s="7"/>
      <c r="AA695" s="7"/>
      <c r="AC695" s="7"/>
      <c r="AF695" s="7"/>
      <c r="AG695" s="7"/>
      <c r="AI695" s="7"/>
      <c r="AL695" s="1"/>
      <c r="AM695" s="1"/>
      <c r="AO695" s="1"/>
      <c r="AR695" s="1"/>
      <c r="AS695" s="1"/>
    </row>
    <row r="696" spans="9:45" x14ac:dyDescent="0.3">
      <c r="I696" s="7"/>
      <c r="K696" s="7"/>
      <c r="N696" s="7"/>
      <c r="O696" s="7"/>
      <c r="Q696" s="7"/>
      <c r="T696" s="7"/>
      <c r="U696" s="7"/>
      <c r="W696" s="7"/>
      <c r="Z696" s="7"/>
      <c r="AA696" s="7"/>
      <c r="AC696" s="7"/>
      <c r="AF696" s="7"/>
      <c r="AG696" s="7"/>
      <c r="AI696" s="7"/>
      <c r="AL696" s="1"/>
      <c r="AM696" s="1"/>
      <c r="AO696" s="1"/>
      <c r="AR696" s="1"/>
      <c r="AS696" s="1"/>
    </row>
    <row r="697" spans="9:45" x14ac:dyDescent="0.3">
      <c r="I697" s="7"/>
      <c r="K697" s="7"/>
      <c r="N697" s="7"/>
      <c r="O697" s="7"/>
      <c r="Q697" s="7"/>
      <c r="T697" s="7"/>
      <c r="U697" s="7"/>
      <c r="W697" s="7"/>
      <c r="Z697" s="7"/>
      <c r="AA697" s="7"/>
      <c r="AC697" s="7"/>
      <c r="AF697" s="7"/>
      <c r="AG697" s="7"/>
      <c r="AI697" s="7"/>
      <c r="AL697" s="1"/>
      <c r="AM697" s="1"/>
      <c r="AO697" s="1"/>
      <c r="AR697" s="1"/>
      <c r="AS697" s="1"/>
    </row>
    <row r="698" spans="9:45" x14ac:dyDescent="0.3">
      <c r="I698" s="7"/>
      <c r="K698" s="7"/>
      <c r="N698" s="7"/>
      <c r="O698" s="7"/>
      <c r="Q698" s="7"/>
      <c r="T698" s="7"/>
      <c r="U698" s="7"/>
      <c r="W698" s="7"/>
      <c r="Z698" s="7"/>
      <c r="AA698" s="7"/>
      <c r="AC698" s="7"/>
      <c r="AF698" s="7"/>
      <c r="AG698" s="7"/>
      <c r="AI698" s="7"/>
      <c r="AL698" s="1"/>
      <c r="AM698" s="1"/>
      <c r="AO698" s="1"/>
      <c r="AR698" s="1"/>
      <c r="AS698" s="1"/>
    </row>
    <row r="699" spans="9:45" x14ac:dyDescent="0.3">
      <c r="I699" s="7"/>
      <c r="K699" s="7"/>
      <c r="N699" s="7"/>
      <c r="O699" s="7"/>
      <c r="Q699" s="7"/>
      <c r="T699" s="7"/>
      <c r="U699" s="7"/>
      <c r="W699" s="7"/>
      <c r="Z699" s="7"/>
      <c r="AA699" s="7"/>
      <c r="AC699" s="7"/>
      <c r="AF699" s="7"/>
      <c r="AG699" s="7"/>
      <c r="AI699" s="7"/>
      <c r="AL699" s="1"/>
      <c r="AM699" s="1"/>
      <c r="AO699" s="1"/>
      <c r="AR699" s="1"/>
      <c r="AS699" s="1"/>
    </row>
    <row r="700" spans="9:45" x14ac:dyDescent="0.3">
      <c r="I700" s="7"/>
      <c r="K700" s="7"/>
      <c r="N700" s="7"/>
      <c r="O700" s="7"/>
      <c r="Q700" s="7"/>
      <c r="T700" s="7"/>
      <c r="U700" s="7"/>
      <c r="W700" s="7"/>
      <c r="Z700" s="7"/>
      <c r="AA700" s="7"/>
      <c r="AC700" s="7"/>
      <c r="AF700" s="7"/>
      <c r="AG700" s="7"/>
      <c r="AI700" s="7"/>
      <c r="AL700" s="1"/>
      <c r="AM700" s="1"/>
      <c r="AO700" s="1"/>
      <c r="AR700" s="1"/>
      <c r="AS700" s="1"/>
    </row>
    <row r="701" spans="9:45" x14ac:dyDescent="0.3">
      <c r="I701" s="7"/>
      <c r="K701" s="7"/>
      <c r="N701" s="7"/>
      <c r="O701" s="7"/>
      <c r="Q701" s="7"/>
      <c r="T701" s="7"/>
      <c r="U701" s="7"/>
      <c r="W701" s="7"/>
      <c r="Z701" s="7"/>
      <c r="AA701" s="7"/>
      <c r="AC701" s="7"/>
      <c r="AF701" s="7"/>
      <c r="AG701" s="7"/>
      <c r="AI701" s="7"/>
      <c r="AL701" s="1"/>
      <c r="AM701" s="1"/>
      <c r="AO701" s="1"/>
      <c r="AR701" s="1"/>
      <c r="AS701" s="1"/>
    </row>
    <row r="702" spans="9:45" x14ac:dyDescent="0.3">
      <c r="I702" s="7"/>
      <c r="K702" s="7"/>
      <c r="N702" s="7"/>
      <c r="O702" s="7"/>
      <c r="Q702" s="7"/>
      <c r="T702" s="7"/>
      <c r="U702" s="7"/>
      <c r="W702" s="7"/>
      <c r="Z702" s="7"/>
      <c r="AA702" s="7"/>
      <c r="AC702" s="7"/>
      <c r="AF702" s="7"/>
      <c r="AG702" s="7"/>
      <c r="AI702" s="7"/>
      <c r="AL702" s="1"/>
      <c r="AM702" s="1"/>
      <c r="AO702" s="1"/>
      <c r="AR702" s="1"/>
      <c r="AS702" s="1"/>
    </row>
    <row r="703" spans="9:45" x14ac:dyDescent="0.3">
      <c r="I703" s="7"/>
      <c r="K703" s="7"/>
      <c r="N703" s="7"/>
      <c r="O703" s="7"/>
      <c r="Q703" s="7"/>
      <c r="T703" s="7"/>
      <c r="U703" s="7"/>
      <c r="W703" s="7"/>
      <c r="Z703" s="7"/>
      <c r="AA703" s="7"/>
      <c r="AC703" s="7"/>
      <c r="AF703" s="7"/>
      <c r="AG703" s="7"/>
      <c r="AI703" s="7"/>
      <c r="AL703" s="1"/>
      <c r="AM703" s="1"/>
      <c r="AO703" s="1"/>
      <c r="AR703" s="1"/>
      <c r="AS703" s="1"/>
    </row>
    <row r="704" spans="9:45" x14ac:dyDescent="0.3">
      <c r="I704" s="7"/>
      <c r="K704" s="7"/>
      <c r="N704" s="7"/>
      <c r="O704" s="7"/>
      <c r="Q704" s="7"/>
      <c r="T704" s="7"/>
      <c r="U704" s="7"/>
      <c r="W704" s="7"/>
      <c r="Z704" s="7"/>
      <c r="AA704" s="7"/>
      <c r="AC704" s="7"/>
      <c r="AF704" s="7"/>
      <c r="AG704" s="7"/>
      <c r="AI704" s="7"/>
      <c r="AL704" s="1"/>
      <c r="AM704" s="1"/>
      <c r="AO704" s="1"/>
      <c r="AR704" s="1"/>
      <c r="AS704" s="1"/>
    </row>
    <row r="705" spans="9:45" x14ac:dyDescent="0.3">
      <c r="I705" s="7"/>
      <c r="K705" s="7"/>
      <c r="N705" s="7"/>
      <c r="O705" s="7"/>
      <c r="Q705" s="7"/>
      <c r="T705" s="7"/>
      <c r="U705" s="7"/>
      <c r="W705" s="7"/>
      <c r="Z705" s="7"/>
      <c r="AA705" s="7"/>
      <c r="AC705" s="7"/>
      <c r="AF705" s="7"/>
      <c r="AG705" s="7"/>
      <c r="AI705" s="7"/>
      <c r="AL705" s="1"/>
      <c r="AM705" s="1"/>
      <c r="AO705" s="1"/>
      <c r="AR705" s="1"/>
      <c r="AS705" s="1"/>
    </row>
    <row r="706" spans="9:45" x14ac:dyDescent="0.3">
      <c r="I706" s="7"/>
      <c r="K706" s="7"/>
      <c r="N706" s="7"/>
      <c r="O706" s="7"/>
      <c r="Q706" s="7"/>
      <c r="T706" s="7"/>
      <c r="U706" s="7"/>
      <c r="W706" s="7"/>
      <c r="Z706" s="7"/>
      <c r="AA706" s="7"/>
      <c r="AC706" s="7"/>
      <c r="AF706" s="7"/>
      <c r="AG706" s="7"/>
      <c r="AI706" s="7"/>
      <c r="AL706" s="1"/>
      <c r="AM706" s="1"/>
      <c r="AO706" s="1"/>
      <c r="AR706" s="1"/>
      <c r="AS706" s="1"/>
    </row>
    <row r="707" spans="9:45" x14ac:dyDescent="0.3">
      <c r="I707" s="7"/>
      <c r="K707" s="7"/>
      <c r="N707" s="7"/>
      <c r="O707" s="7"/>
      <c r="Q707" s="7"/>
      <c r="T707" s="7"/>
      <c r="U707" s="7"/>
      <c r="W707" s="7"/>
      <c r="Z707" s="7"/>
      <c r="AA707" s="7"/>
      <c r="AC707" s="7"/>
      <c r="AF707" s="7"/>
      <c r="AG707" s="7"/>
      <c r="AI707" s="7"/>
      <c r="AL707" s="1"/>
      <c r="AM707" s="1"/>
      <c r="AO707" s="1"/>
      <c r="AR707" s="1"/>
      <c r="AS707" s="1"/>
    </row>
    <row r="708" spans="9:45" x14ac:dyDescent="0.3">
      <c r="I708" s="7"/>
      <c r="K708" s="7"/>
      <c r="N708" s="7"/>
      <c r="O708" s="7"/>
      <c r="Q708" s="7"/>
      <c r="T708" s="7"/>
      <c r="U708" s="7"/>
      <c r="W708" s="7"/>
      <c r="Z708" s="7"/>
      <c r="AA708" s="7"/>
      <c r="AC708" s="7"/>
      <c r="AF708" s="7"/>
      <c r="AG708" s="7"/>
      <c r="AI708" s="7"/>
      <c r="AL708" s="1"/>
      <c r="AM708" s="1"/>
      <c r="AO708" s="1"/>
      <c r="AR708" s="1"/>
      <c r="AS708" s="1"/>
    </row>
    <row r="709" spans="9:45" x14ac:dyDescent="0.3">
      <c r="I709" s="7"/>
      <c r="K709" s="7"/>
      <c r="N709" s="7"/>
      <c r="O709" s="7"/>
      <c r="Q709" s="7"/>
      <c r="T709" s="7"/>
      <c r="U709" s="7"/>
      <c r="W709" s="7"/>
      <c r="Z709" s="7"/>
      <c r="AA709" s="7"/>
      <c r="AC709" s="7"/>
      <c r="AF709" s="7"/>
      <c r="AG709" s="7"/>
      <c r="AI709" s="7"/>
      <c r="AL709" s="1"/>
      <c r="AM709" s="1"/>
      <c r="AO709" s="1"/>
      <c r="AR709" s="1"/>
      <c r="AS709" s="1"/>
    </row>
    <row r="710" spans="9:45" x14ac:dyDescent="0.3">
      <c r="I710" s="7"/>
      <c r="K710" s="7"/>
      <c r="N710" s="7"/>
      <c r="O710" s="7"/>
      <c r="Q710" s="7"/>
      <c r="T710" s="7"/>
      <c r="U710" s="7"/>
      <c r="W710" s="7"/>
      <c r="Z710" s="7"/>
      <c r="AA710" s="7"/>
      <c r="AC710" s="7"/>
      <c r="AF710" s="7"/>
      <c r="AG710" s="7"/>
      <c r="AI710" s="7"/>
      <c r="AL710" s="1"/>
      <c r="AM710" s="1"/>
      <c r="AO710" s="1"/>
      <c r="AR710" s="1"/>
      <c r="AS710" s="1"/>
    </row>
    <row r="711" spans="9:45" x14ac:dyDescent="0.3">
      <c r="I711" s="7"/>
      <c r="K711" s="7"/>
      <c r="N711" s="7"/>
      <c r="O711" s="7"/>
      <c r="Q711" s="7"/>
      <c r="T711" s="7"/>
      <c r="U711" s="7"/>
      <c r="W711" s="7"/>
      <c r="Z711" s="7"/>
      <c r="AA711" s="7"/>
      <c r="AC711" s="7"/>
      <c r="AF711" s="7"/>
      <c r="AG711" s="7"/>
      <c r="AI711" s="7"/>
      <c r="AL711" s="1"/>
      <c r="AM711" s="1"/>
      <c r="AO711" s="1"/>
      <c r="AR711" s="1"/>
      <c r="AS711" s="1"/>
    </row>
    <row r="712" spans="9:45" x14ac:dyDescent="0.3">
      <c r="I712" s="7"/>
      <c r="K712" s="7"/>
      <c r="N712" s="7"/>
      <c r="O712" s="7"/>
      <c r="Q712" s="7"/>
      <c r="T712" s="7"/>
      <c r="U712" s="7"/>
      <c r="W712" s="7"/>
      <c r="Z712" s="7"/>
      <c r="AA712" s="7"/>
      <c r="AC712" s="7"/>
      <c r="AF712" s="7"/>
      <c r="AG712" s="7"/>
      <c r="AI712" s="7"/>
      <c r="AL712" s="1"/>
      <c r="AM712" s="1"/>
      <c r="AO712" s="1"/>
      <c r="AR712" s="1"/>
      <c r="AS712" s="1"/>
    </row>
    <row r="713" spans="9:45" x14ac:dyDescent="0.3">
      <c r="I713" s="7"/>
      <c r="K713" s="7"/>
      <c r="N713" s="7"/>
      <c r="O713" s="7"/>
      <c r="Q713" s="7"/>
      <c r="T713" s="7"/>
      <c r="U713" s="7"/>
      <c r="W713" s="7"/>
      <c r="Z713" s="7"/>
      <c r="AA713" s="7"/>
      <c r="AC713" s="7"/>
      <c r="AF713" s="7"/>
      <c r="AG713" s="7"/>
      <c r="AI713" s="7"/>
      <c r="AL713" s="1"/>
      <c r="AM713" s="1"/>
      <c r="AO713" s="1"/>
      <c r="AR713" s="1"/>
      <c r="AS713" s="1"/>
    </row>
    <row r="714" spans="9:45" x14ac:dyDescent="0.3">
      <c r="I714" s="7"/>
      <c r="K714" s="7"/>
      <c r="N714" s="7"/>
      <c r="O714" s="7"/>
      <c r="Q714" s="7"/>
      <c r="T714" s="7"/>
      <c r="U714" s="7"/>
      <c r="W714" s="7"/>
      <c r="Z714" s="7"/>
      <c r="AA714" s="7"/>
      <c r="AC714" s="7"/>
      <c r="AF714" s="7"/>
      <c r="AG714" s="7"/>
      <c r="AI714" s="7"/>
      <c r="AL714" s="1"/>
      <c r="AM714" s="1"/>
      <c r="AO714" s="1"/>
      <c r="AR714" s="1"/>
      <c r="AS714" s="1"/>
    </row>
    <row r="715" spans="9:45" x14ac:dyDescent="0.3">
      <c r="I715" s="7"/>
      <c r="K715" s="7"/>
      <c r="N715" s="7"/>
      <c r="O715" s="7"/>
      <c r="Q715" s="7"/>
      <c r="T715" s="7"/>
      <c r="U715" s="7"/>
      <c r="W715" s="7"/>
      <c r="Z715" s="7"/>
      <c r="AA715" s="7"/>
      <c r="AC715" s="7"/>
      <c r="AF715" s="7"/>
      <c r="AG715" s="7"/>
      <c r="AI715" s="7"/>
      <c r="AL715" s="1"/>
      <c r="AM715" s="1"/>
      <c r="AO715" s="1"/>
      <c r="AR715" s="1"/>
      <c r="AS715" s="1"/>
    </row>
    <row r="716" spans="9:45" x14ac:dyDescent="0.3">
      <c r="I716" s="7"/>
      <c r="K716" s="7"/>
      <c r="N716" s="7"/>
      <c r="O716" s="7"/>
      <c r="Q716" s="7"/>
      <c r="T716" s="7"/>
      <c r="U716" s="7"/>
      <c r="W716" s="7"/>
      <c r="Z716" s="7"/>
      <c r="AA716" s="7"/>
      <c r="AC716" s="7"/>
      <c r="AF716" s="7"/>
      <c r="AG716" s="7"/>
      <c r="AI716" s="7"/>
      <c r="AL716" s="1"/>
      <c r="AM716" s="1"/>
      <c r="AO716" s="1"/>
      <c r="AR716" s="1"/>
      <c r="AS716" s="1"/>
    </row>
    <row r="717" spans="9:45" x14ac:dyDescent="0.3">
      <c r="I717" s="7"/>
      <c r="K717" s="7"/>
      <c r="N717" s="7"/>
      <c r="O717" s="7"/>
      <c r="Q717" s="7"/>
      <c r="T717" s="7"/>
      <c r="U717" s="7"/>
      <c r="W717" s="7"/>
      <c r="Z717" s="7"/>
      <c r="AA717" s="7"/>
      <c r="AC717" s="7"/>
      <c r="AF717" s="7"/>
      <c r="AG717" s="7"/>
      <c r="AI717" s="7"/>
      <c r="AL717" s="1"/>
      <c r="AM717" s="1"/>
      <c r="AO717" s="1"/>
      <c r="AR717" s="1"/>
      <c r="AS717" s="1"/>
    </row>
    <row r="718" spans="9:45" x14ac:dyDescent="0.3">
      <c r="I718" s="7"/>
      <c r="K718" s="7"/>
      <c r="N718" s="7"/>
      <c r="O718" s="7"/>
      <c r="Q718" s="7"/>
      <c r="T718" s="7"/>
      <c r="U718" s="7"/>
      <c r="W718" s="7"/>
      <c r="Z718" s="7"/>
      <c r="AA718" s="7"/>
      <c r="AC718" s="7"/>
      <c r="AF718" s="7"/>
      <c r="AG718" s="7"/>
      <c r="AI718" s="7"/>
      <c r="AL718" s="1"/>
      <c r="AM718" s="1"/>
      <c r="AO718" s="1"/>
      <c r="AR718" s="1"/>
      <c r="AS718" s="1"/>
    </row>
    <row r="719" spans="9:45" x14ac:dyDescent="0.3">
      <c r="I719" s="7"/>
      <c r="K719" s="7"/>
      <c r="N719" s="7"/>
      <c r="O719" s="7"/>
      <c r="Q719" s="7"/>
      <c r="T719" s="7"/>
      <c r="U719" s="7"/>
      <c r="W719" s="7"/>
      <c r="Z719" s="7"/>
      <c r="AA719" s="7"/>
      <c r="AC719" s="7"/>
      <c r="AF719" s="7"/>
      <c r="AG719" s="7"/>
      <c r="AI719" s="7"/>
      <c r="AL719" s="1"/>
      <c r="AM719" s="1"/>
      <c r="AO719" s="1"/>
      <c r="AR719" s="1"/>
      <c r="AS719" s="1"/>
    </row>
    <row r="720" spans="9:45" x14ac:dyDescent="0.3">
      <c r="I720" s="7"/>
      <c r="K720" s="7"/>
      <c r="N720" s="7"/>
      <c r="O720" s="7"/>
      <c r="Q720" s="7"/>
      <c r="T720" s="7"/>
      <c r="U720" s="7"/>
      <c r="W720" s="7"/>
      <c r="Z720" s="7"/>
      <c r="AA720" s="7"/>
      <c r="AC720" s="7"/>
      <c r="AF720" s="7"/>
      <c r="AG720" s="7"/>
      <c r="AI720" s="7"/>
      <c r="AL720" s="1"/>
      <c r="AM720" s="1"/>
      <c r="AO720" s="1"/>
      <c r="AR720" s="1"/>
      <c r="AS720" s="1"/>
    </row>
    <row r="721" spans="9:45" x14ac:dyDescent="0.3">
      <c r="I721" s="7"/>
      <c r="K721" s="7"/>
      <c r="N721" s="7"/>
      <c r="O721" s="7"/>
      <c r="Q721" s="7"/>
      <c r="T721" s="7"/>
      <c r="U721" s="7"/>
      <c r="W721" s="7"/>
      <c r="Z721" s="7"/>
      <c r="AA721" s="7"/>
      <c r="AC721" s="7"/>
      <c r="AF721" s="7"/>
      <c r="AG721" s="7"/>
      <c r="AI721" s="7"/>
      <c r="AL721" s="1"/>
      <c r="AM721" s="1"/>
      <c r="AO721" s="1"/>
      <c r="AR721" s="1"/>
      <c r="AS721" s="1"/>
    </row>
    <row r="722" spans="9:45" x14ac:dyDescent="0.3">
      <c r="I722" s="7"/>
      <c r="K722" s="7"/>
      <c r="N722" s="7"/>
      <c r="O722" s="7"/>
      <c r="Q722" s="7"/>
      <c r="T722" s="7"/>
      <c r="U722" s="7"/>
      <c r="W722" s="7"/>
      <c r="Z722" s="7"/>
      <c r="AA722" s="7"/>
      <c r="AC722" s="7"/>
      <c r="AF722" s="7"/>
      <c r="AG722" s="7"/>
      <c r="AI722" s="7"/>
      <c r="AL722" s="1"/>
      <c r="AM722" s="1"/>
      <c r="AO722" s="1"/>
      <c r="AR722" s="1"/>
      <c r="AS722" s="1"/>
    </row>
    <row r="723" spans="9:45" x14ac:dyDescent="0.3">
      <c r="I723" s="7"/>
      <c r="K723" s="7"/>
      <c r="N723" s="7"/>
      <c r="O723" s="7"/>
      <c r="Q723" s="7"/>
      <c r="T723" s="7"/>
      <c r="U723" s="7"/>
      <c r="W723" s="7"/>
      <c r="Z723" s="7"/>
      <c r="AA723" s="7"/>
      <c r="AC723" s="7"/>
      <c r="AF723" s="7"/>
      <c r="AG723" s="7"/>
      <c r="AI723" s="7"/>
      <c r="AL723" s="1"/>
      <c r="AM723" s="1"/>
      <c r="AO723" s="1"/>
      <c r="AR723" s="1"/>
      <c r="AS723" s="1"/>
    </row>
    <row r="724" spans="9:45" x14ac:dyDescent="0.3">
      <c r="I724" s="7"/>
      <c r="K724" s="7"/>
      <c r="N724" s="7"/>
      <c r="O724" s="7"/>
      <c r="Q724" s="7"/>
      <c r="T724" s="7"/>
      <c r="U724" s="7"/>
      <c r="W724" s="7"/>
      <c r="Z724" s="7"/>
      <c r="AA724" s="7"/>
      <c r="AC724" s="7"/>
      <c r="AF724" s="7"/>
      <c r="AG724" s="7"/>
      <c r="AI724" s="7"/>
      <c r="AL724" s="1"/>
      <c r="AM724" s="1"/>
      <c r="AO724" s="1"/>
      <c r="AR724" s="1"/>
      <c r="AS724" s="1"/>
    </row>
    <row r="725" spans="9:45" x14ac:dyDescent="0.3">
      <c r="I725" s="7"/>
      <c r="K725" s="7"/>
      <c r="N725" s="7"/>
      <c r="O725" s="7"/>
      <c r="Q725" s="7"/>
      <c r="T725" s="7"/>
      <c r="U725" s="7"/>
      <c r="W725" s="7"/>
      <c r="Z725" s="7"/>
      <c r="AA725" s="7"/>
      <c r="AC725" s="7"/>
      <c r="AF725" s="7"/>
      <c r="AG725" s="7"/>
      <c r="AI725" s="7"/>
      <c r="AL725" s="1"/>
      <c r="AM725" s="1"/>
      <c r="AO725" s="1"/>
      <c r="AR725" s="1"/>
      <c r="AS725" s="1"/>
    </row>
    <row r="726" spans="9:45" x14ac:dyDescent="0.3">
      <c r="I726" s="7"/>
      <c r="K726" s="7"/>
      <c r="N726" s="7"/>
      <c r="O726" s="7"/>
      <c r="Q726" s="7"/>
      <c r="T726" s="7"/>
      <c r="U726" s="7"/>
      <c r="W726" s="7"/>
      <c r="Z726" s="7"/>
      <c r="AA726" s="7"/>
      <c r="AC726" s="7"/>
      <c r="AF726" s="7"/>
      <c r="AG726" s="7"/>
      <c r="AI726" s="7"/>
      <c r="AL726" s="1"/>
      <c r="AM726" s="1"/>
      <c r="AO726" s="1"/>
      <c r="AR726" s="1"/>
      <c r="AS726" s="1"/>
    </row>
    <row r="727" spans="9:45" x14ac:dyDescent="0.3">
      <c r="I727" s="7"/>
      <c r="K727" s="7"/>
      <c r="N727" s="7"/>
      <c r="O727" s="7"/>
      <c r="Q727" s="7"/>
      <c r="T727" s="7"/>
      <c r="U727" s="7"/>
      <c r="W727" s="7"/>
      <c r="Z727" s="7"/>
      <c r="AA727" s="7"/>
      <c r="AC727" s="7"/>
      <c r="AF727" s="7"/>
      <c r="AG727" s="7"/>
      <c r="AI727" s="7"/>
      <c r="AL727" s="1"/>
      <c r="AM727" s="1"/>
      <c r="AO727" s="1"/>
      <c r="AR727" s="1"/>
      <c r="AS727" s="1"/>
    </row>
    <row r="728" spans="9:45" x14ac:dyDescent="0.3">
      <c r="I728" s="7"/>
      <c r="K728" s="7"/>
      <c r="N728" s="7"/>
      <c r="O728" s="7"/>
      <c r="Q728" s="7"/>
      <c r="T728" s="7"/>
      <c r="U728" s="7"/>
      <c r="W728" s="7"/>
      <c r="Z728" s="7"/>
      <c r="AA728" s="7"/>
      <c r="AC728" s="7"/>
      <c r="AF728" s="7"/>
      <c r="AG728" s="7"/>
      <c r="AI728" s="7"/>
      <c r="AL728" s="1"/>
      <c r="AM728" s="1"/>
      <c r="AO728" s="1"/>
      <c r="AR728" s="1"/>
      <c r="AS728" s="1"/>
    </row>
    <row r="729" spans="9:45" x14ac:dyDescent="0.3">
      <c r="I729" s="7"/>
      <c r="K729" s="7"/>
      <c r="N729" s="7"/>
      <c r="O729" s="7"/>
      <c r="Q729" s="7"/>
      <c r="T729" s="7"/>
      <c r="U729" s="7"/>
      <c r="W729" s="7"/>
      <c r="Z729" s="7"/>
      <c r="AA729" s="7"/>
      <c r="AC729" s="7"/>
      <c r="AF729" s="7"/>
      <c r="AG729" s="7"/>
      <c r="AI729" s="7"/>
      <c r="AL729" s="1"/>
      <c r="AM729" s="1"/>
      <c r="AO729" s="1"/>
      <c r="AR729" s="1"/>
      <c r="AS729" s="1"/>
    </row>
    <row r="730" spans="9:45" x14ac:dyDescent="0.3">
      <c r="I730" s="7"/>
      <c r="K730" s="7"/>
      <c r="N730" s="7"/>
      <c r="O730" s="7"/>
      <c r="Q730" s="7"/>
      <c r="T730" s="7"/>
      <c r="U730" s="7"/>
      <c r="W730" s="7"/>
      <c r="Z730" s="7"/>
      <c r="AA730" s="7"/>
      <c r="AC730" s="7"/>
      <c r="AF730" s="7"/>
      <c r="AG730" s="7"/>
      <c r="AI730" s="7"/>
      <c r="AL730" s="1"/>
      <c r="AM730" s="1"/>
      <c r="AO730" s="1"/>
      <c r="AR730" s="1"/>
      <c r="AS730" s="1"/>
    </row>
    <row r="731" spans="9:45" x14ac:dyDescent="0.3">
      <c r="I731" s="7"/>
      <c r="K731" s="7"/>
      <c r="N731" s="7"/>
      <c r="O731" s="7"/>
      <c r="Q731" s="7"/>
      <c r="T731" s="7"/>
      <c r="U731" s="7"/>
      <c r="W731" s="7"/>
      <c r="Z731" s="7"/>
      <c r="AA731" s="7"/>
      <c r="AC731" s="7"/>
      <c r="AF731" s="7"/>
      <c r="AG731" s="7"/>
      <c r="AI731" s="7"/>
      <c r="AL731" s="1"/>
      <c r="AM731" s="1"/>
      <c r="AO731" s="1"/>
      <c r="AR731" s="1"/>
      <c r="AS731" s="1"/>
    </row>
    <row r="732" spans="9:45" x14ac:dyDescent="0.3">
      <c r="I732" s="7"/>
      <c r="K732" s="7"/>
      <c r="N732" s="7"/>
      <c r="O732" s="7"/>
      <c r="Q732" s="7"/>
      <c r="T732" s="7"/>
      <c r="U732" s="7"/>
      <c r="W732" s="7"/>
      <c r="Z732" s="7"/>
      <c r="AA732" s="7"/>
      <c r="AC732" s="7"/>
      <c r="AF732" s="7"/>
      <c r="AG732" s="7"/>
      <c r="AI732" s="7"/>
      <c r="AL732" s="1"/>
      <c r="AM732" s="1"/>
      <c r="AO732" s="1"/>
      <c r="AR732" s="1"/>
      <c r="AS732" s="1"/>
    </row>
    <row r="733" spans="9:45" x14ac:dyDescent="0.3">
      <c r="I733" s="7"/>
      <c r="K733" s="7"/>
      <c r="N733" s="7"/>
      <c r="O733" s="7"/>
      <c r="Q733" s="7"/>
      <c r="T733" s="7"/>
      <c r="U733" s="7"/>
      <c r="W733" s="7"/>
      <c r="Z733" s="7"/>
      <c r="AA733" s="7"/>
      <c r="AC733" s="7"/>
      <c r="AF733" s="7"/>
      <c r="AG733" s="7"/>
      <c r="AI733" s="7"/>
      <c r="AL733" s="1"/>
      <c r="AM733" s="1"/>
      <c r="AO733" s="1"/>
      <c r="AR733" s="1"/>
      <c r="AS733" s="1"/>
    </row>
    <row r="734" spans="9:45" x14ac:dyDescent="0.3">
      <c r="I734" s="7"/>
      <c r="K734" s="7"/>
      <c r="N734" s="7"/>
      <c r="O734" s="7"/>
      <c r="Q734" s="7"/>
      <c r="T734" s="7"/>
      <c r="U734" s="7"/>
      <c r="W734" s="7"/>
      <c r="Z734" s="7"/>
      <c r="AA734" s="7"/>
      <c r="AC734" s="7"/>
      <c r="AF734" s="7"/>
      <c r="AG734" s="7"/>
      <c r="AI734" s="7"/>
      <c r="AL734" s="1"/>
      <c r="AM734" s="1"/>
      <c r="AO734" s="1"/>
      <c r="AR734" s="1"/>
      <c r="AS734" s="1"/>
    </row>
    <row r="735" spans="9:45" x14ac:dyDescent="0.3">
      <c r="I735" s="7"/>
      <c r="K735" s="7"/>
      <c r="N735" s="7"/>
      <c r="O735" s="7"/>
      <c r="Q735" s="7"/>
      <c r="T735" s="7"/>
      <c r="U735" s="7"/>
      <c r="W735" s="7"/>
      <c r="Z735" s="7"/>
      <c r="AA735" s="7"/>
      <c r="AC735" s="7"/>
      <c r="AF735" s="7"/>
      <c r="AG735" s="7"/>
      <c r="AI735" s="7"/>
      <c r="AL735" s="1"/>
      <c r="AM735" s="1"/>
      <c r="AO735" s="1"/>
      <c r="AR735" s="1"/>
      <c r="AS735" s="1"/>
    </row>
    <row r="736" spans="9:45" x14ac:dyDescent="0.3">
      <c r="I736" s="7"/>
      <c r="K736" s="7"/>
      <c r="N736" s="7"/>
      <c r="O736" s="7"/>
      <c r="Q736" s="7"/>
      <c r="T736" s="7"/>
      <c r="U736" s="7"/>
      <c r="W736" s="7"/>
      <c r="Z736" s="7"/>
      <c r="AA736" s="7"/>
      <c r="AC736" s="7"/>
      <c r="AF736" s="7"/>
      <c r="AG736" s="7"/>
      <c r="AI736" s="7"/>
      <c r="AL736" s="1"/>
      <c r="AM736" s="1"/>
      <c r="AO736" s="1"/>
      <c r="AR736" s="1"/>
      <c r="AS736" s="1"/>
    </row>
    <row r="737" spans="9:45" x14ac:dyDescent="0.3">
      <c r="I737" s="7"/>
      <c r="K737" s="7"/>
      <c r="N737" s="7"/>
      <c r="O737" s="7"/>
      <c r="Q737" s="7"/>
      <c r="T737" s="7"/>
      <c r="U737" s="7"/>
      <c r="W737" s="7"/>
      <c r="Z737" s="7"/>
      <c r="AA737" s="7"/>
      <c r="AC737" s="7"/>
      <c r="AF737" s="7"/>
      <c r="AG737" s="7"/>
      <c r="AI737" s="7"/>
      <c r="AL737" s="1"/>
      <c r="AM737" s="1"/>
      <c r="AO737" s="1"/>
      <c r="AR737" s="1"/>
      <c r="AS737" s="1"/>
    </row>
    <row r="738" spans="9:45" x14ac:dyDescent="0.3">
      <c r="I738" s="7"/>
      <c r="K738" s="7"/>
      <c r="N738" s="7"/>
      <c r="O738" s="7"/>
      <c r="Q738" s="7"/>
      <c r="T738" s="7"/>
      <c r="U738" s="7"/>
      <c r="W738" s="7"/>
      <c r="Z738" s="7"/>
      <c r="AA738" s="7"/>
      <c r="AC738" s="7"/>
      <c r="AF738" s="7"/>
      <c r="AG738" s="7"/>
      <c r="AI738" s="7"/>
      <c r="AL738" s="1"/>
      <c r="AM738" s="1"/>
      <c r="AO738" s="1"/>
      <c r="AR738" s="1"/>
      <c r="AS738" s="1"/>
    </row>
    <row r="739" spans="9:45" x14ac:dyDescent="0.3">
      <c r="I739" s="7"/>
      <c r="K739" s="7"/>
      <c r="N739" s="7"/>
      <c r="O739" s="7"/>
      <c r="Q739" s="7"/>
      <c r="T739" s="7"/>
      <c r="U739" s="7"/>
      <c r="W739" s="7"/>
      <c r="Z739" s="7"/>
      <c r="AA739" s="7"/>
      <c r="AC739" s="7"/>
      <c r="AF739" s="7"/>
      <c r="AG739" s="7"/>
      <c r="AI739" s="7"/>
      <c r="AL739" s="1"/>
      <c r="AM739" s="1"/>
      <c r="AO739" s="1"/>
      <c r="AR739" s="1"/>
      <c r="AS739" s="1"/>
    </row>
    <row r="740" spans="9:45" x14ac:dyDescent="0.3">
      <c r="I740" s="7"/>
      <c r="K740" s="7"/>
      <c r="N740" s="7"/>
      <c r="O740" s="7"/>
      <c r="Q740" s="7"/>
      <c r="T740" s="7"/>
      <c r="U740" s="7"/>
      <c r="W740" s="7"/>
      <c r="Z740" s="7"/>
      <c r="AA740" s="7"/>
      <c r="AC740" s="7"/>
      <c r="AF740" s="7"/>
      <c r="AG740" s="7"/>
      <c r="AI740" s="7"/>
      <c r="AL740" s="1"/>
      <c r="AM740" s="1"/>
      <c r="AO740" s="1"/>
      <c r="AR740" s="1"/>
      <c r="AS740" s="1"/>
    </row>
    <row r="741" spans="9:45" x14ac:dyDescent="0.3">
      <c r="I741" s="7"/>
      <c r="K741" s="7"/>
      <c r="N741" s="7"/>
      <c r="O741" s="7"/>
      <c r="Q741" s="7"/>
      <c r="T741" s="7"/>
      <c r="U741" s="7"/>
      <c r="W741" s="7"/>
      <c r="Z741" s="7"/>
      <c r="AA741" s="7"/>
      <c r="AC741" s="7"/>
      <c r="AF741" s="7"/>
      <c r="AG741" s="7"/>
      <c r="AI741" s="7"/>
      <c r="AL741" s="1"/>
      <c r="AM741" s="1"/>
      <c r="AO741" s="1"/>
      <c r="AR741" s="1"/>
      <c r="AS741" s="1"/>
    </row>
    <row r="742" spans="9:45" x14ac:dyDescent="0.3">
      <c r="I742" s="7"/>
      <c r="K742" s="7"/>
      <c r="N742" s="7"/>
      <c r="O742" s="7"/>
      <c r="Q742" s="7"/>
      <c r="T742" s="7"/>
      <c r="U742" s="7"/>
      <c r="W742" s="7"/>
      <c r="Z742" s="7"/>
      <c r="AA742" s="7"/>
      <c r="AC742" s="7"/>
      <c r="AF742" s="7"/>
      <c r="AG742" s="7"/>
      <c r="AI742" s="7"/>
      <c r="AL742" s="1"/>
      <c r="AM742" s="1"/>
      <c r="AO742" s="1"/>
      <c r="AR742" s="1"/>
      <c r="AS742" s="1"/>
    </row>
    <row r="743" spans="9:45" x14ac:dyDescent="0.3">
      <c r="I743" s="7"/>
      <c r="K743" s="7"/>
      <c r="N743" s="7"/>
      <c r="O743" s="7"/>
      <c r="Q743" s="7"/>
      <c r="T743" s="7"/>
      <c r="U743" s="7"/>
      <c r="W743" s="7"/>
      <c r="Z743" s="7"/>
      <c r="AA743" s="7"/>
      <c r="AC743" s="7"/>
      <c r="AF743" s="7"/>
      <c r="AG743" s="7"/>
      <c r="AI743" s="7"/>
      <c r="AL743" s="1"/>
      <c r="AM743" s="1"/>
      <c r="AO743" s="1"/>
      <c r="AR743" s="1"/>
      <c r="AS743" s="1"/>
    </row>
    <row r="744" spans="9:45" x14ac:dyDescent="0.3">
      <c r="I744" s="7"/>
      <c r="K744" s="7"/>
      <c r="N744" s="7"/>
      <c r="O744" s="7"/>
      <c r="Q744" s="7"/>
      <c r="T744" s="7"/>
      <c r="U744" s="7"/>
      <c r="W744" s="7"/>
      <c r="Z744" s="7"/>
      <c r="AA744" s="7"/>
      <c r="AC744" s="7"/>
      <c r="AF744" s="7"/>
      <c r="AG744" s="7"/>
      <c r="AI744" s="7"/>
      <c r="AL744" s="1"/>
      <c r="AM744" s="1"/>
      <c r="AO744" s="1"/>
      <c r="AR744" s="1"/>
      <c r="AS744" s="1"/>
    </row>
    <row r="745" spans="9:45" x14ac:dyDescent="0.3">
      <c r="I745" s="7"/>
      <c r="K745" s="7"/>
      <c r="N745" s="7"/>
      <c r="O745" s="7"/>
      <c r="Q745" s="7"/>
      <c r="T745" s="7"/>
      <c r="U745" s="7"/>
      <c r="W745" s="7"/>
      <c r="Z745" s="7"/>
      <c r="AA745" s="7"/>
      <c r="AC745" s="7"/>
      <c r="AF745" s="7"/>
      <c r="AG745" s="7"/>
      <c r="AI745" s="7"/>
      <c r="AL745" s="1"/>
      <c r="AM745" s="1"/>
      <c r="AO745" s="1"/>
      <c r="AR745" s="1"/>
      <c r="AS745" s="1"/>
    </row>
    <row r="746" spans="9:45" x14ac:dyDescent="0.3">
      <c r="I746" s="7"/>
      <c r="K746" s="7"/>
      <c r="N746" s="7"/>
      <c r="O746" s="7"/>
      <c r="Q746" s="7"/>
      <c r="T746" s="7"/>
      <c r="U746" s="7"/>
      <c r="W746" s="7"/>
      <c r="Z746" s="7"/>
      <c r="AA746" s="7"/>
      <c r="AC746" s="7"/>
      <c r="AF746" s="7"/>
      <c r="AG746" s="7"/>
      <c r="AI746" s="7"/>
      <c r="AL746" s="1"/>
      <c r="AM746" s="1"/>
      <c r="AO746" s="1"/>
      <c r="AR746" s="1"/>
      <c r="AS746" s="1"/>
    </row>
    <row r="747" spans="9:45" x14ac:dyDescent="0.3">
      <c r="I747" s="7"/>
      <c r="K747" s="7"/>
      <c r="N747" s="7"/>
      <c r="O747" s="7"/>
      <c r="Q747" s="7"/>
      <c r="T747" s="7"/>
      <c r="U747" s="7"/>
      <c r="W747" s="7"/>
      <c r="Z747" s="7"/>
      <c r="AA747" s="7"/>
      <c r="AC747" s="7"/>
      <c r="AF747" s="7"/>
      <c r="AG747" s="7"/>
      <c r="AI747" s="7"/>
      <c r="AL747" s="1"/>
      <c r="AM747" s="1"/>
      <c r="AO747" s="1"/>
      <c r="AR747" s="1"/>
      <c r="AS747" s="1"/>
    </row>
    <row r="748" spans="9:45" x14ac:dyDescent="0.3">
      <c r="I748" s="7"/>
      <c r="K748" s="7"/>
      <c r="N748" s="7"/>
      <c r="O748" s="7"/>
      <c r="Q748" s="7"/>
      <c r="T748" s="7"/>
      <c r="U748" s="7"/>
      <c r="W748" s="7"/>
      <c r="Z748" s="7"/>
      <c r="AA748" s="7"/>
      <c r="AC748" s="7"/>
      <c r="AF748" s="7"/>
      <c r="AG748" s="7"/>
      <c r="AI748" s="7"/>
      <c r="AL748" s="1"/>
      <c r="AM748" s="1"/>
      <c r="AO748" s="1"/>
      <c r="AR748" s="1"/>
      <c r="AS748" s="1"/>
    </row>
    <row r="749" spans="9:45" x14ac:dyDescent="0.3">
      <c r="I749" s="7"/>
      <c r="K749" s="7"/>
      <c r="N749" s="7"/>
      <c r="O749" s="7"/>
      <c r="Q749" s="7"/>
      <c r="T749" s="7"/>
      <c r="U749" s="7"/>
      <c r="W749" s="7"/>
      <c r="Z749" s="7"/>
      <c r="AA749" s="7"/>
      <c r="AC749" s="7"/>
      <c r="AF749" s="7"/>
      <c r="AG749" s="7"/>
      <c r="AI749" s="7"/>
      <c r="AL749" s="1"/>
      <c r="AM749" s="1"/>
      <c r="AO749" s="1"/>
      <c r="AR749" s="1"/>
      <c r="AS749" s="1"/>
    </row>
    <row r="750" spans="9:45" x14ac:dyDescent="0.3">
      <c r="I750" s="7"/>
      <c r="K750" s="7"/>
      <c r="N750" s="7"/>
      <c r="O750" s="7"/>
      <c r="Q750" s="7"/>
      <c r="T750" s="7"/>
      <c r="U750" s="7"/>
      <c r="W750" s="7"/>
      <c r="Z750" s="7"/>
      <c r="AA750" s="7"/>
      <c r="AC750" s="7"/>
      <c r="AF750" s="7"/>
      <c r="AG750" s="7"/>
      <c r="AI750" s="7"/>
      <c r="AL750" s="1"/>
      <c r="AM750" s="1"/>
      <c r="AO750" s="1"/>
      <c r="AR750" s="1"/>
      <c r="AS750" s="1"/>
    </row>
    <row r="751" spans="9:45" x14ac:dyDescent="0.3">
      <c r="I751" s="7"/>
      <c r="K751" s="7"/>
      <c r="N751" s="7"/>
      <c r="O751" s="7"/>
      <c r="Q751" s="7"/>
      <c r="T751" s="7"/>
      <c r="U751" s="7"/>
      <c r="W751" s="7"/>
      <c r="Z751" s="7"/>
      <c r="AA751" s="7"/>
      <c r="AC751" s="7"/>
      <c r="AF751" s="7"/>
      <c r="AG751" s="7"/>
      <c r="AI751" s="7"/>
      <c r="AL751" s="1"/>
      <c r="AM751" s="1"/>
      <c r="AO751" s="1"/>
      <c r="AR751" s="1"/>
      <c r="AS751" s="1"/>
    </row>
    <row r="752" spans="9:45" x14ac:dyDescent="0.3">
      <c r="I752" s="7"/>
      <c r="K752" s="7"/>
      <c r="N752" s="7"/>
      <c r="O752" s="7"/>
      <c r="Q752" s="7"/>
      <c r="T752" s="7"/>
      <c r="U752" s="7"/>
      <c r="W752" s="7"/>
      <c r="Z752" s="7"/>
      <c r="AA752" s="7"/>
      <c r="AC752" s="7"/>
      <c r="AF752" s="7"/>
      <c r="AG752" s="7"/>
      <c r="AI752" s="7"/>
      <c r="AL752" s="1"/>
      <c r="AM752" s="1"/>
      <c r="AO752" s="1"/>
      <c r="AR752" s="1"/>
      <c r="AS752" s="1"/>
    </row>
    <row r="753" spans="9:45" x14ac:dyDescent="0.3">
      <c r="I753" s="7"/>
      <c r="K753" s="7"/>
      <c r="N753" s="7"/>
      <c r="O753" s="7"/>
      <c r="Q753" s="7"/>
      <c r="T753" s="7"/>
      <c r="U753" s="7"/>
      <c r="W753" s="7"/>
      <c r="Z753" s="7"/>
      <c r="AA753" s="7"/>
      <c r="AC753" s="7"/>
      <c r="AF753" s="7"/>
      <c r="AG753" s="7"/>
      <c r="AI753" s="7"/>
      <c r="AL753" s="1"/>
      <c r="AM753" s="1"/>
      <c r="AO753" s="1"/>
      <c r="AR753" s="1"/>
      <c r="AS753" s="1"/>
    </row>
    <row r="754" spans="9:45" x14ac:dyDescent="0.3">
      <c r="I754" s="7"/>
      <c r="K754" s="7"/>
      <c r="N754" s="7"/>
      <c r="O754" s="7"/>
      <c r="Q754" s="7"/>
      <c r="T754" s="7"/>
      <c r="U754" s="7"/>
      <c r="W754" s="7"/>
      <c r="Z754" s="7"/>
      <c r="AA754" s="7"/>
      <c r="AC754" s="7"/>
      <c r="AF754" s="7"/>
      <c r="AG754" s="7"/>
      <c r="AI754" s="7"/>
      <c r="AL754" s="1"/>
      <c r="AM754" s="1"/>
      <c r="AO754" s="1"/>
      <c r="AR754" s="1"/>
      <c r="AS754" s="1"/>
    </row>
    <row r="755" spans="9:45" x14ac:dyDescent="0.3">
      <c r="I755" s="7"/>
      <c r="K755" s="7"/>
      <c r="N755" s="7"/>
      <c r="O755" s="7"/>
      <c r="Q755" s="7"/>
      <c r="T755" s="7"/>
      <c r="U755" s="7"/>
      <c r="W755" s="7"/>
      <c r="Z755" s="7"/>
      <c r="AA755" s="7"/>
      <c r="AC755" s="7"/>
      <c r="AF755" s="7"/>
      <c r="AG755" s="7"/>
      <c r="AI755" s="7"/>
      <c r="AL755" s="1"/>
      <c r="AM755" s="1"/>
      <c r="AO755" s="1"/>
      <c r="AR755" s="1"/>
      <c r="AS755" s="1"/>
    </row>
  </sheetData>
  <sheetProtection insertColumns="0" insertRows="0" deleteColumns="0" deleteRows="0"/>
  <mergeCells count="128">
    <mergeCell ref="C20:C22"/>
    <mergeCell ref="F155:F156"/>
    <mergeCell ref="G155:G156"/>
    <mergeCell ref="C155:C156"/>
    <mergeCell ref="E155:E156"/>
    <mergeCell ref="C175:C176"/>
    <mergeCell ref="C177:C178"/>
    <mergeCell ref="C128:C129"/>
    <mergeCell ref="C78:C79"/>
    <mergeCell ref="E97:E98"/>
    <mergeCell ref="F97:F98"/>
    <mergeCell ref="G97:G98"/>
    <mergeCell ref="C88:C89"/>
    <mergeCell ref="E88:E89"/>
    <mergeCell ref="F88:F89"/>
    <mergeCell ref="G88:G89"/>
    <mergeCell ref="C100:C101"/>
    <mergeCell ref="C135:C136"/>
    <mergeCell ref="E135:E136"/>
    <mergeCell ref="C113:C114"/>
    <mergeCell ref="F135:F136"/>
    <mergeCell ref="G135:G136"/>
    <mergeCell ref="E119:E120"/>
    <mergeCell ref="F119:F120"/>
    <mergeCell ref="C33:C34"/>
    <mergeCell ref="C59:C61"/>
    <mergeCell ref="C203:C204"/>
    <mergeCell ref="E38:E39"/>
    <mergeCell ref="F38:F39"/>
    <mergeCell ref="G38:G39"/>
    <mergeCell ref="C38:C39"/>
    <mergeCell ref="E84:E85"/>
    <mergeCell ref="F84:F85"/>
    <mergeCell ref="G84:G85"/>
    <mergeCell ref="E68:E69"/>
    <mergeCell ref="F68:F69"/>
    <mergeCell ref="G68:G69"/>
    <mergeCell ref="C40:C41"/>
    <mergeCell ref="C42:C43"/>
    <mergeCell ref="G119:G120"/>
    <mergeCell ref="C76:C77"/>
    <mergeCell ref="C187:C189"/>
    <mergeCell ref="C205:C206"/>
    <mergeCell ref="C207:C208"/>
    <mergeCell ref="C46:C47"/>
    <mergeCell ref="C51:C52"/>
    <mergeCell ref="C55:C56"/>
    <mergeCell ref="C80:C81"/>
    <mergeCell ref="C86:C87"/>
    <mergeCell ref="C144:C145"/>
    <mergeCell ref="C97:C98"/>
    <mergeCell ref="C119:C120"/>
    <mergeCell ref="C102:C104"/>
    <mergeCell ref="C131:C132"/>
    <mergeCell ref="C179:C180"/>
    <mergeCell ref="C170:C172"/>
    <mergeCell ref="C84:C85"/>
    <mergeCell ref="C68:C69"/>
    <mergeCell ref="C74:C75"/>
    <mergeCell ref="C48:C50"/>
    <mergeCell ref="C57:C58"/>
    <mergeCell ref="C71:C73"/>
    <mergeCell ref="C194:C195"/>
    <mergeCell ref="C196:C197"/>
    <mergeCell ref="C148:C149"/>
    <mergeCell ref="E31:E32"/>
    <mergeCell ref="F31:F32"/>
    <mergeCell ref="G31:G32"/>
    <mergeCell ref="E23:E24"/>
    <mergeCell ref="F23:F24"/>
    <mergeCell ref="G23:G24"/>
    <mergeCell ref="C26:C28"/>
    <mergeCell ref="E26:E27"/>
    <mergeCell ref="F26:F27"/>
    <mergeCell ref="G26:G27"/>
    <mergeCell ref="BL2:BQ2"/>
    <mergeCell ref="BR2:BW2"/>
    <mergeCell ref="BX2:CC2"/>
    <mergeCell ref="CD2:CD3"/>
    <mergeCell ref="C6:C7"/>
    <mergeCell ref="AB2:AG2"/>
    <mergeCell ref="AH2:AM2"/>
    <mergeCell ref="AN2:AS2"/>
    <mergeCell ref="AT2:AY2"/>
    <mergeCell ref="AZ2:BE2"/>
    <mergeCell ref="BF2:BK2"/>
    <mergeCell ref="G2:G3"/>
    <mergeCell ref="H2:H3"/>
    <mergeCell ref="I2:I3"/>
    <mergeCell ref="J2:O2"/>
    <mergeCell ref="P2:U2"/>
    <mergeCell ref="V2:AA2"/>
    <mergeCell ref="C4:C5"/>
    <mergeCell ref="D1:H1"/>
    <mergeCell ref="AR1:AS1"/>
    <mergeCell ref="BJ1:BK1"/>
    <mergeCell ref="B2:B3"/>
    <mergeCell ref="C2:C3"/>
    <mergeCell ref="D2:D3"/>
    <mergeCell ref="E2:E3"/>
    <mergeCell ref="F2:F3"/>
    <mergeCell ref="C15:C16"/>
    <mergeCell ref="C8:C10"/>
    <mergeCell ref="C11:C12"/>
    <mergeCell ref="E20:E21"/>
    <mergeCell ref="F20:F21"/>
    <mergeCell ref="G20:G21"/>
    <mergeCell ref="E33:E34"/>
    <mergeCell ref="C216:C217"/>
    <mergeCell ref="C190:C191"/>
    <mergeCell ref="C185:C186"/>
    <mergeCell ref="C139:C140"/>
    <mergeCell ref="C142:C143"/>
    <mergeCell ref="C160:C161"/>
    <mergeCell ref="C157:C158"/>
    <mergeCell ref="C181:C183"/>
    <mergeCell ref="C211:C212"/>
    <mergeCell ref="C209:C210"/>
    <mergeCell ref="C105:C107"/>
    <mergeCell ref="C117:C118"/>
    <mergeCell ref="F33:F34"/>
    <mergeCell ref="G33:G34"/>
    <mergeCell ref="C29:C30"/>
    <mergeCell ref="E29:E30"/>
    <mergeCell ref="F29:F30"/>
    <mergeCell ref="C23:C25"/>
    <mergeCell ref="G29:G30"/>
    <mergeCell ref="C31:C32"/>
  </mergeCells>
  <phoneticPr fontId="1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12" fitToHeight="0" orientation="landscape" r:id="rId1"/>
  <colBreaks count="1" manualBreakCount="1">
    <brk id="26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5C44-54A8-43C2-805A-97614B2169D3}">
  <dimension ref="A1:L41"/>
  <sheetViews>
    <sheetView topLeftCell="A10" zoomScaleNormal="100" zoomScaleSheetLayoutView="90" workbookViewId="0">
      <selection activeCell="I29" sqref="I29"/>
    </sheetView>
  </sheetViews>
  <sheetFormatPr defaultColWidth="9.109375" defaultRowHeight="14.4" x14ac:dyDescent="0.3"/>
  <cols>
    <col min="1" max="1" width="9.77734375" style="105" customWidth="1"/>
    <col min="2" max="2" width="32.109375" style="106" customWidth="1"/>
    <col min="3" max="7" width="12.77734375" style="105" customWidth="1"/>
    <col min="8" max="8" width="14.77734375" style="105" customWidth="1"/>
    <col min="9" max="11" width="26.77734375" style="117" customWidth="1"/>
    <col min="12" max="12" width="21.44140625" style="105" customWidth="1"/>
    <col min="13" max="16384" width="9.109375" style="105"/>
  </cols>
  <sheetData>
    <row r="1" spans="1:12" ht="18" x14ac:dyDescent="0.35">
      <c r="I1" s="107"/>
      <c r="J1" s="107"/>
      <c r="K1" s="107"/>
      <c r="L1" s="129" t="s">
        <v>430</v>
      </c>
    </row>
    <row r="3" spans="1:12" ht="18" x14ac:dyDescent="0.3">
      <c r="A3" s="211" t="s">
        <v>461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</row>
    <row r="5" spans="1:12" s="130" customFormat="1" ht="18" x14ac:dyDescent="0.3">
      <c r="A5" s="131" t="s">
        <v>460</v>
      </c>
      <c r="B5" s="132"/>
      <c r="I5" s="131"/>
      <c r="J5" s="131"/>
      <c r="K5" s="131"/>
    </row>
    <row r="6" spans="1:12" s="130" customFormat="1" ht="18" x14ac:dyDescent="0.3">
      <c r="A6" s="212" t="s">
        <v>459</v>
      </c>
      <c r="B6" s="212"/>
      <c r="C6" s="212"/>
      <c r="D6" s="212"/>
      <c r="E6" s="212"/>
      <c r="F6" s="212"/>
      <c r="I6" s="131"/>
      <c r="J6" s="131"/>
      <c r="K6" s="131"/>
    </row>
    <row r="8" spans="1:12" s="108" customFormat="1" ht="27" customHeight="1" x14ac:dyDescent="0.3">
      <c r="A8" s="213" t="s">
        <v>3</v>
      </c>
      <c r="B8" s="213" t="s">
        <v>4</v>
      </c>
      <c r="C8" s="213" t="s">
        <v>463</v>
      </c>
      <c r="D8" s="213" t="s">
        <v>431</v>
      </c>
      <c r="E8" s="213" t="s">
        <v>462</v>
      </c>
      <c r="F8" s="213" t="s">
        <v>432</v>
      </c>
      <c r="G8" s="216" t="s">
        <v>464</v>
      </c>
      <c r="H8" s="217"/>
      <c r="I8" s="213" t="s">
        <v>465</v>
      </c>
      <c r="J8" s="218" t="s">
        <v>466</v>
      </c>
      <c r="K8" s="213" t="s">
        <v>467</v>
      </c>
      <c r="L8" s="213" t="s">
        <v>468</v>
      </c>
    </row>
    <row r="9" spans="1:12" s="163" customFormat="1" ht="15.6" x14ac:dyDescent="0.3">
      <c r="A9" s="214"/>
      <c r="B9" s="214"/>
      <c r="C9" s="214"/>
      <c r="D9" s="214"/>
      <c r="E9" s="214"/>
      <c r="F9" s="214"/>
      <c r="G9" s="162" t="s">
        <v>433</v>
      </c>
      <c r="H9" s="162" t="s">
        <v>434</v>
      </c>
      <c r="I9" s="214"/>
      <c r="J9" s="215"/>
      <c r="K9" s="214"/>
      <c r="L9" s="215"/>
    </row>
    <row r="10" spans="1:12" s="139" customFormat="1" ht="90" customHeight="1" x14ac:dyDescent="0.25">
      <c r="A10" s="133" t="s">
        <v>94</v>
      </c>
      <c r="B10" s="134" t="s">
        <v>95</v>
      </c>
      <c r="C10" s="135">
        <v>2013</v>
      </c>
      <c r="D10" s="136" t="s">
        <v>435</v>
      </c>
      <c r="E10" s="136" t="s">
        <v>469</v>
      </c>
      <c r="F10" s="135">
        <v>44</v>
      </c>
      <c r="G10" s="137">
        <v>4.9000000000000004</v>
      </c>
      <c r="H10" s="137">
        <f t="shared" ref="H10:H20" si="0">SUM(F10*G10)</f>
        <v>215.60000000000002</v>
      </c>
      <c r="I10" s="142" t="s">
        <v>470</v>
      </c>
      <c r="J10" s="158"/>
      <c r="K10" s="158"/>
      <c r="L10" s="138"/>
    </row>
    <row r="11" spans="1:12" s="139" customFormat="1" ht="90" customHeight="1" x14ac:dyDescent="0.3">
      <c r="A11" s="133" t="s">
        <v>162</v>
      </c>
      <c r="B11" s="134" t="s">
        <v>163</v>
      </c>
      <c r="C11" s="135">
        <v>2015</v>
      </c>
      <c r="D11" s="136" t="s">
        <v>454</v>
      </c>
      <c r="E11" s="136" t="s">
        <v>471</v>
      </c>
      <c r="F11" s="135">
        <v>16</v>
      </c>
      <c r="G11" s="137">
        <v>13.8</v>
      </c>
      <c r="H11" s="137">
        <f t="shared" si="0"/>
        <v>220.8</v>
      </c>
      <c r="I11" s="142" t="s">
        <v>470</v>
      </c>
      <c r="J11" s="156"/>
      <c r="K11" s="156"/>
      <c r="L11" s="138"/>
    </row>
    <row r="12" spans="1:12" s="139" customFormat="1" ht="90" customHeight="1" x14ac:dyDescent="0.3">
      <c r="A12" s="133" t="s">
        <v>166</v>
      </c>
      <c r="B12" s="134" t="s">
        <v>167</v>
      </c>
      <c r="C12" s="135">
        <v>2015</v>
      </c>
      <c r="D12" s="136" t="s">
        <v>454</v>
      </c>
      <c r="E12" s="136" t="s">
        <v>471</v>
      </c>
      <c r="F12" s="135">
        <v>9</v>
      </c>
      <c r="G12" s="137">
        <v>13.8</v>
      </c>
      <c r="H12" s="137">
        <f t="shared" si="0"/>
        <v>124.2</v>
      </c>
      <c r="I12" s="142" t="s">
        <v>470</v>
      </c>
      <c r="J12" s="156"/>
      <c r="K12" s="156"/>
      <c r="L12" s="138"/>
    </row>
    <row r="13" spans="1:12" s="139" customFormat="1" ht="90" customHeight="1" x14ac:dyDescent="0.3">
      <c r="A13" s="133" t="s">
        <v>170</v>
      </c>
      <c r="B13" s="134" t="s">
        <v>171</v>
      </c>
      <c r="C13" s="135">
        <v>2015</v>
      </c>
      <c r="D13" s="136" t="s">
        <v>454</v>
      </c>
      <c r="E13" s="136" t="s">
        <v>471</v>
      </c>
      <c r="F13" s="135">
        <v>13</v>
      </c>
      <c r="G13" s="137">
        <v>16.8</v>
      </c>
      <c r="H13" s="137">
        <f t="shared" si="0"/>
        <v>218.4</v>
      </c>
      <c r="I13" s="142" t="s">
        <v>470</v>
      </c>
      <c r="J13" s="156"/>
      <c r="K13" s="156"/>
      <c r="L13" s="138"/>
    </row>
    <row r="14" spans="1:12" s="139" customFormat="1" ht="90" customHeight="1" x14ac:dyDescent="0.3">
      <c r="A14" s="133" t="s">
        <v>174</v>
      </c>
      <c r="B14" s="134" t="s">
        <v>175</v>
      </c>
      <c r="C14" s="135">
        <v>2015</v>
      </c>
      <c r="D14" s="136" t="s">
        <v>454</v>
      </c>
      <c r="E14" s="136" t="s">
        <v>471</v>
      </c>
      <c r="F14" s="135">
        <v>15</v>
      </c>
      <c r="G14" s="137">
        <v>13.8</v>
      </c>
      <c r="H14" s="137">
        <f t="shared" si="0"/>
        <v>207</v>
      </c>
      <c r="I14" s="142" t="s">
        <v>470</v>
      </c>
      <c r="J14" s="156"/>
      <c r="K14" s="156"/>
      <c r="L14" s="138"/>
    </row>
    <row r="15" spans="1:12" s="139" customFormat="1" ht="90" customHeight="1" x14ac:dyDescent="0.3">
      <c r="A15" s="133" t="s">
        <v>180</v>
      </c>
      <c r="B15" s="134" t="s">
        <v>181</v>
      </c>
      <c r="C15" s="135">
        <v>2015</v>
      </c>
      <c r="D15" s="136" t="s">
        <v>454</v>
      </c>
      <c r="E15" s="136" t="s">
        <v>471</v>
      </c>
      <c r="F15" s="135">
        <v>9</v>
      </c>
      <c r="G15" s="137">
        <v>16.7</v>
      </c>
      <c r="H15" s="137">
        <f t="shared" si="0"/>
        <v>150.29999999999998</v>
      </c>
      <c r="I15" s="142" t="s">
        <v>470</v>
      </c>
      <c r="J15" s="156"/>
      <c r="K15" s="156"/>
      <c r="L15" s="138"/>
    </row>
    <row r="16" spans="1:12" s="139" customFormat="1" ht="90" customHeight="1" x14ac:dyDescent="0.3">
      <c r="A16" s="133" t="s">
        <v>183</v>
      </c>
      <c r="B16" s="134" t="s">
        <v>453</v>
      </c>
      <c r="C16" s="135">
        <v>2015</v>
      </c>
      <c r="D16" s="136" t="s">
        <v>454</v>
      </c>
      <c r="E16" s="136" t="s">
        <v>471</v>
      </c>
      <c r="F16" s="135">
        <v>12</v>
      </c>
      <c r="G16" s="137">
        <v>16.8</v>
      </c>
      <c r="H16" s="137">
        <f t="shared" si="0"/>
        <v>201.60000000000002</v>
      </c>
      <c r="I16" s="142" t="s">
        <v>470</v>
      </c>
      <c r="J16" s="156"/>
      <c r="K16" s="156"/>
      <c r="L16" s="138"/>
    </row>
    <row r="17" spans="1:12" s="139" customFormat="1" ht="90" customHeight="1" x14ac:dyDescent="0.3">
      <c r="A17" s="133" t="s">
        <v>188</v>
      </c>
      <c r="B17" s="134" t="s">
        <v>189</v>
      </c>
      <c r="C17" s="135">
        <v>2015</v>
      </c>
      <c r="D17" s="136" t="s">
        <v>454</v>
      </c>
      <c r="E17" s="136" t="s">
        <v>471</v>
      </c>
      <c r="F17" s="135">
        <v>6</v>
      </c>
      <c r="G17" s="137">
        <v>18.5</v>
      </c>
      <c r="H17" s="137">
        <f t="shared" si="0"/>
        <v>111</v>
      </c>
      <c r="I17" s="142" t="s">
        <v>470</v>
      </c>
      <c r="J17" s="156"/>
      <c r="K17" s="156"/>
      <c r="L17" s="138"/>
    </row>
    <row r="18" spans="1:12" s="139" customFormat="1" ht="90" customHeight="1" x14ac:dyDescent="0.3">
      <c r="A18" s="133" t="s">
        <v>212</v>
      </c>
      <c r="B18" s="134" t="s">
        <v>213</v>
      </c>
      <c r="C18" s="135">
        <v>2013</v>
      </c>
      <c r="D18" s="136" t="s">
        <v>435</v>
      </c>
      <c r="E18" s="136" t="s">
        <v>472</v>
      </c>
      <c r="F18" s="135">
        <v>27</v>
      </c>
      <c r="G18" s="137">
        <v>41</v>
      </c>
      <c r="H18" s="137">
        <f t="shared" si="0"/>
        <v>1107</v>
      </c>
      <c r="I18" s="142" t="s">
        <v>470</v>
      </c>
      <c r="J18" s="156"/>
      <c r="K18" s="156"/>
      <c r="L18" s="138"/>
    </row>
    <row r="19" spans="1:12" s="139" customFormat="1" ht="81.45" customHeight="1" x14ac:dyDescent="0.3">
      <c r="A19" s="133" t="s">
        <v>226</v>
      </c>
      <c r="B19" s="134" t="s">
        <v>436</v>
      </c>
      <c r="C19" s="135">
        <v>2016</v>
      </c>
      <c r="D19" s="136" t="s">
        <v>437</v>
      </c>
      <c r="E19" s="136" t="s">
        <v>473</v>
      </c>
      <c r="F19" s="135">
        <v>750</v>
      </c>
      <c r="G19" s="137">
        <v>0.36</v>
      </c>
      <c r="H19" s="137">
        <f t="shared" si="0"/>
        <v>270</v>
      </c>
      <c r="I19" s="164" t="s">
        <v>438</v>
      </c>
      <c r="J19" s="157"/>
      <c r="K19" s="157"/>
      <c r="L19" s="138"/>
    </row>
    <row r="20" spans="1:12" s="139" customFormat="1" ht="127.2" customHeight="1" x14ac:dyDescent="0.3">
      <c r="A20" s="133" t="s">
        <v>258</v>
      </c>
      <c r="B20" s="140" t="s">
        <v>259</v>
      </c>
      <c r="C20" s="135">
        <v>2016</v>
      </c>
      <c r="D20" s="136" t="s">
        <v>437</v>
      </c>
      <c r="E20" s="136" t="s">
        <v>474</v>
      </c>
      <c r="F20" s="135">
        <v>127</v>
      </c>
      <c r="G20" s="137">
        <v>5.3</v>
      </c>
      <c r="H20" s="137">
        <f t="shared" si="0"/>
        <v>673.1</v>
      </c>
      <c r="I20" s="142" t="s">
        <v>439</v>
      </c>
      <c r="J20" s="142"/>
      <c r="K20" s="142"/>
      <c r="L20" s="138"/>
    </row>
    <row r="21" spans="1:12" s="139" customFormat="1" ht="127.2" customHeight="1" x14ac:dyDescent="0.3">
      <c r="A21" s="133" t="s">
        <v>292</v>
      </c>
      <c r="B21" s="141" t="s">
        <v>293</v>
      </c>
      <c r="C21" s="135">
        <v>2018</v>
      </c>
      <c r="D21" s="136" t="s">
        <v>440</v>
      </c>
      <c r="E21" s="136" t="s">
        <v>474</v>
      </c>
      <c r="F21" s="135">
        <v>76</v>
      </c>
      <c r="G21" s="137">
        <v>2.13</v>
      </c>
      <c r="H21" s="137">
        <f t="shared" ref="H21:H29" si="1">SUM(F21*G21)</f>
        <v>161.88</v>
      </c>
      <c r="I21" s="136" t="s">
        <v>441</v>
      </c>
      <c r="J21" s="136"/>
      <c r="K21" s="136"/>
      <c r="L21" s="138"/>
    </row>
    <row r="22" spans="1:12" s="139" customFormat="1" ht="127.2" customHeight="1" x14ac:dyDescent="0.3">
      <c r="A22" s="133" t="s">
        <v>294</v>
      </c>
      <c r="B22" s="160" t="s">
        <v>295</v>
      </c>
      <c r="C22" s="135">
        <v>2025</v>
      </c>
      <c r="D22" s="136" t="s">
        <v>457</v>
      </c>
      <c r="E22" s="136" t="s">
        <v>474</v>
      </c>
      <c r="F22" s="135">
        <v>1</v>
      </c>
      <c r="G22" s="137">
        <v>224</v>
      </c>
      <c r="H22" s="137">
        <f t="shared" si="1"/>
        <v>224</v>
      </c>
      <c r="I22" s="142" t="s">
        <v>458</v>
      </c>
      <c r="J22" s="142"/>
      <c r="K22" s="142"/>
      <c r="L22" s="138"/>
    </row>
    <row r="23" spans="1:12" s="139" customFormat="1" ht="127.2" customHeight="1" x14ac:dyDescent="0.3">
      <c r="A23" s="133" t="s">
        <v>294</v>
      </c>
      <c r="B23" s="160" t="s">
        <v>365</v>
      </c>
      <c r="C23" s="135">
        <v>2025</v>
      </c>
      <c r="D23" s="136" t="s">
        <v>457</v>
      </c>
      <c r="E23" s="136" t="s">
        <v>474</v>
      </c>
      <c r="F23" s="135">
        <v>1</v>
      </c>
      <c r="G23" s="137">
        <v>230</v>
      </c>
      <c r="H23" s="137">
        <f t="shared" si="1"/>
        <v>230</v>
      </c>
      <c r="I23" s="142" t="s">
        <v>458</v>
      </c>
      <c r="J23" s="142"/>
      <c r="K23" s="142"/>
      <c r="L23" s="138"/>
    </row>
    <row r="24" spans="1:12" s="139" customFormat="1" ht="127.2" customHeight="1" x14ac:dyDescent="0.3">
      <c r="A24" s="133" t="s">
        <v>296</v>
      </c>
      <c r="B24" s="160" t="s">
        <v>392</v>
      </c>
      <c r="C24" s="135">
        <v>2025</v>
      </c>
      <c r="D24" s="136" t="s">
        <v>457</v>
      </c>
      <c r="E24" s="136" t="s">
        <v>474</v>
      </c>
      <c r="F24" s="135">
        <v>1</v>
      </c>
      <c r="G24" s="137">
        <v>224</v>
      </c>
      <c r="H24" s="137">
        <f t="shared" si="1"/>
        <v>224</v>
      </c>
      <c r="I24" s="142" t="s">
        <v>458</v>
      </c>
      <c r="J24" s="142"/>
      <c r="K24" s="142"/>
      <c r="L24" s="138"/>
    </row>
    <row r="25" spans="1:12" s="139" customFormat="1" ht="127.2" customHeight="1" x14ac:dyDescent="0.3">
      <c r="A25" s="133" t="s">
        <v>296</v>
      </c>
      <c r="B25" s="160" t="s">
        <v>297</v>
      </c>
      <c r="C25" s="135">
        <v>2025</v>
      </c>
      <c r="D25" s="136" t="s">
        <v>457</v>
      </c>
      <c r="E25" s="136" t="s">
        <v>474</v>
      </c>
      <c r="F25" s="135">
        <v>1</v>
      </c>
      <c r="G25" s="137">
        <v>230</v>
      </c>
      <c r="H25" s="137">
        <f t="shared" si="1"/>
        <v>230</v>
      </c>
      <c r="I25" s="142" t="s">
        <v>458</v>
      </c>
      <c r="J25" s="142"/>
      <c r="K25" s="142"/>
      <c r="L25" s="138"/>
    </row>
    <row r="26" spans="1:12" s="139" customFormat="1" ht="127.2" customHeight="1" x14ac:dyDescent="0.3">
      <c r="A26" s="133" t="s">
        <v>298</v>
      </c>
      <c r="B26" s="160" t="s">
        <v>352</v>
      </c>
      <c r="C26" s="135">
        <v>2025</v>
      </c>
      <c r="D26" s="136" t="s">
        <v>457</v>
      </c>
      <c r="E26" s="136" t="s">
        <v>474</v>
      </c>
      <c r="F26" s="135">
        <v>1</v>
      </c>
      <c r="G26" s="137">
        <v>224</v>
      </c>
      <c r="H26" s="137">
        <f t="shared" si="1"/>
        <v>224</v>
      </c>
      <c r="I26" s="142" t="s">
        <v>458</v>
      </c>
      <c r="J26" s="142"/>
      <c r="K26" s="142"/>
      <c r="L26" s="138"/>
    </row>
    <row r="27" spans="1:12" s="139" customFormat="1" ht="127.2" customHeight="1" x14ac:dyDescent="0.3">
      <c r="A27" s="133" t="s">
        <v>298</v>
      </c>
      <c r="B27" s="160" t="s">
        <v>352</v>
      </c>
      <c r="C27" s="135">
        <v>2025</v>
      </c>
      <c r="D27" s="136" t="s">
        <v>457</v>
      </c>
      <c r="E27" s="136" t="s">
        <v>474</v>
      </c>
      <c r="F27" s="135">
        <v>1</v>
      </c>
      <c r="G27" s="137">
        <v>230</v>
      </c>
      <c r="H27" s="137">
        <f t="shared" si="1"/>
        <v>230</v>
      </c>
      <c r="I27" s="142" t="s">
        <v>458</v>
      </c>
      <c r="J27" s="142"/>
      <c r="K27" s="142"/>
      <c r="L27" s="138"/>
    </row>
    <row r="28" spans="1:12" s="139" customFormat="1" ht="127.2" customHeight="1" x14ac:dyDescent="0.3">
      <c r="A28" s="133" t="s">
        <v>299</v>
      </c>
      <c r="B28" s="160" t="s">
        <v>300</v>
      </c>
      <c r="C28" s="135">
        <v>2025</v>
      </c>
      <c r="D28" s="136" t="s">
        <v>457</v>
      </c>
      <c r="E28" s="136" t="s">
        <v>474</v>
      </c>
      <c r="F28" s="135">
        <v>1</v>
      </c>
      <c r="G28" s="137">
        <v>266</v>
      </c>
      <c r="H28" s="137">
        <f t="shared" si="1"/>
        <v>266</v>
      </c>
      <c r="I28" s="142" t="s">
        <v>458</v>
      </c>
      <c r="J28" s="142"/>
      <c r="K28" s="142"/>
      <c r="L28" s="138"/>
    </row>
    <row r="29" spans="1:12" s="139" customFormat="1" ht="127.2" customHeight="1" x14ac:dyDescent="0.3">
      <c r="A29" s="133" t="s">
        <v>299</v>
      </c>
      <c r="B29" s="160" t="s">
        <v>300</v>
      </c>
      <c r="C29" s="135">
        <v>2025</v>
      </c>
      <c r="D29" s="136" t="s">
        <v>457</v>
      </c>
      <c r="E29" s="136" t="s">
        <v>474</v>
      </c>
      <c r="F29" s="135">
        <v>1</v>
      </c>
      <c r="G29" s="137">
        <v>230</v>
      </c>
      <c r="H29" s="137">
        <f t="shared" si="1"/>
        <v>230</v>
      </c>
      <c r="I29" s="142" t="s">
        <v>458</v>
      </c>
      <c r="J29" s="142"/>
      <c r="K29" s="142"/>
      <c r="L29" s="138"/>
    </row>
    <row r="30" spans="1:12" ht="29.55" customHeight="1" x14ac:dyDescent="0.3">
      <c r="A30" s="196" t="s">
        <v>452</v>
      </c>
      <c r="B30" s="197"/>
      <c r="C30" s="197"/>
      <c r="D30" s="197"/>
      <c r="E30" s="197"/>
      <c r="F30" s="197"/>
      <c r="G30" s="198"/>
      <c r="H30" s="143">
        <f>SUM(H10:H29)</f>
        <v>5518.88</v>
      </c>
      <c r="I30" s="111"/>
      <c r="J30" s="111"/>
      <c r="K30" s="111"/>
      <c r="L30" s="109"/>
    </row>
    <row r="31" spans="1:12" x14ac:dyDescent="0.3">
      <c r="A31" s="112"/>
      <c r="B31" s="113"/>
      <c r="C31" s="114"/>
      <c r="D31" s="114"/>
      <c r="E31" s="114"/>
      <c r="F31" s="114"/>
      <c r="G31" s="114"/>
      <c r="H31" s="114"/>
      <c r="I31" s="115"/>
      <c r="J31" s="115"/>
      <c r="K31" s="115"/>
      <c r="L31" s="110"/>
    </row>
    <row r="32" spans="1:12" s="117" customFormat="1" x14ac:dyDescent="0.3">
      <c r="A32" s="202" t="s">
        <v>442</v>
      </c>
      <c r="B32" s="203"/>
      <c r="C32" s="203"/>
      <c r="D32" s="203"/>
      <c r="E32" s="203"/>
      <c r="F32" s="203"/>
      <c r="G32" s="203"/>
      <c r="H32" s="203"/>
      <c r="I32" s="204"/>
      <c r="J32" s="161"/>
      <c r="K32" s="161"/>
      <c r="L32" s="116"/>
    </row>
    <row r="33" spans="1:12" s="117" customFormat="1" ht="15" customHeight="1" x14ac:dyDescent="0.3">
      <c r="A33" s="205" t="s">
        <v>443</v>
      </c>
      <c r="B33" s="206"/>
      <c r="C33" s="205" t="s">
        <v>444</v>
      </c>
      <c r="D33" s="207"/>
      <c r="E33" s="207"/>
      <c r="F33" s="207"/>
      <c r="G33" s="206"/>
      <c r="H33" s="119" t="s">
        <v>445</v>
      </c>
      <c r="I33" s="118"/>
      <c r="J33" s="118"/>
      <c r="K33" s="118"/>
      <c r="L33" s="120"/>
    </row>
    <row r="34" spans="1:12" s="117" customFormat="1" ht="28.5" customHeight="1" x14ac:dyDescent="0.3">
      <c r="A34" s="199"/>
      <c r="B34" s="200"/>
      <c r="C34" s="199"/>
      <c r="D34" s="201"/>
      <c r="E34" s="201"/>
      <c r="F34" s="201"/>
      <c r="G34" s="200"/>
      <c r="H34" s="121" t="s">
        <v>446</v>
      </c>
      <c r="I34" s="122"/>
      <c r="J34" s="122"/>
      <c r="K34" s="122"/>
      <c r="L34" s="123"/>
    </row>
    <row r="35" spans="1:12" s="117" customFormat="1" x14ac:dyDescent="0.3">
      <c r="A35" s="208"/>
      <c r="B35" s="209"/>
      <c r="C35" s="208"/>
      <c r="D35" s="210"/>
      <c r="E35" s="210"/>
      <c r="F35" s="210"/>
      <c r="G35" s="209"/>
      <c r="H35" s="208"/>
      <c r="I35" s="210"/>
      <c r="J35" s="210"/>
      <c r="K35" s="210"/>
      <c r="L35" s="209"/>
    </row>
    <row r="36" spans="1:12" s="117" customFormat="1" ht="10.5" customHeight="1" x14ac:dyDescent="0.3">
      <c r="A36" s="208"/>
      <c r="B36" s="209"/>
      <c r="C36" s="208"/>
      <c r="D36" s="210"/>
      <c r="E36" s="210"/>
      <c r="F36" s="210"/>
      <c r="G36" s="209"/>
      <c r="H36" s="208"/>
      <c r="I36" s="210"/>
      <c r="J36" s="210"/>
      <c r="K36" s="210"/>
      <c r="L36" s="209"/>
    </row>
    <row r="37" spans="1:12" s="117" customFormat="1" ht="15" hidden="1" customHeight="1" x14ac:dyDescent="0.3">
      <c r="A37" s="208"/>
      <c r="B37" s="209"/>
      <c r="C37" s="208"/>
      <c r="D37" s="210"/>
      <c r="E37" s="210"/>
      <c r="F37" s="210"/>
      <c r="G37" s="209"/>
      <c r="H37" s="124"/>
      <c r="L37" s="125"/>
    </row>
    <row r="38" spans="1:12" s="117" customFormat="1" ht="19.5" customHeight="1" x14ac:dyDescent="0.3">
      <c r="A38" s="199" t="s">
        <v>447</v>
      </c>
      <c r="B38" s="200"/>
      <c r="C38" s="199" t="s">
        <v>447</v>
      </c>
      <c r="D38" s="201"/>
      <c r="E38" s="201"/>
      <c r="F38" s="201"/>
      <c r="G38" s="200"/>
      <c r="H38" s="124" t="s">
        <v>447</v>
      </c>
      <c r="L38" s="125"/>
    </row>
    <row r="39" spans="1:12" s="117" customFormat="1" x14ac:dyDescent="0.3">
      <c r="A39" s="199" t="s">
        <v>448</v>
      </c>
      <c r="B39" s="200"/>
      <c r="C39" s="199" t="s">
        <v>448</v>
      </c>
      <c r="D39" s="201"/>
      <c r="E39" s="201"/>
      <c r="F39" s="201"/>
      <c r="G39" s="200"/>
      <c r="H39" s="124" t="s">
        <v>448</v>
      </c>
      <c r="L39" s="125"/>
    </row>
    <row r="40" spans="1:12" s="117" customFormat="1" x14ac:dyDescent="0.3">
      <c r="A40" s="199" t="s">
        <v>449</v>
      </c>
      <c r="B40" s="200"/>
      <c r="C40" s="199" t="s">
        <v>450</v>
      </c>
      <c r="D40" s="201"/>
      <c r="E40" s="201"/>
      <c r="F40" s="201"/>
      <c r="G40" s="200"/>
      <c r="H40" s="124" t="s">
        <v>450</v>
      </c>
      <c r="L40" s="125"/>
    </row>
    <row r="41" spans="1:12" s="117" customFormat="1" x14ac:dyDescent="0.3">
      <c r="A41" s="193" t="s">
        <v>451</v>
      </c>
      <c r="B41" s="194"/>
      <c r="C41" s="193" t="s">
        <v>451</v>
      </c>
      <c r="D41" s="195"/>
      <c r="E41" s="195"/>
      <c r="F41" s="195"/>
      <c r="G41" s="194"/>
      <c r="H41" s="127" t="s">
        <v>451</v>
      </c>
      <c r="I41" s="126"/>
      <c r="J41" s="126"/>
      <c r="K41" s="126"/>
      <c r="L41" s="128"/>
    </row>
  </sheetData>
  <mergeCells count="30">
    <mergeCell ref="H35:L36"/>
    <mergeCell ref="A3:L3"/>
    <mergeCell ref="A6:F6"/>
    <mergeCell ref="A8:A9"/>
    <mergeCell ref="B8:B9"/>
    <mergeCell ref="C8:C9"/>
    <mergeCell ref="D8:D9"/>
    <mergeCell ref="E8:E9"/>
    <mergeCell ref="L8:L9"/>
    <mergeCell ref="F8:F9"/>
    <mergeCell ref="G8:H8"/>
    <mergeCell ref="I8:I9"/>
    <mergeCell ref="J8:J9"/>
    <mergeCell ref="K8:K9"/>
    <mergeCell ref="A41:B41"/>
    <mergeCell ref="C41:G41"/>
    <mergeCell ref="A30:G30"/>
    <mergeCell ref="A38:B38"/>
    <mergeCell ref="C38:G38"/>
    <mergeCell ref="A39:B39"/>
    <mergeCell ref="C39:G39"/>
    <mergeCell ref="A40:B40"/>
    <mergeCell ref="C40:G40"/>
    <mergeCell ref="A32:I32"/>
    <mergeCell ref="A33:B33"/>
    <mergeCell ref="C33:G33"/>
    <mergeCell ref="A34:B34"/>
    <mergeCell ref="C34:G34"/>
    <mergeCell ref="A35:B37"/>
    <mergeCell ref="C35:G37"/>
  </mergeCells>
  <phoneticPr fontId="11" type="noConversion"/>
  <printOptions horizontalCentered="1"/>
  <pageMargins left="0" right="0" top="0.23622047244094491" bottom="0" header="0.31496062992125984" footer="0.31496062992125984"/>
  <pageSetup paperSize="9" scale="7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C931-2DDD-44C6-BCC4-71A500C2144A}">
  <dimension ref="A3:J83"/>
  <sheetViews>
    <sheetView topLeftCell="A36" workbookViewId="0">
      <selection activeCell="E51" sqref="E51"/>
    </sheetView>
  </sheetViews>
  <sheetFormatPr defaultColWidth="8.77734375" defaultRowHeight="15.6" x14ac:dyDescent="0.3"/>
  <cols>
    <col min="1" max="1" width="8.77734375" style="64"/>
    <col min="10" max="10" width="8.77734375" style="65"/>
  </cols>
  <sheetData>
    <row r="3" spans="1:10" x14ac:dyDescent="0.3">
      <c r="J3" s="65" t="s">
        <v>21</v>
      </c>
    </row>
    <row r="4" spans="1:10" x14ac:dyDescent="0.3">
      <c r="A4" s="64" t="s">
        <v>30</v>
      </c>
      <c r="B4" s="63" t="s">
        <v>31</v>
      </c>
      <c r="I4" s="30">
        <v>3.95</v>
      </c>
      <c r="J4" s="65">
        <v>7</v>
      </c>
    </row>
    <row r="5" spans="1:10" x14ac:dyDescent="0.3">
      <c r="A5" s="64" t="s">
        <v>32</v>
      </c>
      <c r="B5" s="63" t="s">
        <v>33</v>
      </c>
      <c r="I5" s="30">
        <v>3.95</v>
      </c>
      <c r="J5" s="65">
        <v>45</v>
      </c>
    </row>
    <row r="6" spans="1:10" x14ac:dyDescent="0.3">
      <c r="A6" s="64" t="s">
        <v>34</v>
      </c>
      <c r="B6" s="63" t="s">
        <v>35</v>
      </c>
      <c r="I6" s="30">
        <v>3.95</v>
      </c>
      <c r="J6" s="65">
        <v>52</v>
      </c>
    </row>
    <row r="7" spans="1:10" x14ac:dyDescent="0.3">
      <c r="A7" s="64" t="s">
        <v>36</v>
      </c>
      <c r="B7" s="63" t="s">
        <v>37</v>
      </c>
      <c r="I7" s="30">
        <v>3.95</v>
      </c>
      <c r="J7" s="65">
        <v>45</v>
      </c>
    </row>
    <row r="8" spans="1:10" x14ac:dyDescent="0.3">
      <c r="A8" s="64" t="s">
        <v>38</v>
      </c>
      <c r="B8" s="13" t="s">
        <v>39</v>
      </c>
      <c r="I8" s="25">
        <v>3.8</v>
      </c>
      <c r="J8" s="65">
        <v>2</v>
      </c>
    </row>
    <row r="9" spans="1:10" x14ac:dyDescent="0.3">
      <c r="A9" s="64" t="s">
        <v>40</v>
      </c>
      <c r="B9" s="13" t="s">
        <v>41</v>
      </c>
      <c r="I9" s="25">
        <v>3.9</v>
      </c>
      <c r="J9" s="65">
        <v>13</v>
      </c>
    </row>
    <row r="10" spans="1:10" x14ac:dyDescent="0.3">
      <c r="A10" s="64" t="s">
        <v>42</v>
      </c>
      <c r="B10" s="13" t="s">
        <v>44</v>
      </c>
      <c r="I10" s="15">
        <v>3.05</v>
      </c>
      <c r="J10" s="65">
        <v>3</v>
      </c>
    </row>
    <row r="11" spans="1:10" x14ac:dyDescent="0.3">
      <c r="A11" s="64" t="s">
        <v>42</v>
      </c>
      <c r="B11" s="13" t="s">
        <v>44</v>
      </c>
      <c r="I11" s="15">
        <v>3.2</v>
      </c>
      <c r="J11" s="65">
        <v>6</v>
      </c>
    </row>
    <row r="12" spans="1:10" x14ac:dyDescent="0.3">
      <c r="A12" s="64" t="s">
        <v>45</v>
      </c>
      <c r="B12" s="13" t="s">
        <v>46</v>
      </c>
      <c r="I12" s="25">
        <v>2.4</v>
      </c>
      <c r="J12" s="65">
        <v>3</v>
      </c>
    </row>
    <row r="13" spans="1:10" x14ac:dyDescent="0.3">
      <c r="A13" s="64" t="s">
        <v>45</v>
      </c>
      <c r="B13" s="13" t="s">
        <v>47</v>
      </c>
      <c r="I13" s="25">
        <v>3.15</v>
      </c>
      <c r="J13" s="65">
        <v>23</v>
      </c>
    </row>
    <row r="14" spans="1:10" x14ac:dyDescent="0.3">
      <c r="A14" s="64" t="s">
        <v>48</v>
      </c>
      <c r="B14" s="13" t="s">
        <v>49</v>
      </c>
      <c r="I14" s="25">
        <v>2.4</v>
      </c>
      <c r="J14" s="65">
        <v>22</v>
      </c>
    </row>
    <row r="15" spans="1:10" x14ac:dyDescent="0.3">
      <c r="A15" s="64" t="s">
        <v>50</v>
      </c>
      <c r="B15" s="13" t="s">
        <v>51</v>
      </c>
      <c r="I15" s="25">
        <v>2.4</v>
      </c>
      <c r="J15" s="65">
        <v>37</v>
      </c>
    </row>
    <row r="16" spans="1:10" x14ac:dyDescent="0.3">
      <c r="A16" s="64" t="s">
        <v>52</v>
      </c>
      <c r="B16" s="63" t="s">
        <v>53</v>
      </c>
      <c r="I16" s="30">
        <v>7.7</v>
      </c>
      <c r="J16" s="65">
        <v>12</v>
      </c>
    </row>
    <row r="17" spans="1:10" x14ac:dyDescent="0.3">
      <c r="A17" s="64" t="s">
        <v>55</v>
      </c>
      <c r="B17" s="63" t="s">
        <v>56</v>
      </c>
      <c r="I17" s="30">
        <v>7.7</v>
      </c>
      <c r="J17" s="65">
        <v>12</v>
      </c>
    </row>
    <row r="18" spans="1:10" x14ac:dyDescent="0.3">
      <c r="A18" s="64" t="s">
        <v>58</v>
      </c>
      <c r="B18" s="63" t="s">
        <v>59</v>
      </c>
      <c r="I18" s="30">
        <v>7.7</v>
      </c>
      <c r="J18" s="65">
        <v>12</v>
      </c>
    </row>
    <row r="19" spans="1:10" x14ac:dyDescent="0.3">
      <c r="A19" s="64" t="s">
        <v>61</v>
      </c>
      <c r="B19" s="13" t="s">
        <v>62</v>
      </c>
      <c r="I19" s="25">
        <v>2.15</v>
      </c>
      <c r="J19" s="65">
        <v>31</v>
      </c>
    </row>
    <row r="20" spans="1:10" x14ac:dyDescent="0.3">
      <c r="A20" s="64" t="s">
        <v>61</v>
      </c>
      <c r="B20" s="13" t="s">
        <v>63</v>
      </c>
      <c r="I20" s="25">
        <v>2.35</v>
      </c>
      <c r="J20" s="65">
        <v>16</v>
      </c>
    </row>
    <row r="21" spans="1:10" x14ac:dyDescent="0.3">
      <c r="A21" s="64" t="s">
        <v>64</v>
      </c>
      <c r="B21" s="13" t="s">
        <v>65</v>
      </c>
      <c r="I21" s="25">
        <v>2.15</v>
      </c>
      <c r="J21" s="65">
        <v>16</v>
      </c>
    </row>
    <row r="22" spans="1:10" x14ac:dyDescent="0.3">
      <c r="A22" s="64" t="s">
        <v>64</v>
      </c>
      <c r="B22" s="13" t="s">
        <v>66</v>
      </c>
      <c r="I22" s="25">
        <v>2.35</v>
      </c>
      <c r="J22" s="65">
        <v>27</v>
      </c>
    </row>
    <row r="23" spans="1:10" x14ac:dyDescent="0.3">
      <c r="A23" s="64" t="s">
        <v>67</v>
      </c>
      <c r="B23" s="13" t="s">
        <v>68</v>
      </c>
      <c r="I23" s="25">
        <v>2.15</v>
      </c>
      <c r="J23" s="65">
        <v>29</v>
      </c>
    </row>
    <row r="24" spans="1:10" x14ac:dyDescent="0.3">
      <c r="A24" s="64" t="s">
        <v>67</v>
      </c>
      <c r="B24" s="13" t="s">
        <v>69</v>
      </c>
      <c r="I24" s="25">
        <v>2.35</v>
      </c>
      <c r="J24" s="65">
        <v>16</v>
      </c>
    </row>
    <row r="25" spans="1:10" x14ac:dyDescent="0.3">
      <c r="A25" s="64" t="s">
        <v>70</v>
      </c>
      <c r="B25" s="27" t="s">
        <v>71</v>
      </c>
      <c r="I25" s="25">
        <v>2.2000000000000002</v>
      </c>
      <c r="J25" s="65">
        <v>8</v>
      </c>
    </row>
    <row r="26" spans="1:10" x14ac:dyDescent="0.3">
      <c r="A26" s="64" t="s">
        <v>70</v>
      </c>
      <c r="B26" s="27" t="s">
        <v>71</v>
      </c>
      <c r="I26" s="25">
        <v>3.4</v>
      </c>
      <c r="J26" s="65">
        <v>16</v>
      </c>
    </row>
    <row r="27" spans="1:10" x14ac:dyDescent="0.3">
      <c r="A27" s="64" t="s">
        <v>72</v>
      </c>
      <c r="B27" s="13" t="s">
        <v>73</v>
      </c>
      <c r="I27" s="25">
        <v>3.44</v>
      </c>
      <c r="J27" s="65">
        <v>2</v>
      </c>
    </row>
    <row r="28" spans="1:10" x14ac:dyDescent="0.3">
      <c r="A28" s="64" t="s">
        <v>72</v>
      </c>
      <c r="B28" s="13" t="s">
        <v>74</v>
      </c>
      <c r="I28" s="25">
        <v>2.2000000000000002</v>
      </c>
      <c r="J28" s="65">
        <v>5</v>
      </c>
    </row>
    <row r="29" spans="1:10" x14ac:dyDescent="0.3">
      <c r="A29" s="64" t="s">
        <v>72</v>
      </c>
      <c r="B29" s="13" t="s">
        <v>74</v>
      </c>
      <c r="I29" s="25">
        <v>3.4</v>
      </c>
      <c r="J29" s="65">
        <v>16</v>
      </c>
    </row>
    <row r="30" spans="1:10" x14ac:dyDescent="0.3">
      <c r="A30" s="64" t="s">
        <v>75</v>
      </c>
      <c r="B30" s="13" t="s">
        <v>76</v>
      </c>
      <c r="I30" s="25">
        <v>2.2000000000000002</v>
      </c>
      <c r="J30" s="65">
        <v>6</v>
      </c>
    </row>
    <row r="31" spans="1:10" x14ac:dyDescent="0.3">
      <c r="A31" s="64" t="s">
        <v>75</v>
      </c>
      <c r="B31" s="13" t="s">
        <v>76</v>
      </c>
      <c r="I31" s="25">
        <v>3.4</v>
      </c>
      <c r="J31" s="65">
        <v>18</v>
      </c>
    </row>
    <row r="32" spans="1:10" x14ac:dyDescent="0.3">
      <c r="A32" s="64" t="s">
        <v>77</v>
      </c>
      <c r="B32" s="13" t="s">
        <v>78</v>
      </c>
      <c r="I32" s="25">
        <v>3.44</v>
      </c>
      <c r="J32" s="65">
        <v>1</v>
      </c>
    </row>
    <row r="33" spans="1:10" x14ac:dyDescent="0.3">
      <c r="A33" s="64" t="s">
        <v>77</v>
      </c>
      <c r="B33" s="13" t="s">
        <v>79</v>
      </c>
      <c r="I33" s="25">
        <v>2.2000000000000002</v>
      </c>
      <c r="J33" s="65">
        <v>7</v>
      </c>
    </row>
    <row r="34" spans="1:10" x14ac:dyDescent="0.3">
      <c r="A34" s="64" t="s">
        <v>77</v>
      </c>
      <c r="B34" s="13" t="s">
        <v>79</v>
      </c>
      <c r="I34" s="25">
        <v>3.4</v>
      </c>
      <c r="J34" s="65">
        <v>13</v>
      </c>
    </row>
    <row r="35" spans="1:10" x14ac:dyDescent="0.3">
      <c r="A35" s="64" t="s">
        <v>80</v>
      </c>
      <c r="B35" s="13" t="s">
        <v>81</v>
      </c>
      <c r="I35" s="25">
        <v>0.8</v>
      </c>
      <c r="J35" s="65">
        <v>5</v>
      </c>
    </row>
    <row r="36" spans="1:10" x14ac:dyDescent="0.3">
      <c r="A36" s="64" t="s">
        <v>80</v>
      </c>
      <c r="B36" s="13" t="s">
        <v>81</v>
      </c>
      <c r="I36" s="25">
        <v>0.6</v>
      </c>
      <c r="J36" s="65">
        <v>25</v>
      </c>
    </row>
    <row r="37" spans="1:10" x14ac:dyDescent="0.3">
      <c r="A37" s="64" t="s">
        <v>82</v>
      </c>
      <c r="B37" s="13" t="s">
        <v>314</v>
      </c>
      <c r="I37" s="25">
        <v>1.25</v>
      </c>
      <c r="J37" s="65">
        <v>30</v>
      </c>
    </row>
    <row r="38" spans="1:10" x14ac:dyDescent="0.3">
      <c r="A38" s="64" t="s">
        <v>84</v>
      </c>
      <c r="B38" s="27" t="s">
        <v>85</v>
      </c>
      <c r="I38" s="25">
        <v>2</v>
      </c>
      <c r="J38" s="65">
        <v>6</v>
      </c>
    </row>
    <row r="39" spans="1:10" x14ac:dyDescent="0.3">
      <c r="A39" s="64" t="s">
        <v>84</v>
      </c>
      <c r="B39" s="27" t="s">
        <v>85</v>
      </c>
      <c r="I39" s="25">
        <v>1.85</v>
      </c>
      <c r="J39" s="65">
        <v>12</v>
      </c>
    </row>
    <row r="40" spans="1:10" x14ac:dyDescent="0.3">
      <c r="A40" s="64" t="s">
        <v>86</v>
      </c>
      <c r="B40" s="13" t="s">
        <v>87</v>
      </c>
      <c r="I40" s="25">
        <v>0.74</v>
      </c>
      <c r="J40" s="65">
        <v>22</v>
      </c>
    </row>
    <row r="41" spans="1:10" x14ac:dyDescent="0.3">
      <c r="A41" s="64" t="s">
        <v>88</v>
      </c>
      <c r="B41" s="13" t="s">
        <v>89</v>
      </c>
      <c r="I41" s="25">
        <v>6.75</v>
      </c>
      <c r="J41" s="65">
        <v>9</v>
      </c>
    </row>
    <row r="42" spans="1:10" x14ac:dyDescent="0.3">
      <c r="A42" s="64" t="s">
        <v>90</v>
      </c>
      <c r="B42" s="13" t="s">
        <v>91</v>
      </c>
      <c r="I42" s="25">
        <v>5.85</v>
      </c>
      <c r="J42" s="65">
        <v>5</v>
      </c>
    </row>
    <row r="43" spans="1:10" x14ac:dyDescent="0.3">
      <c r="A43" s="64" t="s">
        <v>90</v>
      </c>
      <c r="B43" s="13" t="s">
        <v>91</v>
      </c>
      <c r="I43" s="25">
        <v>4.95</v>
      </c>
      <c r="J43" s="65">
        <v>11</v>
      </c>
    </row>
    <row r="44" spans="1:10" x14ac:dyDescent="0.3">
      <c r="A44" s="64" t="s">
        <v>92</v>
      </c>
      <c r="B44" s="27" t="s">
        <v>93</v>
      </c>
      <c r="I44" s="25">
        <v>1.05</v>
      </c>
      <c r="J44" s="65">
        <v>9</v>
      </c>
    </row>
    <row r="45" spans="1:10" x14ac:dyDescent="0.3">
      <c r="A45" s="64" t="s">
        <v>92</v>
      </c>
      <c r="B45" s="27" t="s">
        <v>93</v>
      </c>
      <c r="I45" s="25">
        <v>0.85</v>
      </c>
      <c r="J45" s="65">
        <v>28</v>
      </c>
    </row>
    <row r="46" spans="1:10" x14ac:dyDescent="0.3">
      <c r="A46" s="64" t="s">
        <v>94</v>
      </c>
      <c r="B46" s="13" t="s">
        <v>95</v>
      </c>
      <c r="I46" s="30">
        <v>4.9000000000000004</v>
      </c>
      <c r="J46" s="65">
        <v>45</v>
      </c>
    </row>
    <row r="47" spans="1:10" x14ac:dyDescent="0.3">
      <c r="A47" s="64" t="s">
        <v>96</v>
      </c>
      <c r="B47" s="13" t="s">
        <v>97</v>
      </c>
      <c r="I47" s="30">
        <v>11.9</v>
      </c>
      <c r="J47" s="65">
        <v>23</v>
      </c>
    </row>
    <row r="48" spans="1:10" x14ac:dyDescent="0.3">
      <c r="A48" s="64" t="s">
        <v>98</v>
      </c>
      <c r="B48" s="13" t="s">
        <v>315</v>
      </c>
      <c r="I48" s="30">
        <v>7</v>
      </c>
      <c r="J48" s="65">
        <v>10</v>
      </c>
    </row>
    <row r="49" spans="1:10" x14ac:dyDescent="0.3">
      <c r="A49" s="64" t="s">
        <v>99</v>
      </c>
      <c r="B49" s="13" t="s">
        <v>100</v>
      </c>
      <c r="I49" s="30">
        <v>2.09</v>
      </c>
      <c r="J49" s="65">
        <v>15</v>
      </c>
    </row>
    <row r="50" spans="1:10" x14ac:dyDescent="0.3">
      <c r="A50" s="64" t="s">
        <v>101</v>
      </c>
      <c r="B50" s="13" t="s">
        <v>316</v>
      </c>
      <c r="I50" s="30">
        <v>1.65</v>
      </c>
      <c r="J50" s="65">
        <v>5</v>
      </c>
    </row>
    <row r="51" spans="1:10" x14ac:dyDescent="0.3">
      <c r="A51" s="64" t="s">
        <v>103</v>
      </c>
      <c r="B51" s="13" t="s">
        <v>104</v>
      </c>
      <c r="I51" s="30">
        <v>2.7</v>
      </c>
      <c r="J51" s="65">
        <v>3</v>
      </c>
    </row>
    <row r="52" spans="1:10" x14ac:dyDescent="0.3">
      <c r="A52" s="64" t="s">
        <v>105</v>
      </c>
      <c r="B52" s="13" t="s">
        <v>106</v>
      </c>
      <c r="I52" s="30">
        <v>0.87</v>
      </c>
      <c r="J52" s="65">
        <v>14</v>
      </c>
    </row>
    <row r="53" spans="1:10" x14ac:dyDescent="0.3">
      <c r="A53" s="64" t="s">
        <v>107</v>
      </c>
      <c r="B53" s="13" t="s">
        <v>108</v>
      </c>
      <c r="I53" s="30">
        <v>0.9</v>
      </c>
      <c r="J53" s="65">
        <v>6</v>
      </c>
    </row>
    <row r="54" spans="1:10" x14ac:dyDescent="0.3">
      <c r="A54" s="64" t="s">
        <v>109</v>
      </c>
      <c r="B54" s="13" t="s">
        <v>110</v>
      </c>
      <c r="I54" s="30">
        <v>23.79</v>
      </c>
      <c r="J54" s="65">
        <v>15</v>
      </c>
    </row>
    <row r="55" spans="1:10" x14ac:dyDescent="0.3">
      <c r="A55" s="64" t="s">
        <v>111</v>
      </c>
      <c r="B55" s="27" t="s">
        <v>112</v>
      </c>
      <c r="I55" s="30">
        <v>6.3</v>
      </c>
      <c r="J55" s="65">
        <v>12</v>
      </c>
    </row>
    <row r="56" spans="1:10" x14ac:dyDescent="0.3">
      <c r="A56" s="64" t="s">
        <v>113</v>
      </c>
      <c r="B56" s="27" t="s">
        <v>114</v>
      </c>
      <c r="I56" s="30">
        <v>4.8</v>
      </c>
      <c r="J56" s="65">
        <v>4</v>
      </c>
    </row>
    <row r="57" spans="1:10" x14ac:dyDescent="0.3">
      <c r="A57" s="64" t="s">
        <v>115</v>
      </c>
      <c r="B57" s="13" t="s">
        <v>117</v>
      </c>
      <c r="I57" s="32">
        <v>7.5</v>
      </c>
      <c r="J57" s="65">
        <v>27</v>
      </c>
    </row>
    <row r="58" spans="1:10" x14ac:dyDescent="0.3">
      <c r="A58" s="64" t="s">
        <v>115</v>
      </c>
      <c r="B58" s="13" t="s">
        <v>117</v>
      </c>
      <c r="I58" s="32">
        <v>12</v>
      </c>
      <c r="J58" s="65">
        <v>15</v>
      </c>
    </row>
    <row r="59" spans="1:10" x14ac:dyDescent="0.3">
      <c r="A59" s="64" t="s">
        <v>118</v>
      </c>
      <c r="B59" s="13" t="s">
        <v>317</v>
      </c>
      <c r="I59" s="30">
        <v>7.5</v>
      </c>
      <c r="J59" s="65">
        <v>35</v>
      </c>
    </row>
    <row r="60" spans="1:10" x14ac:dyDescent="0.3">
      <c r="A60" s="64" t="s">
        <v>120</v>
      </c>
      <c r="B60" s="13" t="s">
        <v>121</v>
      </c>
      <c r="I60" s="30">
        <v>7.8</v>
      </c>
      <c r="J60" s="65">
        <v>3</v>
      </c>
    </row>
    <row r="61" spans="1:10" x14ac:dyDescent="0.3">
      <c r="A61" s="64" t="s">
        <v>120</v>
      </c>
      <c r="B61" s="13" t="s">
        <v>121</v>
      </c>
      <c r="I61" s="30">
        <v>8.75</v>
      </c>
      <c r="J61" s="65">
        <v>10</v>
      </c>
    </row>
    <row r="62" spans="1:10" x14ac:dyDescent="0.3">
      <c r="A62" s="64" t="s">
        <v>122</v>
      </c>
      <c r="B62" s="63" t="s">
        <v>123</v>
      </c>
      <c r="I62" s="30">
        <v>10</v>
      </c>
      <c r="J62" s="65">
        <v>4</v>
      </c>
    </row>
    <row r="63" spans="1:10" x14ac:dyDescent="0.3">
      <c r="A63" s="64" t="s">
        <v>124</v>
      </c>
      <c r="B63" s="13" t="s">
        <v>125</v>
      </c>
      <c r="I63" s="30">
        <v>9</v>
      </c>
      <c r="J63" s="65">
        <v>22</v>
      </c>
    </row>
    <row r="64" spans="1:10" x14ac:dyDescent="0.3">
      <c r="A64" s="64" t="s">
        <v>126</v>
      </c>
      <c r="B64" s="13" t="s">
        <v>127</v>
      </c>
      <c r="I64" s="30">
        <v>18</v>
      </c>
      <c r="J64" s="65">
        <v>6</v>
      </c>
    </row>
    <row r="65" spans="1:10" x14ac:dyDescent="0.3">
      <c r="A65" s="64" t="s">
        <v>129</v>
      </c>
      <c r="B65" s="13" t="s">
        <v>130</v>
      </c>
      <c r="I65" s="30">
        <v>1.25</v>
      </c>
      <c r="J65" s="65">
        <v>15</v>
      </c>
    </row>
    <row r="66" spans="1:10" x14ac:dyDescent="0.3">
      <c r="A66" s="64" t="s">
        <v>129</v>
      </c>
      <c r="B66" s="13" t="s">
        <v>130</v>
      </c>
      <c r="I66" s="30">
        <v>1.5</v>
      </c>
      <c r="J66" s="65">
        <v>16</v>
      </c>
    </row>
    <row r="67" spans="1:10" x14ac:dyDescent="0.3">
      <c r="A67" s="64" t="s">
        <v>131</v>
      </c>
      <c r="B67" s="13" t="s">
        <v>132</v>
      </c>
      <c r="I67" s="30">
        <v>1.4</v>
      </c>
      <c r="J67" s="65">
        <v>54</v>
      </c>
    </row>
    <row r="68" spans="1:10" x14ac:dyDescent="0.3">
      <c r="A68" s="64" t="s">
        <v>133</v>
      </c>
      <c r="B68" s="13" t="s">
        <v>318</v>
      </c>
      <c r="I68" s="30">
        <v>3.8</v>
      </c>
      <c r="J68" s="65">
        <v>42</v>
      </c>
    </row>
    <row r="69" spans="1:10" x14ac:dyDescent="0.3">
      <c r="A69" s="64" t="s">
        <v>135</v>
      </c>
      <c r="B69" s="13" t="s">
        <v>136</v>
      </c>
      <c r="I69" s="30">
        <v>3</v>
      </c>
      <c r="J69" s="65">
        <v>29</v>
      </c>
    </row>
    <row r="70" spans="1:10" x14ac:dyDescent="0.3">
      <c r="A70" s="64" t="s">
        <v>135</v>
      </c>
      <c r="B70" s="13" t="s">
        <v>136</v>
      </c>
      <c r="I70" s="30">
        <v>4.4000000000000004</v>
      </c>
      <c r="J70" s="65">
        <v>19</v>
      </c>
    </row>
    <row r="71" spans="1:10" x14ac:dyDescent="0.3">
      <c r="A71" s="64" t="s">
        <v>138</v>
      </c>
      <c r="B71" s="13" t="s">
        <v>139</v>
      </c>
      <c r="I71" s="30">
        <v>0.65</v>
      </c>
      <c r="J71" s="65">
        <v>10</v>
      </c>
    </row>
    <row r="72" spans="1:10" x14ac:dyDescent="0.3">
      <c r="A72" s="64" t="s">
        <v>138</v>
      </c>
      <c r="B72" s="13" t="s">
        <v>139</v>
      </c>
      <c r="I72" s="30">
        <v>0.7</v>
      </c>
      <c r="J72" s="65">
        <v>22</v>
      </c>
    </row>
    <row r="73" spans="1:10" x14ac:dyDescent="0.3">
      <c r="A73" s="64" t="s">
        <v>140</v>
      </c>
      <c r="B73" s="13" t="s">
        <v>319</v>
      </c>
      <c r="I73" s="30">
        <v>1.55</v>
      </c>
      <c r="J73" s="65">
        <v>12</v>
      </c>
    </row>
    <row r="74" spans="1:10" x14ac:dyDescent="0.3">
      <c r="A74" s="64" t="s">
        <v>140</v>
      </c>
      <c r="B74" s="13" t="s">
        <v>319</v>
      </c>
      <c r="I74" s="30">
        <v>3.5</v>
      </c>
      <c r="J74" s="65">
        <v>26</v>
      </c>
    </row>
    <row r="75" spans="1:10" x14ac:dyDescent="0.3">
      <c r="A75" s="64" t="s">
        <v>143</v>
      </c>
      <c r="B75" s="27" t="s">
        <v>144</v>
      </c>
      <c r="I75" s="30">
        <v>20</v>
      </c>
      <c r="J75" s="65">
        <v>5</v>
      </c>
    </row>
    <row r="76" spans="1:10" x14ac:dyDescent="0.3">
      <c r="A76" s="64" t="s">
        <v>143</v>
      </c>
      <c r="B76" s="27" t="s">
        <v>144</v>
      </c>
      <c r="I76" s="30">
        <v>23</v>
      </c>
      <c r="J76" s="65">
        <v>5</v>
      </c>
    </row>
    <row r="77" spans="1:10" x14ac:dyDescent="0.3">
      <c r="A77" s="64" t="s">
        <v>145</v>
      </c>
      <c r="B77" s="13" t="s">
        <v>320</v>
      </c>
      <c r="I77" s="30">
        <v>20</v>
      </c>
      <c r="J77" s="65">
        <v>2</v>
      </c>
    </row>
    <row r="78" spans="1:10" x14ac:dyDescent="0.3">
      <c r="A78" s="64" t="s">
        <v>146</v>
      </c>
      <c r="B78" s="13" t="s">
        <v>321</v>
      </c>
      <c r="I78" s="30">
        <v>23.75</v>
      </c>
      <c r="J78" s="65">
        <v>3</v>
      </c>
    </row>
    <row r="79" spans="1:10" x14ac:dyDescent="0.3">
      <c r="A79" s="64" t="s">
        <v>148</v>
      </c>
      <c r="B79" s="13" t="s">
        <v>149</v>
      </c>
      <c r="I79" s="30">
        <v>3.9</v>
      </c>
      <c r="J79" s="65">
        <v>19</v>
      </c>
    </row>
    <row r="80" spans="1:10" x14ac:dyDescent="0.3">
      <c r="A80" s="64" t="s">
        <v>150</v>
      </c>
      <c r="B80" s="63" t="s">
        <v>151</v>
      </c>
      <c r="I80" s="30">
        <v>3.8</v>
      </c>
      <c r="J80" s="65">
        <v>9</v>
      </c>
    </row>
    <row r="81" spans="1:10" x14ac:dyDescent="0.3">
      <c r="A81" s="64" t="s">
        <v>150</v>
      </c>
      <c r="B81" s="63" t="s">
        <v>152</v>
      </c>
      <c r="I81" s="30">
        <v>3.5</v>
      </c>
      <c r="J81" s="65">
        <v>20</v>
      </c>
    </row>
    <row r="83" spans="1:10" x14ac:dyDescent="0.3">
      <c r="I83" s="69">
        <f>SUM(I4:I82)</f>
        <v>399.82</v>
      </c>
      <c r="J83" s="65">
        <f>SUM(J4:J82)</f>
        <v>1265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E8D7-A285-4870-AE0B-7C88295836D8}">
  <dimension ref="A3:K59"/>
  <sheetViews>
    <sheetView topLeftCell="A41" workbookViewId="0">
      <selection activeCell="A3" sqref="A3:A57"/>
    </sheetView>
  </sheetViews>
  <sheetFormatPr defaultColWidth="8.77734375" defaultRowHeight="14.4" x14ac:dyDescent="0.3"/>
  <cols>
    <col min="1" max="1" width="8.77734375" style="64"/>
    <col min="10" max="10" width="9.109375" style="66" bestFit="1" customWidth="1"/>
    <col min="11" max="11" width="8.77734375" style="68"/>
  </cols>
  <sheetData>
    <row r="3" spans="1:11" ht="15" x14ac:dyDescent="0.3">
      <c r="A3" s="64" t="s">
        <v>153</v>
      </c>
      <c r="B3" s="13" t="s">
        <v>154</v>
      </c>
      <c r="J3" s="67">
        <v>168</v>
      </c>
      <c r="K3" s="68">
        <v>6</v>
      </c>
    </row>
    <row r="4" spans="1:11" ht="15" x14ac:dyDescent="0.3">
      <c r="A4" s="64" t="s">
        <v>153</v>
      </c>
      <c r="B4" s="13" t="s">
        <v>155</v>
      </c>
      <c r="J4" s="67">
        <v>56.25</v>
      </c>
      <c r="K4" s="68">
        <v>10</v>
      </c>
    </row>
    <row r="5" spans="1:11" ht="15" x14ac:dyDescent="0.3">
      <c r="A5" s="64" t="s">
        <v>156</v>
      </c>
      <c r="B5" s="13" t="s">
        <v>157</v>
      </c>
      <c r="J5" s="67">
        <v>168</v>
      </c>
      <c r="K5" s="68">
        <v>2</v>
      </c>
    </row>
    <row r="6" spans="1:11" ht="15" x14ac:dyDescent="0.3">
      <c r="A6" s="64" t="s">
        <v>158</v>
      </c>
      <c r="B6" s="27" t="s">
        <v>159</v>
      </c>
      <c r="J6" s="67">
        <v>69</v>
      </c>
      <c r="K6" s="68">
        <v>5</v>
      </c>
    </row>
    <row r="7" spans="1:11" ht="15" x14ac:dyDescent="0.3">
      <c r="A7" s="64" t="s">
        <v>160</v>
      </c>
      <c r="B7" s="13" t="s">
        <v>161</v>
      </c>
      <c r="J7" s="67">
        <v>26.5</v>
      </c>
      <c r="K7" s="68">
        <v>7</v>
      </c>
    </row>
    <row r="8" spans="1:11" ht="15" x14ac:dyDescent="0.3">
      <c r="A8" s="64" t="s">
        <v>160</v>
      </c>
      <c r="B8" s="13" t="s">
        <v>161</v>
      </c>
      <c r="J8" s="67">
        <v>27</v>
      </c>
      <c r="K8" s="68">
        <v>5</v>
      </c>
    </row>
    <row r="9" spans="1:11" ht="15" x14ac:dyDescent="0.3">
      <c r="A9" s="64" t="s">
        <v>162</v>
      </c>
      <c r="B9" s="13" t="s">
        <v>163</v>
      </c>
      <c r="J9" s="67">
        <v>13.8</v>
      </c>
      <c r="K9" s="68">
        <v>18</v>
      </c>
    </row>
    <row r="10" spans="1:11" ht="15" x14ac:dyDescent="0.3">
      <c r="A10" s="64" t="s">
        <v>164</v>
      </c>
      <c r="B10" s="13" t="s">
        <v>165</v>
      </c>
      <c r="J10" s="67">
        <v>13.8</v>
      </c>
      <c r="K10" s="68">
        <v>6</v>
      </c>
    </row>
    <row r="11" spans="1:11" ht="15" x14ac:dyDescent="0.3">
      <c r="A11" s="64" t="s">
        <v>166</v>
      </c>
      <c r="B11" s="13" t="s">
        <v>167</v>
      </c>
      <c r="J11" s="67">
        <v>13.8</v>
      </c>
      <c r="K11" s="68">
        <v>11</v>
      </c>
    </row>
    <row r="12" spans="1:11" ht="15" x14ac:dyDescent="0.3">
      <c r="A12" s="64" t="s">
        <v>168</v>
      </c>
      <c r="B12" s="13" t="s">
        <v>169</v>
      </c>
      <c r="J12" s="67">
        <v>13.8</v>
      </c>
      <c r="K12" s="68">
        <v>12</v>
      </c>
    </row>
    <row r="13" spans="1:11" ht="15" x14ac:dyDescent="0.3">
      <c r="A13" s="64" t="s">
        <v>170</v>
      </c>
      <c r="B13" s="13" t="s">
        <v>171</v>
      </c>
      <c r="J13" s="67">
        <v>16.8</v>
      </c>
      <c r="K13" s="68">
        <v>17</v>
      </c>
    </row>
    <row r="14" spans="1:11" ht="15" x14ac:dyDescent="0.3">
      <c r="A14" s="64" t="s">
        <v>172</v>
      </c>
      <c r="B14" s="13" t="s">
        <v>173</v>
      </c>
      <c r="J14" s="67">
        <v>14.5</v>
      </c>
      <c r="K14" s="68">
        <v>5</v>
      </c>
    </row>
    <row r="15" spans="1:11" ht="15" x14ac:dyDescent="0.3">
      <c r="A15" s="64" t="s">
        <v>172</v>
      </c>
      <c r="B15" s="13" t="s">
        <v>173</v>
      </c>
      <c r="J15" s="67">
        <v>20.149999999999999</v>
      </c>
      <c r="K15" s="68">
        <v>7</v>
      </c>
    </row>
    <row r="16" spans="1:11" ht="15" x14ac:dyDescent="0.3">
      <c r="A16" s="64" t="s">
        <v>174</v>
      </c>
      <c r="B16" s="13" t="s">
        <v>175</v>
      </c>
      <c r="J16" s="67">
        <v>13.8</v>
      </c>
      <c r="K16" s="68">
        <v>19</v>
      </c>
    </row>
    <row r="17" spans="1:11" ht="15" x14ac:dyDescent="0.3">
      <c r="A17" s="64" t="s">
        <v>176</v>
      </c>
      <c r="B17" s="13" t="s">
        <v>177</v>
      </c>
      <c r="J17" s="67">
        <v>16.8</v>
      </c>
      <c r="K17" s="68">
        <v>14</v>
      </c>
    </row>
    <row r="18" spans="1:11" ht="15" x14ac:dyDescent="0.3">
      <c r="A18" s="64" t="s">
        <v>178</v>
      </c>
      <c r="B18" s="13" t="s">
        <v>179</v>
      </c>
      <c r="J18" s="67">
        <v>14.4</v>
      </c>
      <c r="K18" s="68">
        <v>4</v>
      </c>
    </row>
    <row r="19" spans="1:11" ht="15" x14ac:dyDescent="0.3">
      <c r="A19" s="64" t="s">
        <v>180</v>
      </c>
      <c r="B19" s="13" t="s">
        <v>181</v>
      </c>
      <c r="J19" s="67">
        <v>16.7</v>
      </c>
      <c r="K19" s="68">
        <v>11</v>
      </c>
    </row>
    <row r="20" spans="1:11" ht="15" x14ac:dyDescent="0.3">
      <c r="A20" s="64" t="s">
        <v>180</v>
      </c>
      <c r="B20" s="13" t="s">
        <v>182</v>
      </c>
      <c r="J20" s="67">
        <v>20.149999999999999</v>
      </c>
      <c r="K20" s="68">
        <v>5</v>
      </c>
    </row>
    <row r="21" spans="1:11" ht="15" x14ac:dyDescent="0.3">
      <c r="A21" s="64" t="s">
        <v>183</v>
      </c>
      <c r="B21" s="13" t="s">
        <v>184</v>
      </c>
      <c r="J21" s="67">
        <v>13.8</v>
      </c>
      <c r="K21" s="68">
        <v>3</v>
      </c>
    </row>
    <row r="22" spans="1:11" ht="15" x14ac:dyDescent="0.3">
      <c r="A22" s="64" t="s">
        <v>183</v>
      </c>
      <c r="B22" s="13" t="s">
        <v>185</v>
      </c>
      <c r="J22" s="67">
        <v>16.8</v>
      </c>
      <c r="K22" s="68">
        <v>15</v>
      </c>
    </row>
    <row r="23" spans="1:11" ht="15" x14ac:dyDescent="0.3">
      <c r="A23" s="64" t="s">
        <v>186</v>
      </c>
      <c r="B23" s="13" t="s">
        <v>187</v>
      </c>
      <c r="J23" s="67">
        <v>18.5</v>
      </c>
      <c r="K23" s="68">
        <v>8</v>
      </c>
    </row>
    <row r="24" spans="1:11" ht="15" x14ac:dyDescent="0.3">
      <c r="A24" s="64" t="s">
        <v>188</v>
      </c>
      <c r="B24" s="13" t="s">
        <v>189</v>
      </c>
      <c r="J24" s="67">
        <v>18.5</v>
      </c>
      <c r="K24" s="68">
        <v>7</v>
      </c>
    </row>
    <row r="25" spans="1:11" ht="15" x14ac:dyDescent="0.3">
      <c r="A25" s="64" t="s">
        <v>190</v>
      </c>
      <c r="B25" s="13" t="s">
        <v>191</v>
      </c>
      <c r="J25" s="67">
        <v>2.2000000000000002</v>
      </c>
      <c r="K25" s="68">
        <v>500</v>
      </c>
    </row>
    <row r="26" spans="1:11" ht="15" x14ac:dyDescent="0.3">
      <c r="A26" s="64" t="s">
        <v>192</v>
      </c>
      <c r="B26" s="13" t="s">
        <v>322</v>
      </c>
      <c r="J26" s="67">
        <v>24</v>
      </c>
      <c r="K26" s="68">
        <v>3</v>
      </c>
    </row>
    <row r="27" spans="1:11" ht="15" x14ac:dyDescent="0.3">
      <c r="A27" s="64" t="s">
        <v>194</v>
      </c>
      <c r="B27" s="13" t="s">
        <v>195</v>
      </c>
      <c r="J27" s="67">
        <v>5.2</v>
      </c>
      <c r="K27" s="68">
        <v>4</v>
      </c>
    </row>
    <row r="28" spans="1:11" ht="15" x14ac:dyDescent="0.3">
      <c r="A28" s="64" t="s">
        <v>196</v>
      </c>
      <c r="B28" s="13" t="s">
        <v>323</v>
      </c>
      <c r="J28" s="67">
        <v>3.9</v>
      </c>
      <c r="K28" s="68">
        <v>46</v>
      </c>
    </row>
    <row r="29" spans="1:11" ht="15" x14ac:dyDescent="0.3">
      <c r="A29" s="64" t="s">
        <v>198</v>
      </c>
      <c r="B29" s="13" t="s">
        <v>199</v>
      </c>
      <c r="J29" s="67">
        <v>1.2</v>
      </c>
      <c r="K29" s="68">
        <v>12</v>
      </c>
    </row>
    <row r="30" spans="1:11" ht="15" x14ac:dyDescent="0.3">
      <c r="A30" s="64" t="s">
        <v>200</v>
      </c>
      <c r="B30" s="13" t="s">
        <v>324</v>
      </c>
      <c r="J30" s="67">
        <v>1.85</v>
      </c>
      <c r="K30" s="68">
        <v>54</v>
      </c>
    </row>
    <row r="31" spans="1:11" ht="15" x14ac:dyDescent="0.3">
      <c r="A31" s="64" t="s">
        <v>202</v>
      </c>
      <c r="B31" s="13" t="s">
        <v>325</v>
      </c>
      <c r="J31" s="67">
        <v>15</v>
      </c>
      <c r="K31" s="68">
        <v>7</v>
      </c>
    </row>
    <row r="32" spans="1:11" ht="15" x14ac:dyDescent="0.3">
      <c r="A32" s="64" t="s">
        <v>204</v>
      </c>
      <c r="B32" s="13" t="s">
        <v>326</v>
      </c>
      <c r="J32" s="67">
        <v>2.95</v>
      </c>
      <c r="K32" s="68">
        <v>22</v>
      </c>
    </row>
    <row r="33" spans="1:11" ht="15" x14ac:dyDescent="0.3">
      <c r="A33" s="64" t="s">
        <v>206</v>
      </c>
      <c r="B33" s="13" t="s">
        <v>207</v>
      </c>
      <c r="J33" s="67">
        <v>3.7</v>
      </c>
      <c r="K33" s="68">
        <v>3</v>
      </c>
    </row>
    <row r="34" spans="1:11" ht="15" x14ac:dyDescent="0.3">
      <c r="A34" s="64" t="s">
        <v>206</v>
      </c>
      <c r="B34" s="13" t="s">
        <v>207</v>
      </c>
      <c r="J34" s="67">
        <v>5.75</v>
      </c>
      <c r="K34" s="68">
        <v>15</v>
      </c>
    </row>
    <row r="35" spans="1:11" ht="15" x14ac:dyDescent="0.3">
      <c r="A35" s="64" t="s">
        <v>209</v>
      </c>
      <c r="B35" s="13" t="s">
        <v>210</v>
      </c>
      <c r="J35" s="67">
        <v>40</v>
      </c>
      <c r="K35" s="68">
        <v>5</v>
      </c>
    </row>
    <row r="36" spans="1:11" ht="15" x14ac:dyDescent="0.3">
      <c r="A36" s="64" t="s">
        <v>209</v>
      </c>
      <c r="B36" s="13" t="s">
        <v>211</v>
      </c>
      <c r="J36" s="67">
        <v>64</v>
      </c>
      <c r="K36" s="68">
        <v>10</v>
      </c>
    </row>
    <row r="37" spans="1:11" ht="15" x14ac:dyDescent="0.3">
      <c r="A37" s="64" t="s">
        <v>212</v>
      </c>
      <c r="B37" s="13" t="s">
        <v>213</v>
      </c>
      <c r="J37" s="67">
        <v>41</v>
      </c>
      <c r="K37" s="68">
        <v>27</v>
      </c>
    </row>
    <row r="38" spans="1:11" ht="15" x14ac:dyDescent="0.3">
      <c r="A38" s="64" t="s">
        <v>214</v>
      </c>
      <c r="B38" s="13" t="s">
        <v>215</v>
      </c>
      <c r="J38" s="67">
        <v>38.4</v>
      </c>
      <c r="K38" s="68">
        <v>10</v>
      </c>
    </row>
    <row r="39" spans="1:11" ht="15" x14ac:dyDescent="0.3">
      <c r="A39" s="64" t="s">
        <v>216</v>
      </c>
      <c r="B39" s="63" t="s">
        <v>217</v>
      </c>
      <c r="J39" s="67">
        <v>82</v>
      </c>
      <c r="K39" s="68">
        <v>10</v>
      </c>
    </row>
    <row r="40" spans="1:11" ht="15" x14ac:dyDescent="0.3">
      <c r="A40" s="64" t="s">
        <v>218</v>
      </c>
      <c r="B40" s="63" t="s">
        <v>219</v>
      </c>
      <c r="J40" s="67">
        <v>92</v>
      </c>
      <c r="K40" s="68">
        <v>1</v>
      </c>
    </row>
    <row r="41" spans="1:11" ht="15" x14ac:dyDescent="0.3">
      <c r="A41" s="64" t="s">
        <v>220</v>
      </c>
      <c r="B41" s="13" t="s">
        <v>221</v>
      </c>
      <c r="J41" s="67">
        <v>3.45</v>
      </c>
      <c r="K41" s="68">
        <v>83</v>
      </c>
    </row>
    <row r="42" spans="1:11" ht="15" x14ac:dyDescent="0.3">
      <c r="A42" s="64" t="s">
        <v>222</v>
      </c>
      <c r="B42" s="13" t="s">
        <v>223</v>
      </c>
      <c r="J42" s="67">
        <v>0.1</v>
      </c>
      <c r="K42" s="68">
        <v>2500</v>
      </c>
    </row>
    <row r="43" spans="1:11" ht="15" x14ac:dyDescent="0.3">
      <c r="A43" s="64" t="s">
        <v>224</v>
      </c>
      <c r="B43" s="13" t="s">
        <v>225</v>
      </c>
      <c r="J43" s="67">
        <v>0.68</v>
      </c>
      <c r="K43" s="68">
        <v>750</v>
      </c>
    </row>
    <row r="44" spans="1:11" ht="15" x14ac:dyDescent="0.3">
      <c r="A44" s="64" t="s">
        <v>226</v>
      </c>
      <c r="B44" s="13" t="s">
        <v>227</v>
      </c>
      <c r="J44" s="67">
        <v>0.36</v>
      </c>
      <c r="K44" s="68">
        <v>1250</v>
      </c>
    </row>
    <row r="45" spans="1:11" ht="15" x14ac:dyDescent="0.3">
      <c r="A45" s="64" t="s">
        <v>228</v>
      </c>
      <c r="B45" s="13" t="s">
        <v>327</v>
      </c>
      <c r="J45" s="67">
        <v>13</v>
      </c>
      <c r="K45" s="68">
        <v>26</v>
      </c>
    </row>
    <row r="46" spans="1:11" ht="15" x14ac:dyDescent="0.3">
      <c r="A46" s="64" t="s">
        <v>230</v>
      </c>
      <c r="B46" s="13" t="s">
        <v>231</v>
      </c>
      <c r="J46" s="67">
        <v>5.9</v>
      </c>
      <c r="K46" s="68">
        <v>11</v>
      </c>
    </row>
    <row r="47" spans="1:11" ht="15" x14ac:dyDescent="0.3">
      <c r="A47" s="64" t="s">
        <v>232</v>
      </c>
      <c r="B47" s="35" t="s">
        <v>328</v>
      </c>
      <c r="J47" s="67">
        <v>26</v>
      </c>
      <c r="K47" s="68">
        <v>3</v>
      </c>
    </row>
    <row r="48" spans="1:11" ht="15" x14ac:dyDescent="0.3">
      <c r="A48" s="64" t="s">
        <v>233</v>
      </c>
      <c r="B48" s="35" t="s">
        <v>329</v>
      </c>
      <c r="J48" s="67">
        <v>63</v>
      </c>
      <c r="K48" s="68">
        <v>3</v>
      </c>
    </row>
    <row r="49" spans="1:11" ht="15" x14ac:dyDescent="0.3">
      <c r="A49" s="64" t="s">
        <v>235</v>
      </c>
      <c r="B49" s="13" t="s">
        <v>236</v>
      </c>
      <c r="J49" s="67">
        <v>9.5</v>
      </c>
      <c r="K49" s="68">
        <v>23</v>
      </c>
    </row>
    <row r="50" spans="1:11" ht="15" x14ac:dyDescent="0.3">
      <c r="A50" s="64" t="s">
        <v>237</v>
      </c>
      <c r="B50" s="13" t="s">
        <v>238</v>
      </c>
      <c r="J50" s="67">
        <v>12.6</v>
      </c>
      <c r="K50" s="68">
        <v>1</v>
      </c>
    </row>
    <row r="51" spans="1:11" ht="15" x14ac:dyDescent="0.3">
      <c r="A51" s="64" t="s">
        <v>237</v>
      </c>
      <c r="B51" s="13" t="s">
        <v>239</v>
      </c>
      <c r="J51" s="67">
        <v>15.15</v>
      </c>
      <c r="K51" s="68">
        <v>1</v>
      </c>
    </row>
    <row r="52" spans="1:11" ht="15" x14ac:dyDescent="0.3">
      <c r="A52" s="64" t="s">
        <v>240</v>
      </c>
      <c r="B52" s="13" t="s">
        <v>241</v>
      </c>
      <c r="J52" s="67">
        <v>13.8</v>
      </c>
      <c r="K52" s="68">
        <v>2</v>
      </c>
    </row>
    <row r="53" spans="1:11" ht="15" x14ac:dyDescent="0.3">
      <c r="A53" s="64" t="s">
        <v>242</v>
      </c>
      <c r="B53" s="35" t="s">
        <v>243</v>
      </c>
      <c r="J53" s="67">
        <v>0.85</v>
      </c>
      <c r="K53" s="68">
        <v>95</v>
      </c>
    </row>
    <row r="54" spans="1:11" ht="15" x14ac:dyDescent="0.3">
      <c r="A54" s="64" t="s">
        <v>244</v>
      </c>
      <c r="B54" s="35" t="s">
        <v>245</v>
      </c>
      <c r="J54" s="67">
        <v>1.1000000000000001</v>
      </c>
      <c r="K54" s="68">
        <v>100</v>
      </c>
    </row>
    <row r="55" spans="1:11" ht="15" x14ac:dyDescent="0.3">
      <c r="A55" s="64" t="s">
        <v>246</v>
      </c>
      <c r="B55" s="35" t="s">
        <v>247</v>
      </c>
      <c r="J55" s="67">
        <v>0.88</v>
      </c>
      <c r="K55" s="68">
        <v>100</v>
      </c>
    </row>
    <row r="56" spans="1:11" ht="15" x14ac:dyDescent="0.3">
      <c r="A56" s="64" t="s">
        <v>248</v>
      </c>
      <c r="B56" s="63" t="s">
        <v>249</v>
      </c>
      <c r="J56" s="67">
        <v>3</v>
      </c>
      <c r="K56" s="68">
        <v>241</v>
      </c>
    </row>
    <row r="57" spans="1:11" ht="15" x14ac:dyDescent="0.3">
      <c r="A57" s="64" t="s">
        <v>250</v>
      </c>
      <c r="B57" s="63" t="s">
        <v>251</v>
      </c>
      <c r="J57" s="67">
        <v>3</v>
      </c>
      <c r="K57" s="68">
        <v>298</v>
      </c>
    </row>
    <row r="59" spans="1:11" x14ac:dyDescent="0.3">
      <c r="J59" s="66">
        <f>SUM(J3:J58)</f>
        <v>1366.3699999999997</v>
      </c>
      <c r="K59" s="68">
        <f>SUM(K3:K58)</f>
        <v>6413</v>
      </c>
    </row>
  </sheetData>
  <phoneticPr fontId="1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3ED2-31BE-474C-8C63-BC7A4972E581}">
  <dimension ref="A3:K27"/>
  <sheetViews>
    <sheetView topLeftCell="A9" workbookViewId="0">
      <selection activeCell="A7" sqref="A7:A25"/>
    </sheetView>
  </sheetViews>
  <sheetFormatPr defaultColWidth="8.77734375" defaultRowHeight="14.4" x14ac:dyDescent="0.3"/>
  <cols>
    <col min="1" max="1" width="8.77734375" style="64"/>
    <col min="10" max="10" width="8.77734375" style="66"/>
    <col min="11" max="11" width="8.77734375" style="68"/>
  </cols>
  <sheetData>
    <row r="3" spans="1:11" ht="15" x14ac:dyDescent="0.3">
      <c r="A3" s="64" t="s">
        <v>252</v>
      </c>
      <c r="B3" s="13" t="s">
        <v>253</v>
      </c>
      <c r="J3" s="67">
        <v>8.9499999999999993</v>
      </c>
      <c r="K3" s="68">
        <v>3</v>
      </c>
    </row>
    <row r="4" spans="1:11" ht="15" x14ac:dyDescent="0.3">
      <c r="A4" s="64" t="s">
        <v>252</v>
      </c>
      <c r="B4" s="13" t="s">
        <v>253</v>
      </c>
      <c r="J4" s="67">
        <v>7.5</v>
      </c>
      <c r="K4" s="68">
        <v>11</v>
      </c>
    </row>
    <row r="5" spans="1:11" ht="15" x14ac:dyDescent="0.3">
      <c r="A5" s="64" t="s">
        <v>254</v>
      </c>
      <c r="B5" s="13" t="s">
        <v>255</v>
      </c>
      <c r="J5" s="67">
        <v>1.2</v>
      </c>
      <c r="K5" s="68">
        <v>10</v>
      </c>
    </row>
    <row r="6" spans="1:11" ht="15" x14ac:dyDescent="0.3">
      <c r="A6" s="64" t="s">
        <v>256</v>
      </c>
      <c r="B6" s="35" t="s">
        <v>257</v>
      </c>
      <c r="J6" s="67">
        <v>0.48</v>
      </c>
      <c r="K6" s="68">
        <v>143</v>
      </c>
    </row>
    <row r="7" spans="1:11" ht="15" x14ac:dyDescent="0.3">
      <c r="A7" s="64" t="s">
        <v>258</v>
      </c>
      <c r="B7" s="13" t="s">
        <v>259</v>
      </c>
      <c r="J7" s="67">
        <v>5.3</v>
      </c>
      <c r="K7" s="68">
        <v>44</v>
      </c>
    </row>
    <row r="8" spans="1:11" ht="15" x14ac:dyDescent="0.3">
      <c r="A8" s="64" t="s">
        <v>260</v>
      </c>
      <c r="B8" s="13" t="s">
        <v>261</v>
      </c>
      <c r="J8" s="67">
        <v>6.25</v>
      </c>
      <c r="K8" s="68">
        <v>40</v>
      </c>
    </row>
    <row r="9" spans="1:11" ht="15" x14ac:dyDescent="0.3">
      <c r="A9" s="64" t="s">
        <v>262</v>
      </c>
      <c r="B9" s="13" t="s">
        <v>263</v>
      </c>
      <c r="J9" s="67">
        <v>5.9</v>
      </c>
      <c r="K9" s="68">
        <v>8</v>
      </c>
    </row>
    <row r="10" spans="1:11" ht="15" x14ac:dyDescent="0.3">
      <c r="A10" s="64" t="s">
        <v>262</v>
      </c>
      <c r="B10" s="13" t="s">
        <v>263</v>
      </c>
      <c r="J10" s="67">
        <v>4.95</v>
      </c>
      <c r="K10" s="68">
        <v>50</v>
      </c>
    </row>
    <row r="11" spans="1:11" ht="15" x14ac:dyDescent="0.3">
      <c r="A11" s="64" t="s">
        <v>265</v>
      </c>
      <c r="B11" s="13" t="s">
        <v>266</v>
      </c>
      <c r="J11" s="67">
        <v>6.8</v>
      </c>
      <c r="K11" s="68">
        <v>9</v>
      </c>
    </row>
    <row r="12" spans="1:11" ht="15" x14ac:dyDescent="0.3">
      <c r="A12" s="64" t="s">
        <v>267</v>
      </c>
      <c r="B12" s="13" t="s">
        <v>330</v>
      </c>
      <c r="J12" s="67">
        <v>6.4</v>
      </c>
      <c r="K12" s="68">
        <v>25</v>
      </c>
    </row>
    <row r="13" spans="1:11" ht="15" x14ac:dyDescent="0.3">
      <c r="A13" s="64" t="s">
        <v>269</v>
      </c>
      <c r="B13" s="13" t="s">
        <v>270</v>
      </c>
      <c r="J13" s="67">
        <v>6.9</v>
      </c>
      <c r="K13" s="68">
        <v>1</v>
      </c>
    </row>
    <row r="14" spans="1:11" ht="15" x14ac:dyDescent="0.3">
      <c r="A14" s="64" t="s">
        <v>269</v>
      </c>
      <c r="B14" s="13" t="s">
        <v>271</v>
      </c>
      <c r="J14" s="67">
        <v>10.27</v>
      </c>
      <c r="K14" s="68">
        <v>20</v>
      </c>
    </row>
    <row r="15" spans="1:11" ht="15" x14ac:dyDescent="0.3">
      <c r="A15" s="64" t="s">
        <v>269</v>
      </c>
      <c r="B15" s="13" t="s">
        <v>271</v>
      </c>
      <c r="J15" s="67">
        <v>9.9</v>
      </c>
      <c r="K15" s="68">
        <v>61</v>
      </c>
    </row>
    <row r="16" spans="1:11" ht="15" x14ac:dyDescent="0.3">
      <c r="A16" s="64" t="s">
        <v>272</v>
      </c>
      <c r="B16" s="63" t="s">
        <v>273</v>
      </c>
      <c r="J16" s="67">
        <v>2.8</v>
      </c>
      <c r="K16" s="68">
        <v>39</v>
      </c>
    </row>
    <row r="17" spans="1:11" ht="15" x14ac:dyDescent="0.3">
      <c r="A17" s="64" t="s">
        <v>274</v>
      </c>
      <c r="B17" s="13" t="s">
        <v>275</v>
      </c>
      <c r="J17" s="67">
        <v>19</v>
      </c>
      <c r="K17" s="68">
        <v>2</v>
      </c>
    </row>
    <row r="18" spans="1:11" ht="15" x14ac:dyDescent="0.3">
      <c r="A18" s="64" t="s">
        <v>276</v>
      </c>
      <c r="B18" s="13" t="s">
        <v>277</v>
      </c>
      <c r="J18" s="67">
        <v>2.5</v>
      </c>
      <c r="K18" s="68">
        <v>10</v>
      </c>
    </row>
    <row r="19" spans="1:11" ht="15" x14ac:dyDescent="0.3">
      <c r="A19" s="64" t="s">
        <v>278</v>
      </c>
      <c r="B19" s="13" t="s">
        <v>331</v>
      </c>
      <c r="J19" s="67">
        <v>0.12</v>
      </c>
      <c r="K19" s="68">
        <v>100</v>
      </c>
    </row>
    <row r="20" spans="1:11" ht="15" x14ac:dyDescent="0.3">
      <c r="A20" s="64" t="s">
        <v>280</v>
      </c>
      <c r="B20" s="13" t="s">
        <v>281</v>
      </c>
      <c r="J20" s="67">
        <v>0.14000000000000001</v>
      </c>
      <c r="K20" s="68">
        <v>0</v>
      </c>
    </row>
    <row r="21" spans="1:11" ht="15" x14ac:dyDescent="0.3">
      <c r="A21" s="64" t="s">
        <v>282</v>
      </c>
      <c r="B21" s="13" t="s">
        <v>332</v>
      </c>
      <c r="J21" s="67">
        <v>0.32</v>
      </c>
      <c r="K21" s="68">
        <v>100</v>
      </c>
    </row>
    <row r="22" spans="1:11" ht="15" x14ac:dyDescent="0.3">
      <c r="A22" s="64" t="s">
        <v>284</v>
      </c>
      <c r="B22" s="13" t="s">
        <v>333</v>
      </c>
      <c r="J22" s="67">
        <v>0.35</v>
      </c>
      <c r="K22" s="68">
        <v>200</v>
      </c>
    </row>
    <row r="23" spans="1:11" ht="15" x14ac:dyDescent="0.3">
      <c r="A23" s="64" t="s">
        <v>286</v>
      </c>
      <c r="B23" s="13" t="s">
        <v>287</v>
      </c>
      <c r="J23" s="67">
        <v>0.6</v>
      </c>
      <c r="K23" s="68">
        <v>100</v>
      </c>
    </row>
    <row r="24" spans="1:11" ht="15" x14ac:dyDescent="0.3">
      <c r="A24" s="64" t="s">
        <v>288</v>
      </c>
      <c r="B24" s="63" t="s">
        <v>289</v>
      </c>
      <c r="J24" s="67">
        <v>13.9</v>
      </c>
      <c r="K24" s="68">
        <v>12</v>
      </c>
    </row>
    <row r="25" spans="1:11" ht="15" x14ac:dyDescent="0.3">
      <c r="A25" s="64" t="s">
        <v>290</v>
      </c>
      <c r="B25" s="63" t="s">
        <v>291</v>
      </c>
      <c r="J25" s="67">
        <v>21.9</v>
      </c>
      <c r="K25" s="68">
        <v>7</v>
      </c>
    </row>
    <row r="27" spans="1:11" x14ac:dyDescent="0.3">
      <c r="J27" s="66">
        <f>SUM(J3:J26)</f>
        <v>142.42999999999998</v>
      </c>
      <c r="K27" s="68">
        <f>SUM(K3:K26)</f>
        <v>995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82F7-5603-4626-BEC1-F6BEAB6ADBFA}">
  <dimension ref="A3:K10"/>
  <sheetViews>
    <sheetView workbookViewId="0">
      <selection activeCell="A3" sqref="A3:A8"/>
    </sheetView>
  </sheetViews>
  <sheetFormatPr defaultColWidth="8.77734375" defaultRowHeight="14.4" x14ac:dyDescent="0.3"/>
  <cols>
    <col min="1" max="1" width="8.77734375" style="64"/>
    <col min="10" max="10" width="9.109375" style="66" bestFit="1" customWidth="1"/>
    <col min="11" max="11" width="8.77734375" style="68"/>
  </cols>
  <sheetData>
    <row r="3" spans="1:11" ht="15" x14ac:dyDescent="0.3">
      <c r="A3" s="64" t="s">
        <v>292</v>
      </c>
      <c r="B3" s="38" t="s">
        <v>293</v>
      </c>
      <c r="J3" s="67">
        <v>2.13</v>
      </c>
      <c r="K3" s="68">
        <v>76</v>
      </c>
    </row>
    <row r="4" spans="1:11" ht="15" x14ac:dyDescent="0.3">
      <c r="A4" s="64" t="s">
        <v>294</v>
      </c>
      <c r="B4" s="13" t="s">
        <v>334</v>
      </c>
      <c r="J4" s="67">
        <v>195</v>
      </c>
      <c r="K4" s="68">
        <v>1</v>
      </c>
    </row>
    <row r="5" spans="1:11" ht="15" x14ac:dyDescent="0.3">
      <c r="A5" s="64" t="s">
        <v>296</v>
      </c>
      <c r="B5" s="13" t="s">
        <v>297</v>
      </c>
      <c r="J5" s="67">
        <v>258.5</v>
      </c>
      <c r="K5" s="68">
        <v>0</v>
      </c>
    </row>
    <row r="6" spans="1:11" ht="15" x14ac:dyDescent="0.3">
      <c r="A6" s="64" t="s">
        <v>298</v>
      </c>
      <c r="B6" s="13" t="s">
        <v>335</v>
      </c>
      <c r="J6" s="67">
        <v>195</v>
      </c>
      <c r="K6" s="68">
        <v>1</v>
      </c>
    </row>
    <row r="7" spans="1:11" ht="15" x14ac:dyDescent="0.3">
      <c r="A7" s="64" t="s">
        <v>299</v>
      </c>
      <c r="B7" s="13" t="s">
        <v>336</v>
      </c>
      <c r="J7" s="67">
        <v>195</v>
      </c>
      <c r="K7" s="68">
        <v>1</v>
      </c>
    </row>
    <row r="8" spans="1:11" ht="15" x14ac:dyDescent="0.3">
      <c r="A8" s="64" t="s">
        <v>301</v>
      </c>
      <c r="B8" s="13" t="s">
        <v>337</v>
      </c>
      <c r="J8" s="67">
        <v>312.5</v>
      </c>
      <c r="K8" s="68">
        <v>1</v>
      </c>
    </row>
    <row r="10" spans="1:11" x14ac:dyDescent="0.3">
      <c r="J10" s="66">
        <f>SUM(J3:J9)</f>
        <v>1158.1300000000001</v>
      </c>
      <c r="K10" s="68">
        <f>SUM(K3:K9)</f>
        <v>80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B7BB-6351-4EEE-9AA1-0182E73E65FB}">
  <dimension ref="A3:F7"/>
  <sheetViews>
    <sheetView workbookViewId="0">
      <selection activeCell="A3" sqref="A3:A5"/>
    </sheetView>
  </sheetViews>
  <sheetFormatPr defaultColWidth="8.77734375" defaultRowHeight="14.4" x14ac:dyDescent="0.3"/>
  <cols>
    <col min="1" max="1" width="8.77734375" style="64"/>
    <col min="5" max="5" width="8.77734375" style="66"/>
    <col min="6" max="6" width="8.77734375" style="68"/>
  </cols>
  <sheetData>
    <row r="3" spans="1:6" ht="15" x14ac:dyDescent="0.3">
      <c r="A3" s="64" t="s">
        <v>303</v>
      </c>
      <c r="B3" s="13" t="s">
        <v>304</v>
      </c>
      <c r="E3" s="67">
        <v>9.98</v>
      </c>
      <c r="F3" s="68">
        <v>123</v>
      </c>
    </row>
    <row r="4" spans="1:6" ht="15" x14ac:dyDescent="0.3">
      <c r="A4" s="64" t="s">
        <v>305</v>
      </c>
      <c r="B4" s="13" t="s">
        <v>306</v>
      </c>
      <c r="E4" s="67">
        <v>8.5</v>
      </c>
      <c r="F4" s="68">
        <v>151</v>
      </c>
    </row>
    <row r="5" spans="1:6" ht="15" x14ac:dyDescent="0.3">
      <c r="A5" s="64" t="s">
        <v>307</v>
      </c>
      <c r="B5" s="13" t="s">
        <v>308</v>
      </c>
      <c r="E5" s="67">
        <v>6.9</v>
      </c>
      <c r="F5" s="68">
        <v>147</v>
      </c>
    </row>
    <row r="7" spans="1:6" x14ac:dyDescent="0.3">
      <c r="E7" s="66">
        <f>SUM(E3:E6)</f>
        <v>25.380000000000003</v>
      </c>
      <c r="F7" s="68">
        <f>SUM(F3:F6)</f>
        <v>421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B47CF918F2C540B2FD6B1932754768" ma:contentTypeVersion="22" ma:contentTypeDescription="Create a new document." ma:contentTypeScope="" ma:versionID="6109cb98feaa9094800620d763e23211">
  <xsd:schema xmlns:xsd="http://www.w3.org/2001/XMLSchema" xmlns:xs="http://www.w3.org/2001/XMLSchema" xmlns:p="http://schemas.microsoft.com/office/2006/metadata/properties" xmlns:ns2="aa641f1a-dc85-4a7c-9f95-1e5859195ca7" xmlns:ns3="896fa755-5038-4296-908d-761936ad479f" targetNamespace="http://schemas.microsoft.com/office/2006/metadata/properties" ma:root="true" ma:fieldsID="2db36fe924bfc44e2f5f4e228e6a7107" ns2:_="" ns3:_="">
    <xsd:import namespace="aa641f1a-dc85-4a7c-9f95-1e5859195ca7"/>
    <xsd:import namespace="896fa755-5038-4296-908d-761936ad47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641f1a-dc85-4a7c-9f95-1e5859195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b68aa35-819b-428a-be07-d7a28ecccd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6fa755-5038-4296-908d-761936ad479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92a5576-adff-453b-ab60-b2887ab49628}" ma:internalName="TaxCatchAll" ma:showField="CatchAllData" ma:web="896fa755-5038-4296-908d-761936ad47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641f1a-dc85-4a7c-9f95-1e5859195ca7">
      <Terms xmlns="http://schemas.microsoft.com/office/infopath/2007/PartnerControls"/>
    </lcf76f155ced4ddcb4097134ff3c332f>
    <TaxCatchAll xmlns="896fa755-5038-4296-908d-761936ad479f" xsi:nil="true"/>
  </documentManagement>
</p:properties>
</file>

<file path=customXml/itemProps1.xml><?xml version="1.0" encoding="utf-8"?>
<ds:datastoreItem xmlns:ds="http://schemas.openxmlformats.org/officeDocument/2006/customXml" ds:itemID="{4BC74661-48DC-4A1F-AD22-BB64037345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6BDF1C-F1BC-42C2-93BB-EEC0C7D68F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641f1a-dc85-4a7c-9f95-1e5859195ca7"/>
    <ds:schemaRef ds:uri="896fa755-5038-4296-908d-761936ad47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627327-6412-416A-844F-C20F7339BBCE}">
  <ds:schemaRefs>
    <ds:schemaRef ds:uri="http://schemas.openxmlformats.org/package/2006/metadata/core-properties"/>
    <ds:schemaRef ds:uri="http://schemas.microsoft.com/office/2006/documentManagement/types"/>
    <ds:schemaRef ds:uri="aa641f1a-dc85-4a7c-9f95-1e5859195ca7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896fa755-5038-4296-908d-761936ad479f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Stok Alat Tulis 2026 - by Ama</vt:lpstr>
      <vt:lpstr>KEW.PS-20-ALAT TULIS</vt:lpstr>
      <vt:lpstr>A</vt:lpstr>
      <vt:lpstr>B</vt:lpstr>
      <vt:lpstr>C</vt:lpstr>
      <vt:lpstr>D</vt:lpstr>
      <vt:lpstr>E</vt:lpstr>
      <vt:lpstr>'KEW.PS-20-ALAT TULIS'!Print_Area</vt:lpstr>
      <vt:lpstr>'KEW.PS-20-ALAT TULIS'!Print_Titles</vt:lpstr>
      <vt:lpstr>'Stok Alat Tulis 2026 - by Ama'!Print_Titles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Siti Amalina Ismail</dc:creator>
  <cp:keywords/>
  <dc:description/>
  <cp:lastModifiedBy>Rohani Mohd Yusop</cp:lastModifiedBy>
  <cp:revision/>
  <cp:lastPrinted>2026-09-17T02:59:49Z</cp:lastPrinted>
  <dcterms:created xsi:type="dcterms:W3CDTF">2025-01-09T04:29:29Z</dcterms:created>
  <dcterms:modified xsi:type="dcterms:W3CDTF">2026-09-23T01:46:55Z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0x010100F5B47CF918F2C540B2FD6B1932754768</vt:lpwstr>
  </property>
  <property fmtid="{D5CDD505-2E9C-101B-9397-08002B2CF9AE}" pid="3" name="MediaServiceImageTags">
    <vt:lpwstr/>
  </property>
</Properties>
</file>
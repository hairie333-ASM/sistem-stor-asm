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akademisainsmy.sharepoint.com/sites/ASMIT-Admin/Shared Documents/Admin/Fasiliti/STOK/"/>
    </mc:Choice>
  </mc:AlternateContent>
  <xr:revisionPtr revIDLastSave="279" documentId="8_{C6E03FD4-30E0-4130-9713-CD021AC69ECB}" xr6:coauthVersionLast="47" xr6:coauthVersionMax="47" xr10:uidLastSave="{A43DB4D5-0E5B-4F4B-8D9C-558F228CC965}"/>
  <bookViews>
    <workbookView xWindow="0" yWindow="0" windowWidth="28160" windowHeight="17620" xr2:uid="{5E21BE10-5184-43E9-957F-F931BF983DE2}"/>
  </bookViews>
  <sheets>
    <sheet name="Report Bulanan Stok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39" i="1" l="1"/>
  <c r="BJ39" i="1"/>
  <c r="BI39" i="1"/>
  <c r="BF39" i="1"/>
  <c r="BD33" i="1"/>
  <c r="BD34" i="1"/>
  <c r="BD35" i="1"/>
  <c r="BD36" i="1"/>
  <c r="BD37" i="1"/>
  <c r="BD38" i="1"/>
  <c r="BC33" i="1"/>
  <c r="BC34" i="1"/>
  <c r="BC35" i="1"/>
  <c r="BC36" i="1"/>
  <c r="BC37" i="1"/>
  <c r="BC38" i="1"/>
  <c r="BE33" i="1"/>
  <c r="BF33" i="1"/>
  <c r="BE34" i="1"/>
  <c r="BF34" i="1"/>
  <c r="BE35" i="1"/>
  <c r="BF35" i="1"/>
  <c r="BE36" i="1"/>
  <c r="BF36" i="1"/>
  <c r="BE37" i="1"/>
  <c r="BF37" i="1"/>
  <c r="BE38" i="1"/>
  <c r="BF38" i="1"/>
  <c r="BE25" i="1"/>
  <c r="AZ39" i="1"/>
  <c r="BB39" i="1"/>
  <c r="AB39" i="1"/>
  <c r="Z39" i="1"/>
  <c r="H40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I42" i="1"/>
  <c r="G40" i="1"/>
  <c r="BD39" i="1"/>
  <c r="O14" i="1"/>
  <c r="BD45" i="1"/>
  <c r="AV39" i="1"/>
  <c r="AP39" i="1"/>
  <c r="AJ39" i="1"/>
  <c r="AD39" i="1"/>
  <c r="X39" i="1"/>
  <c r="R39" i="1"/>
  <c r="L39" i="1"/>
  <c r="CB32" i="1"/>
  <c r="CA32" i="1"/>
  <c r="BV32" i="1"/>
  <c r="BU32" i="1"/>
  <c r="BP32" i="1"/>
  <c r="BO32" i="1"/>
  <c r="BJ32" i="1"/>
  <c r="BI32" i="1"/>
  <c r="BC32" i="1"/>
  <c r="AX32" i="1"/>
  <c r="AW32" i="1"/>
  <c r="AR32" i="1"/>
  <c r="AQ32" i="1"/>
  <c r="AL32" i="1"/>
  <c r="AK32" i="1"/>
  <c r="AF32" i="1"/>
  <c r="AE32" i="1"/>
  <c r="Z32" i="1"/>
  <c r="Y32" i="1"/>
  <c r="O32" i="1"/>
  <c r="J32" i="1"/>
  <c r="CB31" i="1"/>
  <c r="CA31" i="1"/>
  <c r="BV31" i="1"/>
  <c r="BU31" i="1"/>
  <c r="BP31" i="1"/>
  <c r="BO31" i="1"/>
  <c r="BJ31" i="1"/>
  <c r="BI31" i="1"/>
  <c r="BC31" i="1"/>
  <c r="AX31" i="1"/>
  <c r="AW31" i="1"/>
  <c r="AR31" i="1"/>
  <c r="AQ31" i="1"/>
  <c r="AL31" i="1"/>
  <c r="AK31" i="1"/>
  <c r="AF31" i="1"/>
  <c r="AE31" i="1"/>
  <c r="Z31" i="1"/>
  <c r="Y31" i="1"/>
  <c r="O31" i="1"/>
  <c r="J31" i="1"/>
  <c r="CB30" i="1"/>
  <c r="CA30" i="1"/>
  <c r="BV30" i="1"/>
  <c r="BU30" i="1"/>
  <c r="BP30" i="1"/>
  <c r="BO30" i="1"/>
  <c r="BJ30" i="1"/>
  <c r="BI30" i="1"/>
  <c r="BC30" i="1"/>
  <c r="AX30" i="1"/>
  <c r="AW30" i="1"/>
  <c r="AR30" i="1"/>
  <c r="AQ30" i="1"/>
  <c r="AL30" i="1"/>
  <c r="AK30" i="1"/>
  <c r="AF30" i="1"/>
  <c r="AE30" i="1"/>
  <c r="Z30" i="1"/>
  <c r="Y30" i="1"/>
  <c r="O30" i="1"/>
  <c r="J30" i="1"/>
  <c r="CB29" i="1"/>
  <c r="CA29" i="1"/>
  <c r="BV29" i="1"/>
  <c r="BU29" i="1"/>
  <c r="BP29" i="1"/>
  <c r="BO29" i="1"/>
  <c r="BJ29" i="1"/>
  <c r="BI29" i="1"/>
  <c r="BC29" i="1"/>
  <c r="AX29" i="1"/>
  <c r="AW29" i="1"/>
  <c r="AR29" i="1"/>
  <c r="AQ29" i="1"/>
  <c r="AL29" i="1"/>
  <c r="AK29" i="1"/>
  <c r="AF29" i="1"/>
  <c r="AE29" i="1"/>
  <c r="Z29" i="1"/>
  <c r="Y29" i="1"/>
  <c r="O29" i="1"/>
  <c r="J29" i="1"/>
  <c r="CB28" i="1"/>
  <c r="CA28" i="1"/>
  <c r="BV28" i="1"/>
  <c r="BU28" i="1"/>
  <c r="BP28" i="1"/>
  <c r="BO28" i="1"/>
  <c r="BJ28" i="1"/>
  <c r="BI28" i="1"/>
  <c r="BC28" i="1"/>
  <c r="AX28" i="1"/>
  <c r="AW28" i="1"/>
  <c r="AR28" i="1"/>
  <c r="AQ28" i="1"/>
  <c r="AL28" i="1"/>
  <c r="AK28" i="1"/>
  <c r="AF28" i="1"/>
  <c r="AE28" i="1"/>
  <c r="Z28" i="1"/>
  <c r="Y28" i="1"/>
  <c r="O28" i="1"/>
  <c r="J28" i="1"/>
  <c r="CB27" i="1"/>
  <c r="CA27" i="1"/>
  <c r="BV27" i="1"/>
  <c r="BU27" i="1"/>
  <c r="BP27" i="1"/>
  <c r="BO27" i="1"/>
  <c r="BJ27" i="1"/>
  <c r="BI27" i="1"/>
  <c r="BC27" i="1"/>
  <c r="AX27" i="1"/>
  <c r="AW27" i="1"/>
  <c r="AR27" i="1"/>
  <c r="AQ27" i="1"/>
  <c r="AL27" i="1"/>
  <c r="AK27" i="1"/>
  <c r="AF27" i="1"/>
  <c r="AE27" i="1"/>
  <c r="Z27" i="1"/>
  <c r="Y27" i="1"/>
  <c r="O27" i="1"/>
  <c r="J27" i="1"/>
  <c r="CB26" i="1"/>
  <c r="CA26" i="1"/>
  <c r="BV26" i="1"/>
  <c r="BU26" i="1"/>
  <c r="BP26" i="1"/>
  <c r="BO26" i="1"/>
  <c r="BJ26" i="1"/>
  <c r="BI26" i="1"/>
  <c r="BC26" i="1"/>
  <c r="AX26" i="1"/>
  <c r="AW26" i="1"/>
  <c r="AR26" i="1"/>
  <c r="AQ26" i="1"/>
  <c r="AL26" i="1"/>
  <c r="AK26" i="1"/>
  <c r="AF26" i="1"/>
  <c r="AE26" i="1"/>
  <c r="Z26" i="1"/>
  <c r="Y26" i="1"/>
  <c r="O26" i="1"/>
  <c r="J26" i="1"/>
  <c r="CB25" i="1"/>
  <c r="CA25" i="1"/>
  <c r="BV25" i="1"/>
  <c r="BU25" i="1"/>
  <c r="BP25" i="1"/>
  <c r="BO25" i="1"/>
  <c r="BJ25" i="1"/>
  <c r="BI25" i="1"/>
  <c r="BC25" i="1"/>
  <c r="AX25" i="1"/>
  <c r="AW25" i="1"/>
  <c r="AR25" i="1"/>
  <c r="AQ25" i="1"/>
  <c r="AL25" i="1"/>
  <c r="AK25" i="1"/>
  <c r="AF25" i="1"/>
  <c r="AE25" i="1"/>
  <c r="Z25" i="1"/>
  <c r="Y25" i="1"/>
  <c r="O25" i="1"/>
  <c r="J25" i="1"/>
  <c r="CB24" i="1"/>
  <c r="CA24" i="1"/>
  <c r="BV24" i="1"/>
  <c r="BU24" i="1"/>
  <c r="BP24" i="1"/>
  <c r="BO24" i="1"/>
  <c r="BJ24" i="1"/>
  <c r="BI24" i="1"/>
  <c r="BC24" i="1"/>
  <c r="AX24" i="1"/>
  <c r="AW24" i="1"/>
  <c r="AR24" i="1"/>
  <c r="AQ24" i="1"/>
  <c r="AL24" i="1"/>
  <c r="AK24" i="1"/>
  <c r="AF24" i="1"/>
  <c r="AE24" i="1"/>
  <c r="Z24" i="1"/>
  <c r="Y24" i="1"/>
  <c r="O24" i="1"/>
  <c r="J24" i="1"/>
  <c r="CB23" i="1"/>
  <c r="CA23" i="1"/>
  <c r="BV23" i="1"/>
  <c r="BU23" i="1"/>
  <c r="BP23" i="1"/>
  <c r="BO23" i="1"/>
  <c r="BJ23" i="1"/>
  <c r="BI23" i="1"/>
  <c r="BC23" i="1"/>
  <c r="AX23" i="1"/>
  <c r="AW23" i="1"/>
  <c r="AR23" i="1"/>
  <c r="AQ23" i="1"/>
  <c r="AL23" i="1"/>
  <c r="AK23" i="1"/>
  <c r="AF23" i="1"/>
  <c r="AE23" i="1"/>
  <c r="Z23" i="1"/>
  <c r="Y23" i="1"/>
  <c r="O23" i="1"/>
  <c r="J23" i="1"/>
  <c r="CB22" i="1"/>
  <c r="CA22" i="1"/>
  <c r="BV22" i="1"/>
  <c r="BU22" i="1"/>
  <c r="BP22" i="1"/>
  <c r="BO22" i="1"/>
  <c r="BJ22" i="1"/>
  <c r="BI22" i="1"/>
  <c r="BC22" i="1"/>
  <c r="AX22" i="1"/>
  <c r="AW22" i="1"/>
  <c r="AR22" i="1"/>
  <c r="AQ22" i="1"/>
  <c r="AL22" i="1"/>
  <c r="AK22" i="1"/>
  <c r="AF22" i="1"/>
  <c r="AE22" i="1"/>
  <c r="Z22" i="1"/>
  <c r="Y22" i="1"/>
  <c r="O22" i="1"/>
  <c r="J22" i="1"/>
  <c r="CB21" i="1"/>
  <c r="CA21" i="1"/>
  <c r="BV21" i="1"/>
  <c r="BU21" i="1"/>
  <c r="BP21" i="1"/>
  <c r="BO21" i="1"/>
  <c r="BJ21" i="1"/>
  <c r="BI21" i="1"/>
  <c r="BC21" i="1"/>
  <c r="AX21" i="1"/>
  <c r="AW21" i="1"/>
  <c r="AR21" i="1"/>
  <c r="AQ21" i="1"/>
  <c r="AL21" i="1"/>
  <c r="AK21" i="1"/>
  <c r="AF21" i="1"/>
  <c r="AE21" i="1"/>
  <c r="Z21" i="1"/>
  <c r="Y21" i="1"/>
  <c r="O21" i="1"/>
  <c r="J21" i="1"/>
  <c r="CB20" i="1"/>
  <c r="CA20" i="1"/>
  <c r="BV20" i="1"/>
  <c r="BU20" i="1"/>
  <c r="BP20" i="1"/>
  <c r="BO20" i="1"/>
  <c r="BJ20" i="1"/>
  <c r="BI20" i="1"/>
  <c r="BC20" i="1"/>
  <c r="AX20" i="1"/>
  <c r="AW20" i="1"/>
  <c r="AR20" i="1"/>
  <c r="AQ20" i="1"/>
  <c r="AL20" i="1"/>
  <c r="AK20" i="1"/>
  <c r="AF20" i="1"/>
  <c r="AE20" i="1"/>
  <c r="Z20" i="1"/>
  <c r="Y20" i="1"/>
  <c r="O20" i="1"/>
  <c r="J20" i="1"/>
  <c r="CB19" i="1"/>
  <c r="CA19" i="1"/>
  <c r="BV19" i="1"/>
  <c r="BU19" i="1"/>
  <c r="BP19" i="1"/>
  <c r="BO19" i="1"/>
  <c r="BJ19" i="1"/>
  <c r="BI19" i="1"/>
  <c r="BC19" i="1"/>
  <c r="AX19" i="1"/>
  <c r="AW19" i="1"/>
  <c r="AR19" i="1"/>
  <c r="AQ19" i="1"/>
  <c r="AL19" i="1"/>
  <c r="AK19" i="1"/>
  <c r="AF19" i="1"/>
  <c r="AE19" i="1"/>
  <c r="Z19" i="1"/>
  <c r="Y19" i="1"/>
  <c r="O19" i="1"/>
  <c r="J19" i="1"/>
  <c r="CB18" i="1"/>
  <c r="CA18" i="1"/>
  <c r="BV18" i="1"/>
  <c r="BU18" i="1"/>
  <c r="BP18" i="1"/>
  <c r="BO18" i="1"/>
  <c r="BJ18" i="1"/>
  <c r="BI18" i="1"/>
  <c r="BC18" i="1"/>
  <c r="AX18" i="1"/>
  <c r="AW18" i="1"/>
  <c r="AR18" i="1"/>
  <c r="AQ18" i="1"/>
  <c r="AL18" i="1"/>
  <c r="AK18" i="1"/>
  <c r="AF18" i="1"/>
  <c r="AE18" i="1"/>
  <c r="Z18" i="1"/>
  <c r="Y18" i="1"/>
  <c r="O18" i="1"/>
  <c r="J18" i="1"/>
  <c r="CB17" i="1"/>
  <c r="CA17" i="1"/>
  <c r="BV17" i="1"/>
  <c r="BU17" i="1"/>
  <c r="BP17" i="1"/>
  <c r="BO17" i="1"/>
  <c r="BJ17" i="1"/>
  <c r="BI17" i="1"/>
  <c r="BC17" i="1"/>
  <c r="AX17" i="1"/>
  <c r="AW17" i="1"/>
  <c r="AR17" i="1"/>
  <c r="AQ17" i="1"/>
  <c r="AL17" i="1"/>
  <c r="AK17" i="1"/>
  <c r="AF17" i="1"/>
  <c r="AE17" i="1"/>
  <c r="Z17" i="1"/>
  <c r="Y17" i="1"/>
  <c r="O17" i="1"/>
  <c r="J17" i="1"/>
  <c r="CB16" i="1"/>
  <c r="CA16" i="1"/>
  <c r="BV16" i="1"/>
  <c r="BU16" i="1"/>
  <c r="BP16" i="1"/>
  <c r="BO16" i="1"/>
  <c r="BJ16" i="1"/>
  <c r="BI16" i="1"/>
  <c r="BC16" i="1"/>
  <c r="AX16" i="1"/>
  <c r="AW16" i="1"/>
  <c r="AR16" i="1"/>
  <c r="AQ16" i="1"/>
  <c r="AL16" i="1"/>
  <c r="AK16" i="1"/>
  <c r="AF16" i="1"/>
  <c r="AE16" i="1"/>
  <c r="Z16" i="1"/>
  <c r="Y16" i="1"/>
  <c r="O16" i="1"/>
  <c r="J16" i="1"/>
  <c r="CB15" i="1"/>
  <c r="CA15" i="1"/>
  <c r="BV15" i="1"/>
  <c r="BU15" i="1"/>
  <c r="BP15" i="1"/>
  <c r="BO15" i="1"/>
  <c r="BJ15" i="1"/>
  <c r="BI15" i="1"/>
  <c r="BC15" i="1"/>
  <c r="AX15" i="1"/>
  <c r="AW15" i="1"/>
  <c r="AR15" i="1"/>
  <c r="AQ15" i="1"/>
  <c r="AL15" i="1"/>
  <c r="AK15" i="1"/>
  <c r="AF15" i="1"/>
  <c r="AE15" i="1"/>
  <c r="AA15" i="1"/>
  <c r="Z15" i="1"/>
  <c r="Y15" i="1"/>
  <c r="V15" i="1"/>
  <c r="O15" i="1"/>
  <c r="P15" i="1"/>
  <c r="J15" i="1"/>
  <c r="CB14" i="1"/>
  <c r="CA14" i="1"/>
  <c r="BV14" i="1"/>
  <c r="BU14" i="1"/>
  <c r="BP14" i="1"/>
  <c r="BO14" i="1"/>
  <c r="BJ14" i="1"/>
  <c r="BI14" i="1"/>
  <c r="BC14" i="1"/>
  <c r="AX14" i="1"/>
  <c r="AW14" i="1"/>
  <c r="AR14" i="1"/>
  <c r="AQ14" i="1"/>
  <c r="AL14" i="1"/>
  <c r="AK14" i="1"/>
  <c r="AF14" i="1"/>
  <c r="AE14" i="1"/>
  <c r="AA14" i="1"/>
  <c r="Z14" i="1"/>
  <c r="Y14" i="1"/>
  <c r="V14" i="1"/>
  <c r="P14" i="1"/>
  <c r="J14" i="1"/>
  <c r="CB13" i="1"/>
  <c r="CA13" i="1"/>
  <c r="BV13" i="1"/>
  <c r="BU13" i="1"/>
  <c r="BP13" i="1"/>
  <c r="BO13" i="1"/>
  <c r="BJ13" i="1"/>
  <c r="BI13" i="1"/>
  <c r="BC13" i="1"/>
  <c r="AX13" i="1"/>
  <c r="AW13" i="1"/>
  <c r="AR13" i="1"/>
  <c r="AQ13" i="1"/>
  <c r="AL13" i="1"/>
  <c r="AK13" i="1"/>
  <c r="AF13" i="1"/>
  <c r="AE13" i="1"/>
  <c r="AA13" i="1"/>
  <c r="Z13" i="1"/>
  <c r="Y13" i="1"/>
  <c r="V13" i="1"/>
  <c r="O13" i="1"/>
  <c r="P13" i="1"/>
  <c r="J13" i="1"/>
  <c r="CB12" i="1"/>
  <c r="CA12" i="1"/>
  <c r="BV12" i="1"/>
  <c r="BU12" i="1"/>
  <c r="BP12" i="1"/>
  <c r="BO12" i="1"/>
  <c r="BJ12" i="1"/>
  <c r="BI12" i="1"/>
  <c r="BC12" i="1"/>
  <c r="AX12" i="1"/>
  <c r="AW12" i="1"/>
  <c r="AR12" i="1"/>
  <c r="AQ12" i="1"/>
  <c r="AL12" i="1"/>
  <c r="AK12" i="1"/>
  <c r="AF12" i="1"/>
  <c r="AE12" i="1"/>
  <c r="Z12" i="1"/>
  <c r="Y12" i="1"/>
  <c r="O12" i="1"/>
  <c r="J12" i="1"/>
  <c r="CB11" i="1"/>
  <c r="CA11" i="1"/>
  <c r="BV11" i="1"/>
  <c r="BU11" i="1"/>
  <c r="BP11" i="1"/>
  <c r="BO11" i="1"/>
  <c r="BJ11" i="1"/>
  <c r="BI11" i="1"/>
  <c r="BC11" i="1"/>
  <c r="AX11" i="1"/>
  <c r="AW11" i="1"/>
  <c r="AR11" i="1"/>
  <c r="AQ11" i="1"/>
  <c r="AL11" i="1"/>
  <c r="AK11" i="1"/>
  <c r="AF11" i="1"/>
  <c r="AE11" i="1"/>
  <c r="Z11" i="1"/>
  <c r="Y11" i="1"/>
  <c r="O11" i="1"/>
  <c r="J11" i="1"/>
  <c r="CB10" i="1"/>
  <c r="CA10" i="1"/>
  <c r="BV10" i="1"/>
  <c r="BU10" i="1"/>
  <c r="BP10" i="1"/>
  <c r="BO10" i="1"/>
  <c r="BJ10" i="1"/>
  <c r="BI10" i="1"/>
  <c r="BC10" i="1"/>
  <c r="AX10" i="1"/>
  <c r="AW10" i="1"/>
  <c r="AR10" i="1"/>
  <c r="AQ10" i="1"/>
  <c r="AL10" i="1"/>
  <c r="AK10" i="1"/>
  <c r="AF10" i="1"/>
  <c r="AE10" i="1"/>
  <c r="Z10" i="1"/>
  <c r="Y10" i="1"/>
  <c r="O10" i="1"/>
  <c r="J10" i="1"/>
  <c r="CB9" i="1"/>
  <c r="CA9" i="1"/>
  <c r="BV9" i="1"/>
  <c r="BU9" i="1"/>
  <c r="BP9" i="1"/>
  <c r="BO9" i="1"/>
  <c r="BJ9" i="1"/>
  <c r="BI9" i="1"/>
  <c r="BC9" i="1"/>
  <c r="AX9" i="1"/>
  <c r="AW9" i="1"/>
  <c r="AR9" i="1"/>
  <c r="AQ9" i="1"/>
  <c r="AL9" i="1"/>
  <c r="AK9" i="1"/>
  <c r="AF9" i="1"/>
  <c r="AE9" i="1"/>
  <c r="Z9" i="1"/>
  <c r="Y9" i="1"/>
  <c r="U9" i="1"/>
  <c r="P9" i="1"/>
  <c r="J9" i="1"/>
  <c r="CB8" i="1"/>
  <c r="CA8" i="1"/>
  <c r="BV8" i="1"/>
  <c r="BU8" i="1"/>
  <c r="BP8" i="1"/>
  <c r="BO8" i="1"/>
  <c r="BJ8" i="1"/>
  <c r="BI8" i="1"/>
  <c r="BC8" i="1"/>
  <c r="AX8" i="1"/>
  <c r="AW8" i="1"/>
  <c r="AR8" i="1"/>
  <c r="AQ8" i="1"/>
  <c r="AL8" i="1"/>
  <c r="AK8" i="1"/>
  <c r="AF8" i="1"/>
  <c r="AE8" i="1"/>
  <c r="Z8" i="1"/>
  <c r="Y8" i="1"/>
  <c r="O8" i="1"/>
  <c r="J8" i="1"/>
  <c r="CB7" i="1"/>
  <c r="CA7" i="1"/>
  <c r="BV7" i="1"/>
  <c r="BU7" i="1"/>
  <c r="BP7" i="1"/>
  <c r="BO7" i="1"/>
  <c r="BJ7" i="1"/>
  <c r="BI7" i="1"/>
  <c r="BC7" i="1"/>
  <c r="AX7" i="1"/>
  <c r="AW7" i="1"/>
  <c r="AR7" i="1"/>
  <c r="AQ7" i="1"/>
  <c r="AL7" i="1"/>
  <c r="AK7" i="1"/>
  <c r="AF7" i="1"/>
  <c r="AE7" i="1"/>
  <c r="Z7" i="1"/>
  <c r="Y7" i="1"/>
  <c r="O7" i="1"/>
  <c r="J7" i="1"/>
  <c r="CB6" i="1"/>
  <c r="CA6" i="1"/>
  <c r="BV6" i="1"/>
  <c r="BU6" i="1"/>
  <c r="BP6" i="1"/>
  <c r="BO6" i="1"/>
  <c r="BJ6" i="1"/>
  <c r="BI6" i="1"/>
  <c r="BC6" i="1"/>
  <c r="AX6" i="1"/>
  <c r="AW6" i="1"/>
  <c r="AR6" i="1"/>
  <c r="AQ6" i="1"/>
  <c r="AL6" i="1"/>
  <c r="AK6" i="1"/>
  <c r="AF6" i="1"/>
  <c r="AE6" i="1"/>
  <c r="Z6" i="1"/>
  <c r="Y6" i="1"/>
  <c r="O6" i="1"/>
  <c r="J6" i="1"/>
  <c r="CB5" i="1"/>
  <c r="CA5" i="1"/>
  <c r="BV5" i="1"/>
  <c r="BU5" i="1"/>
  <c r="BP5" i="1"/>
  <c r="BO5" i="1"/>
  <c r="BJ5" i="1"/>
  <c r="BI5" i="1"/>
  <c r="BC5" i="1"/>
  <c r="AX5" i="1"/>
  <c r="AW5" i="1"/>
  <c r="AR5" i="1"/>
  <c r="AQ5" i="1"/>
  <c r="AL5" i="1"/>
  <c r="AK5" i="1"/>
  <c r="AF5" i="1"/>
  <c r="AE5" i="1"/>
  <c r="Z5" i="1"/>
  <c r="Y5" i="1"/>
  <c r="O5" i="1"/>
  <c r="J5" i="1"/>
  <c r="CB4" i="1"/>
  <c r="CA4" i="1"/>
  <c r="BV4" i="1"/>
  <c r="BU4" i="1"/>
  <c r="BP4" i="1"/>
  <c r="BO4" i="1"/>
  <c r="BO39" i="1"/>
  <c r="BJ4" i="1"/>
  <c r="BI4" i="1"/>
  <c r="BD4" i="1"/>
  <c r="BC4" i="1"/>
  <c r="BC39" i="1"/>
  <c r="AX4" i="1"/>
  <c r="AX39" i="1"/>
  <c r="AW4" i="1"/>
  <c r="AR4" i="1"/>
  <c r="AR39" i="1"/>
  <c r="AQ4" i="1"/>
  <c r="AQ39" i="1"/>
  <c r="AL4" i="1"/>
  <c r="AL39" i="1"/>
  <c r="AK4" i="1"/>
  <c r="AK39" i="1"/>
  <c r="AF4" i="1"/>
  <c r="AF39" i="1"/>
  <c r="AE4" i="1"/>
  <c r="AE39" i="1"/>
  <c r="AQ44" i="1"/>
  <c r="Z4" i="1"/>
  <c r="Y4" i="1"/>
  <c r="Y39" i="1"/>
  <c r="T4" i="1"/>
  <c r="T39" i="1"/>
  <c r="S4" i="1"/>
  <c r="S39" i="1"/>
  <c r="O4" i="1"/>
  <c r="N4" i="1"/>
  <c r="N39" i="1"/>
  <c r="M4" i="1"/>
  <c r="M39" i="1"/>
  <c r="J4" i="1"/>
  <c r="J39" i="1"/>
  <c r="AR44" i="1"/>
  <c r="BP39" i="1"/>
  <c r="BU39" i="1"/>
  <c r="BV39" i="1"/>
  <c r="CA39" i="1"/>
  <c r="CB39" i="1"/>
  <c r="BJ44" i="1"/>
  <c r="N42" i="1"/>
  <c r="U32" i="1"/>
  <c r="P32" i="1"/>
  <c r="P31" i="1"/>
  <c r="U31" i="1"/>
  <c r="U30" i="1"/>
  <c r="P30" i="1"/>
  <c r="U29" i="1"/>
  <c r="P29" i="1"/>
  <c r="P28" i="1"/>
  <c r="U28" i="1"/>
  <c r="P27" i="1"/>
  <c r="U27" i="1"/>
  <c r="U26" i="1"/>
  <c r="P26" i="1"/>
  <c r="U25" i="1"/>
  <c r="P25" i="1"/>
  <c r="U24" i="1"/>
  <c r="P24" i="1"/>
  <c r="U23" i="1"/>
  <c r="P23" i="1"/>
  <c r="U22" i="1"/>
  <c r="P22" i="1"/>
  <c r="P21" i="1"/>
  <c r="U21" i="1"/>
  <c r="P20" i="1"/>
  <c r="U20" i="1"/>
  <c r="P19" i="1"/>
  <c r="U19" i="1"/>
  <c r="U18" i="1"/>
  <c r="P18" i="1"/>
  <c r="P17" i="1"/>
  <c r="U17" i="1"/>
  <c r="P16" i="1"/>
  <c r="U16" i="1"/>
  <c r="AG15" i="1"/>
  <c r="AB15" i="1"/>
  <c r="AG14" i="1"/>
  <c r="AB14" i="1"/>
  <c r="AB13" i="1"/>
  <c r="AG13" i="1"/>
  <c r="U12" i="1"/>
  <c r="P12" i="1"/>
  <c r="P11" i="1"/>
  <c r="U11" i="1"/>
  <c r="U10" i="1"/>
  <c r="P10" i="1"/>
  <c r="AA9" i="1"/>
  <c r="V9" i="1"/>
  <c r="U8" i="1"/>
  <c r="P8" i="1"/>
  <c r="U7" i="1"/>
  <c r="P7" i="1"/>
  <c r="P6" i="1"/>
  <c r="U6" i="1"/>
  <c r="U5" i="1"/>
  <c r="P5" i="1"/>
  <c r="AW39" i="1"/>
  <c r="BI42" i="1"/>
  <c r="P4" i="1"/>
  <c r="U4" i="1"/>
  <c r="Y43" i="1"/>
  <c r="Z43" i="1"/>
  <c r="P39" i="1"/>
  <c r="T42" i="1"/>
  <c r="V32" i="1"/>
  <c r="AA32" i="1"/>
  <c r="V31" i="1"/>
  <c r="AA31" i="1"/>
  <c r="V30" i="1"/>
  <c r="AA30" i="1"/>
  <c r="V29" i="1"/>
  <c r="AA29" i="1"/>
  <c r="AA28" i="1"/>
  <c r="V28" i="1"/>
  <c r="AA27" i="1"/>
  <c r="V27" i="1"/>
  <c r="V26" i="1"/>
  <c r="AA26" i="1"/>
  <c r="V25" i="1"/>
  <c r="AA25" i="1"/>
  <c r="V24" i="1"/>
  <c r="AA24" i="1"/>
  <c r="V23" i="1"/>
  <c r="AA23" i="1"/>
  <c r="V22" i="1"/>
  <c r="AA22" i="1"/>
  <c r="V21" i="1"/>
  <c r="AA21" i="1"/>
  <c r="V20" i="1"/>
  <c r="AA20" i="1"/>
  <c r="AA19" i="1"/>
  <c r="V19" i="1"/>
  <c r="V18" i="1"/>
  <c r="AA18" i="1"/>
  <c r="AA17" i="1"/>
  <c r="V17" i="1"/>
  <c r="V16" i="1"/>
  <c r="AA16" i="1"/>
  <c r="AM15" i="1"/>
  <c r="AH15" i="1"/>
  <c r="AM14" i="1"/>
  <c r="AH14" i="1"/>
  <c r="AH13" i="1"/>
  <c r="AM13" i="1"/>
  <c r="AA12" i="1"/>
  <c r="V12" i="1"/>
  <c r="V11" i="1"/>
  <c r="AA11" i="1"/>
  <c r="V10" i="1"/>
  <c r="AA10" i="1"/>
  <c r="AB9" i="1"/>
  <c r="AG9" i="1"/>
  <c r="V8" i="1"/>
  <c r="AA8" i="1"/>
  <c r="V7" i="1"/>
  <c r="AA7" i="1"/>
  <c r="AA6" i="1"/>
  <c r="V6" i="1"/>
  <c r="V5" i="1"/>
  <c r="AA5" i="1"/>
  <c r="AA4" i="1"/>
  <c r="V4" i="1"/>
  <c r="AG32" i="1"/>
  <c r="AB32" i="1"/>
  <c r="AG31" i="1"/>
  <c r="AB31" i="1"/>
  <c r="AB30" i="1"/>
  <c r="AG30" i="1"/>
  <c r="AB29" i="1"/>
  <c r="AG29" i="1"/>
  <c r="AB28" i="1"/>
  <c r="AG28" i="1"/>
  <c r="AB27" i="1"/>
  <c r="AG27" i="1"/>
  <c r="AB26" i="1"/>
  <c r="AG26" i="1"/>
  <c r="AB25" i="1"/>
  <c r="AG25" i="1"/>
  <c r="AB24" i="1"/>
  <c r="AG24" i="1"/>
  <c r="AB23" i="1"/>
  <c r="AG23" i="1"/>
  <c r="AB22" i="1"/>
  <c r="AG22" i="1"/>
  <c r="AG21" i="1"/>
  <c r="AB21" i="1"/>
  <c r="AG20" i="1"/>
  <c r="AB20" i="1"/>
  <c r="AG19" i="1"/>
  <c r="AB19" i="1"/>
  <c r="AB18" i="1"/>
  <c r="AG18" i="1"/>
  <c r="AG17" i="1"/>
  <c r="AB17" i="1"/>
  <c r="AG16" i="1"/>
  <c r="AB16" i="1"/>
  <c r="AN15" i="1"/>
  <c r="AS15" i="1"/>
  <c r="AS14" i="1"/>
  <c r="AN14" i="1"/>
  <c r="AS13" i="1"/>
  <c r="AN13" i="1"/>
  <c r="AB12" i="1"/>
  <c r="AG12" i="1"/>
  <c r="AG11" i="1"/>
  <c r="AB11" i="1"/>
  <c r="AG10" i="1"/>
  <c r="AB10" i="1"/>
  <c r="AH9" i="1"/>
  <c r="AM9" i="1"/>
  <c r="AB8" i="1"/>
  <c r="AG8" i="1"/>
  <c r="AB7" i="1"/>
  <c r="AG7" i="1"/>
  <c r="AG6" i="1"/>
  <c r="AB6" i="1"/>
  <c r="AB5" i="1"/>
  <c r="AG5" i="1"/>
  <c r="AG4" i="1"/>
  <c r="AB4" i="1"/>
  <c r="V39" i="1"/>
  <c r="Z42" i="1"/>
  <c r="AM32" i="1"/>
  <c r="AH32" i="1"/>
  <c r="AH31" i="1"/>
  <c r="AM31" i="1"/>
  <c r="AH30" i="1"/>
  <c r="AM30" i="1"/>
  <c r="AH29" i="1"/>
  <c r="AM29" i="1"/>
  <c r="AH28" i="1"/>
  <c r="AM28" i="1"/>
  <c r="AH27" i="1"/>
  <c r="AM27" i="1"/>
  <c r="AH26" i="1"/>
  <c r="AM26" i="1"/>
  <c r="AH25" i="1"/>
  <c r="AM25" i="1"/>
  <c r="AH24" i="1"/>
  <c r="AM24" i="1"/>
  <c r="AH23" i="1"/>
  <c r="AM23" i="1"/>
  <c r="AH22" i="1"/>
  <c r="AM22" i="1"/>
  <c r="AM21" i="1"/>
  <c r="AH21" i="1"/>
  <c r="AH20" i="1"/>
  <c r="AM20" i="1"/>
  <c r="AM19" i="1"/>
  <c r="AH19" i="1"/>
  <c r="AM18" i="1"/>
  <c r="AH18" i="1"/>
  <c r="AH17" i="1"/>
  <c r="AM17" i="1"/>
  <c r="AH16" i="1"/>
  <c r="AM16" i="1"/>
  <c r="AY15" i="1"/>
  <c r="AT15" i="1"/>
  <c r="AY14" i="1"/>
  <c r="AT14" i="1"/>
  <c r="AY13" i="1"/>
  <c r="AT13" i="1"/>
  <c r="AM12" i="1"/>
  <c r="AH12" i="1"/>
  <c r="AH11" i="1"/>
  <c r="AM11" i="1"/>
  <c r="AM10" i="1"/>
  <c r="AH10" i="1"/>
  <c r="AN9" i="1"/>
  <c r="AS9" i="1"/>
  <c r="AH8" i="1"/>
  <c r="AM8" i="1"/>
  <c r="AH7" i="1"/>
  <c r="AM7" i="1"/>
  <c r="AM6" i="1"/>
  <c r="AH6" i="1"/>
  <c r="AM5" i="1"/>
  <c r="AH5" i="1"/>
  <c r="AM4" i="1"/>
  <c r="AH4" i="1"/>
  <c r="AH39" i="1"/>
  <c r="AL42" i="1"/>
  <c r="AS32" i="1"/>
  <c r="AN32" i="1"/>
  <c r="AN31" i="1"/>
  <c r="AS31" i="1"/>
  <c r="AN30" i="1"/>
  <c r="AS30" i="1"/>
  <c r="AN29" i="1"/>
  <c r="AS29" i="1"/>
  <c r="AS28" i="1"/>
  <c r="AN28" i="1"/>
  <c r="AN27" i="1"/>
  <c r="AS27" i="1"/>
  <c r="AN26" i="1"/>
  <c r="AS26" i="1"/>
  <c r="AN25" i="1"/>
  <c r="AS25" i="1"/>
  <c r="AN24" i="1"/>
  <c r="AS24" i="1"/>
  <c r="AN23" i="1"/>
  <c r="AS23" i="1"/>
  <c r="AN22" i="1"/>
  <c r="AS22" i="1"/>
  <c r="AS21" i="1"/>
  <c r="AN21" i="1"/>
  <c r="AS20" i="1"/>
  <c r="AN20" i="1"/>
  <c r="AS19" i="1"/>
  <c r="AN19" i="1"/>
  <c r="AS18" i="1"/>
  <c r="AN18" i="1"/>
  <c r="AS17" i="1"/>
  <c r="AN17" i="1"/>
  <c r="AS16" i="1"/>
  <c r="AN16" i="1"/>
  <c r="BE15" i="1"/>
  <c r="AZ15" i="1"/>
  <c r="AZ14" i="1"/>
  <c r="BE14" i="1"/>
  <c r="AZ13" i="1"/>
  <c r="BE13" i="1"/>
  <c r="AN12" i="1"/>
  <c r="AS12" i="1"/>
  <c r="AN11" i="1"/>
  <c r="AS11" i="1"/>
  <c r="AS10" i="1"/>
  <c r="AN10" i="1"/>
  <c r="AT9" i="1"/>
  <c r="AY9" i="1"/>
  <c r="AN8" i="1"/>
  <c r="AS8" i="1"/>
  <c r="AN7" i="1"/>
  <c r="AS7" i="1"/>
  <c r="AN6" i="1"/>
  <c r="AS6" i="1"/>
  <c r="AN5" i="1"/>
  <c r="AS5" i="1"/>
  <c r="AN4" i="1"/>
  <c r="AS4" i="1"/>
  <c r="AY32" i="1"/>
  <c r="AT32" i="1"/>
  <c r="AY31" i="1"/>
  <c r="AT31" i="1"/>
  <c r="AT30" i="1"/>
  <c r="AY30" i="1"/>
  <c r="AT29" i="1"/>
  <c r="AY29" i="1"/>
  <c r="AT28" i="1"/>
  <c r="AY28" i="1"/>
  <c r="AT27" i="1"/>
  <c r="AY27" i="1"/>
  <c r="AT26" i="1"/>
  <c r="AY26" i="1"/>
  <c r="AT25" i="1"/>
  <c r="AY25" i="1"/>
  <c r="AT24" i="1"/>
  <c r="AY24" i="1"/>
  <c r="AT23" i="1"/>
  <c r="AY23" i="1"/>
  <c r="AT22" i="1"/>
  <c r="AY22" i="1"/>
  <c r="AT21" i="1"/>
  <c r="AY21" i="1"/>
  <c r="AY20" i="1"/>
  <c r="AT20" i="1"/>
  <c r="AT19" i="1"/>
  <c r="AY19" i="1"/>
  <c r="AY18" i="1"/>
  <c r="AT18" i="1"/>
  <c r="AT17" i="1"/>
  <c r="AY17" i="1"/>
  <c r="AY16" i="1"/>
  <c r="AT16" i="1"/>
  <c r="BK15" i="1"/>
  <c r="BF15" i="1"/>
  <c r="BK14" i="1"/>
  <c r="BF14" i="1"/>
  <c r="BF13" i="1"/>
  <c r="BK13" i="1"/>
  <c r="AY12" i="1"/>
  <c r="AT12" i="1"/>
  <c r="AY11" i="1"/>
  <c r="AT11" i="1"/>
  <c r="AT10" i="1"/>
  <c r="AY10" i="1"/>
  <c r="AZ9" i="1"/>
  <c r="BE9" i="1"/>
  <c r="AT8" i="1"/>
  <c r="AY8" i="1"/>
  <c r="AT7" i="1"/>
  <c r="AY7" i="1"/>
  <c r="AT6" i="1"/>
  <c r="AY6" i="1"/>
  <c r="AT5" i="1"/>
  <c r="AY5" i="1"/>
  <c r="AY4" i="1"/>
  <c r="AT4" i="1"/>
  <c r="AN39" i="1"/>
  <c r="AR42" i="1"/>
  <c r="AT39" i="1"/>
  <c r="AX42" i="1"/>
  <c r="BE32" i="1"/>
  <c r="AZ32" i="1"/>
  <c r="AZ31" i="1"/>
  <c r="BE31" i="1"/>
  <c r="AZ30" i="1"/>
  <c r="BE30" i="1"/>
  <c r="BE29" i="1"/>
  <c r="AZ29" i="1"/>
  <c r="AZ28" i="1"/>
  <c r="BE28" i="1"/>
  <c r="AZ27" i="1"/>
  <c r="BE27" i="1"/>
  <c r="BE26" i="1"/>
  <c r="AZ26" i="1"/>
  <c r="AZ25" i="1"/>
  <c r="AZ24" i="1"/>
  <c r="BE24" i="1"/>
  <c r="AZ23" i="1"/>
  <c r="BE23" i="1"/>
  <c r="AZ22" i="1"/>
  <c r="BE22" i="1"/>
  <c r="AZ21" i="1"/>
  <c r="BE21" i="1"/>
  <c r="BE20" i="1"/>
  <c r="AZ20" i="1"/>
  <c r="BE19" i="1"/>
  <c r="AZ19" i="1"/>
  <c r="AZ18" i="1"/>
  <c r="BE18" i="1"/>
  <c r="BE17" i="1"/>
  <c r="AZ17" i="1"/>
  <c r="BE16" i="1"/>
  <c r="AZ16" i="1"/>
  <c r="BQ15" i="1"/>
  <c r="BL15" i="1"/>
  <c r="BQ14" i="1"/>
  <c r="BL14" i="1"/>
  <c r="BQ13" i="1"/>
  <c r="BL13" i="1"/>
  <c r="BE12" i="1"/>
  <c r="AZ12" i="1"/>
  <c r="AZ11" i="1"/>
  <c r="BE11" i="1"/>
  <c r="AZ10" i="1"/>
  <c r="BE10" i="1"/>
  <c r="BF9" i="1"/>
  <c r="BK9" i="1"/>
  <c r="AZ8" i="1"/>
  <c r="BE8" i="1"/>
  <c r="AZ7" i="1"/>
  <c r="BE7" i="1"/>
  <c r="AZ6" i="1"/>
  <c r="BE6" i="1"/>
  <c r="AZ5" i="1"/>
  <c r="BE5" i="1"/>
  <c r="BE4" i="1"/>
  <c r="AZ4" i="1"/>
  <c r="BK32" i="1"/>
  <c r="BF32" i="1"/>
  <c r="BK31" i="1"/>
  <c r="BF31" i="1"/>
  <c r="BF30" i="1"/>
  <c r="BK30" i="1"/>
  <c r="BK29" i="1"/>
  <c r="BF29" i="1"/>
  <c r="BF28" i="1"/>
  <c r="BK28" i="1"/>
  <c r="BF27" i="1"/>
  <c r="BK27" i="1"/>
  <c r="BF26" i="1"/>
  <c r="BK26" i="1"/>
  <c r="BF25" i="1"/>
  <c r="BK25" i="1"/>
  <c r="BF24" i="1"/>
  <c r="BK24" i="1"/>
  <c r="BF23" i="1"/>
  <c r="BK23" i="1"/>
  <c r="BF22" i="1"/>
  <c r="BK22" i="1"/>
  <c r="BF21" i="1"/>
  <c r="BK21" i="1"/>
  <c r="BF20" i="1"/>
  <c r="BK20" i="1"/>
  <c r="BF19" i="1"/>
  <c r="BK19" i="1"/>
  <c r="BF18" i="1"/>
  <c r="BK18" i="1"/>
  <c r="BF17" i="1"/>
  <c r="BK17" i="1"/>
  <c r="BK16" i="1"/>
  <c r="BF16" i="1"/>
  <c r="BR15" i="1"/>
  <c r="BW15" i="1"/>
  <c r="BR14" i="1"/>
  <c r="BW14" i="1"/>
  <c r="BR13" i="1"/>
  <c r="BW13" i="1"/>
  <c r="BK12" i="1"/>
  <c r="BF12" i="1"/>
  <c r="BK11" i="1"/>
  <c r="BF11" i="1"/>
  <c r="BF10" i="1"/>
  <c r="BK10" i="1"/>
  <c r="BL9" i="1"/>
  <c r="BQ9" i="1"/>
  <c r="BF8" i="1"/>
  <c r="BK8" i="1"/>
  <c r="BF7" i="1"/>
  <c r="BK7" i="1"/>
  <c r="BF6" i="1"/>
  <c r="BK6" i="1"/>
  <c r="BF5" i="1"/>
  <c r="BK5" i="1"/>
  <c r="BK4" i="1"/>
  <c r="BF4" i="1"/>
  <c r="BD42" i="1"/>
  <c r="BJ42" i="1"/>
  <c r="BQ32" i="1"/>
  <c r="BL32" i="1"/>
  <c r="BL31" i="1"/>
  <c r="BQ31" i="1"/>
  <c r="BL30" i="1"/>
  <c r="BQ30" i="1"/>
  <c r="BL29" i="1"/>
  <c r="BQ29" i="1"/>
  <c r="BL28" i="1"/>
  <c r="BQ28" i="1"/>
  <c r="BL27" i="1"/>
  <c r="BQ27" i="1"/>
  <c r="BL26" i="1"/>
  <c r="BQ26" i="1"/>
  <c r="BL25" i="1"/>
  <c r="BQ25" i="1"/>
  <c r="BL24" i="1"/>
  <c r="BQ24" i="1"/>
  <c r="BL23" i="1"/>
  <c r="BQ23" i="1"/>
  <c r="BL22" i="1"/>
  <c r="BQ22" i="1"/>
  <c r="BQ21" i="1"/>
  <c r="BL21" i="1"/>
  <c r="BQ20" i="1"/>
  <c r="BL20" i="1"/>
  <c r="BL19" i="1"/>
  <c r="BQ19" i="1"/>
  <c r="BQ18" i="1"/>
  <c r="BL18" i="1"/>
  <c r="BL17" i="1"/>
  <c r="BQ17" i="1"/>
  <c r="BL16" i="1"/>
  <c r="BQ16" i="1"/>
  <c r="BX15" i="1"/>
  <c r="CC15" i="1"/>
  <c r="CD15" i="1"/>
  <c r="CC14" i="1"/>
  <c r="CD14" i="1"/>
  <c r="BX14" i="1"/>
  <c r="CC13" i="1"/>
  <c r="CD13" i="1"/>
  <c r="BX13" i="1"/>
  <c r="BQ12" i="1"/>
  <c r="BL12" i="1"/>
  <c r="BQ11" i="1"/>
  <c r="BL11" i="1"/>
  <c r="BQ10" i="1"/>
  <c r="BL10" i="1"/>
  <c r="BR9" i="1"/>
  <c r="BW9" i="1"/>
  <c r="BL8" i="1"/>
  <c r="BQ8" i="1"/>
  <c r="BL7" i="1"/>
  <c r="BQ7" i="1"/>
  <c r="BL6" i="1"/>
  <c r="BQ6" i="1"/>
  <c r="BQ5" i="1"/>
  <c r="BL5" i="1"/>
  <c r="BQ4" i="1"/>
  <c r="BL4" i="1"/>
  <c r="BP42" i="1"/>
  <c r="BR32" i="1"/>
  <c r="BW32" i="1"/>
  <c r="BR31" i="1"/>
  <c r="BW31" i="1"/>
  <c r="BW30" i="1"/>
  <c r="BR30" i="1"/>
  <c r="BW29" i="1"/>
  <c r="BR29" i="1"/>
  <c r="BR28" i="1"/>
  <c r="BW28" i="1"/>
  <c r="BR27" i="1"/>
  <c r="BW27" i="1"/>
  <c r="BR26" i="1"/>
  <c r="BW26" i="1"/>
  <c r="BR25" i="1"/>
  <c r="BW25" i="1"/>
  <c r="BR24" i="1"/>
  <c r="BW24" i="1"/>
  <c r="BR23" i="1"/>
  <c r="BW23" i="1"/>
  <c r="BR22" i="1"/>
  <c r="BW22" i="1"/>
  <c r="BW21" i="1"/>
  <c r="BR21" i="1"/>
  <c r="BR20" i="1"/>
  <c r="BW20" i="1"/>
  <c r="BW19" i="1"/>
  <c r="BR19" i="1"/>
  <c r="BR18" i="1"/>
  <c r="BW18" i="1"/>
  <c r="BW17" i="1"/>
  <c r="BR17" i="1"/>
  <c r="BW16" i="1"/>
  <c r="BR16" i="1"/>
  <c r="BW12" i="1"/>
  <c r="BR12" i="1"/>
  <c r="BW11" i="1"/>
  <c r="BR11" i="1"/>
  <c r="BW10" i="1"/>
  <c r="BR10" i="1"/>
  <c r="BX9" i="1"/>
  <c r="CC9" i="1"/>
  <c r="CD9" i="1"/>
  <c r="BR8" i="1"/>
  <c r="BW8" i="1"/>
  <c r="BR7" i="1"/>
  <c r="BW7" i="1"/>
  <c r="BR6" i="1"/>
  <c r="BW6" i="1"/>
  <c r="BR5" i="1"/>
  <c r="BW5" i="1"/>
  <c r="BR4" i="1"/>
  <c r="BW4" i="1"/>
  <c r="BR39" i="1"/>
  <c r="BV42" i="1"/>
  <c r="BX32" i="1"/>
  <c r="CC32" i="1"/>
  <c r="CD32" i="1"/>
  <c r="CC31" i="1"/>
  <c r="CD31" i="1"/>
  <c r="BX31" i="1"/>
  <c r="BX30" i="1"/>
  <c r="CC30" i="1"/>
  <c r="CD30" i="1"/>
  <c r="CC29" i="1"/>
  <c r="CD29" i="1"/>
  <c r="BX29" i="1"/>
  <c r="BX28" i="1"/>
  <c r="CC28" i="1"/>
  <c r="CD28" i="1"/>
  <c r="BX27" i="1"/>
  <c r="CC27" i="1"/>
  <c r="CD27" i="1"/>
  <c r="BX26" i="1"/>
  <c r="CC26" i="1"/>
  <c r="CD26" i="1"/>
  <c r="BX25" i="1"/>
  <c r="CC25" i="1"/>
  <c r="CD25" i="1"/>
  <c r="BX24" i="1"/>
  <c r="CC24" i="1"/>
  <c r="CD24" i="1"/>
  <c r="BX23" i="1"/>
  <c r="CC23" i="1"/>
  <c r="CD23" i="1"/>
  <c r="BX22" i="1"/>
  <c r="CC22" i="1"/>
  <c r="CD22" i="1"/>
  <c r="BX21" i="1"/>
  <c r="CC21" i="1"/>
  <c r="CD21" i="1"/>
  <c r="CC20" i="1"/>
  <c r="CD20" i="1"/>
  <c r="BX20" i="1"/>
  <c r="CC19" i="1"/>
  <c r="CD19" i="1"/>
  <c r="BX19" i="1"/>
  <c r="BX18" i="1"/>
  <c r="CC18" i="1"/>
  <c r="CD18" i="1"/>
  <c r="CC17" i="1"/>
  <c r="CD17" i="1"/>
  <c r="BX17" i="1"/>
  <c r="CC16" i="1"/>
  <c r="CD16" i="1"/>
  <c r="BX16" i="1"/>
  <c r="BX12" i="1"/>
  <c r="CC12" i="1"/>
  <c r="CD12" i="1"/>
  <c r="CC11" i="1"/>
  <c r="CD11" i="1"/>
  <c r="BX11" i="1"/>
  <c r="BX10" i="1"/>
  <c r="CC10" i="1"/>
  <c r="CD10" i="1"/>
  <c r="BX8" i="1"/>
  <c r="CC8" i="1"/>
  <c r="CD8" i="1"/>
  <c r="BX7" i="1"/>
  <c r="CC7" i="1"/>
  <c r="CD7" i="1"/>
  <c r="BX6" i="1"/>
  <c r="CC6" i="1"/>
  <c r="CD6" i="1"/>
  <c r="CC5" i="1"/>
  <c r="CD5" i="1"/>
  <c r="BX5" i="1"/>
  <c r="CC4" i="1"/>
  <c r="BX4" i="1"/>
  <c r="BX39" i="1"/>
  <c r="CB42" i="1"/>
  <c r="CD4" i="1"/>
  <c r="CD39" i="1"/>
  <c r="CC40" i="1"/>
  <c r="AF42" i="1"/>
</calcChain>
</file>

<file path=xl/sharedStrings.xml><?xml version="1.0" encoding="utf-8"?>
<sst xmlns="http://schemas.openxmlformats.org/spreadsheetml/2006/main" count="171" uniqueCount="105">
  <si>
    <t>PERINCIAN LAPORAN KEDUDUKAN SEMASA STOK ASM BAGI TAHUN 2026</t>
  </si>
  <si>
    <t>LAMPIRAN 4</t>
  </si>
  <si>
    <t>No.</t>
  </si>
  <si>
    <t>No.Kod</t>
  </si>
  <si>
    <t>Perihal Stok</t>
  </si>
  <si>
    <t xml:space="preserve">Paras Minimum
</t>
  </si>
  <si>
    <t>Paras Menokoh</t>
  </si>
  <si>
    <t>Paras Maximum</t>
  </si>
  <si>
    <t>Baki pada 1/1/2026</t>
  </si>
  <si>
    <t>Harga seunit</t>
  </si>
  <si>
    <t>JAN</t>
  </si>
  <si>
    <t>FEB</t>
  </si>
  <si>
    <t>MAC</t>
  </si>
  <si>
    <t>APR</t>
  </si>
  <si>
    <t>MEI</t>
  </si>
  <si>
    <t>JUN</t>
  </si>
  <si>
    <t>JUL</t>
  </si>
  <si>
    <t>OGOS</t>
  </si>
  <si>
    <t>SEPT</t>
  </si>
  <si>
    <t>OKT</t>
  </si>
  <si>
    <t>NOV</t>
  </si>
  <si>
    <t>DIS</t>
  </si>
  <si>
    <t>baki akhir tahun 2026</t>
  </si>
  <si>
    <t>Baki</t>
  </si>
  <si>
    <t>Nilai Sedia Ada</t>
  </si>
  <si>
    <t>Keluar</t>
  </si>
  <si>
    <t>Masuk</t>
  </si>
  <si>
    <t>Nilai Masuk</t>
  </si>
  <si>
    <t xml:space="preserve">Nilai Pengeluaran </t>
  </si>
  <si>
    <t xml:space="preserve">Nilai Sedia Ada </t>
  </si>
  <si>
    <t>nilai sedia ada (a)</t>
  </si>
  <si>
    <t>nilai pengeluaran (b)</t>
  </si>
  <si>
    <t>S01</t>
  </si>
  <si>
    <t>TIE ASM</t>
  </si>
  <si>
    <t>S02</t>
  </si>
  <si>
    <t>SHAWL ASM</t>
  </si>
  <si>
    <t>S03</t>
  </si>
  <si>
    <t>PLAQUE ASM</t>
  </si>
  <si>
    <t>PLAQUE ASM (T)</t>
  </si>
  <si>
    <t>S04</t>
  </si>
  <si>
    <t>NON WOVEN BAG (BLUE)</t>
  </si>
  <si>
    <t>S05</t>
  </si>
  <si>
    <t>CANVAS BAG (30 TAHUN)</t>
  </si>
  <si>
    <t>S06</t>
  </si>
  <si>
    <t>PEN (30 TAHUN)</t>
  </si>
  <si>
    <t>S07</t>
  </si>
  <si>
    <t>PU DESK MAT (30 TAHUN)</t>
  </si>
  <si>
    <t>S08</t>
  </si>
  <si>
    <t>LAPEL PIN (30 TAHUN)</t>
  </si>
  <si>
    <t>S09</t>
  </si>
  <si>
    <t>NOTEBOOK (30 TAHUN)</t>
  </si>
  <si>
    <t>S10</t>
  </si>
  <si>
    <t>STICKER (30 TAHUN)</t>
  </si>
  <si>
    <t>S11</t>
  </si>
  <si>
    <t>COMPLIMENTS CARD PRESIDEN (30 TAHUN)</t>
  </si>
  <si>
    <t>S12</t>
  </si>
  <si>
    <t>COMPLIMENTS CARD PN HAZAMI (30 TAHUN)</t>
  </si>
  <si>
    <t>S13</t>
  </si>
  <si>
    <t>PENSIL CASE ESTIDOTMY</t>
  </si>
  <si>
    <t>S14</t>
  </si>
  <si>
    <t>PEN ESTIDOTMY</t>
  </si>
  <si>
    <t>S15</t>
  </si>
  <si>
    <t>BUTTON BADGE (ESTIDOTMY)</t>
  </si>
  <si>
    <t>S16</t>
  </si>
  <si>
    <t>NON-WOVEN BAG (ESTIDOTMY)</t>
  </si>
  <si>
    <t>S17</t>
  </si>
  <si>
    <t>NON-WOVEN (ART SCIENCE)</t>
  </si>
  <si>
    <t>S18</t>
  </si>
  <si>
    <t>NON-WOVEN (YSN)</t>
  </si>
  <si>
    <t>S19</t>
  </si>
  <si>
    <t>WOVEN BAG ASM</t>
  </si>
  <si>
    <t>S20</t>
  </si>
  <si>
    <t>PEN ART SCIENCE</t>
  </si>
  <si>
    <t>S21</t>
  </si>
  <si>
    <t>PEN MOSP</t>
  </si>
  <si>
    <t>S22</t>
  </si>
  <si>
    <t>PEN ASM</t>
  </si>
  <si>
    <t>S23</t>
  </si>
  <si>
    <t>CERTIFICATE FILE (BLUE)</t>
  </si>
  <si>
    <t>S24</t>
  </si>
  <si>
    <t>CORPORATE FILE (WHITE)</t>
  </si>
  <si>
    <t>S25</t>
  </si>
  <si>
    <t>LAPEL PIN (MOSP)</t>
  </si>
  <si>
    <t>S26</t>
  </si>
  <si>
    <t>LAPEL PIN (ARTSCIENCE)</t>
  </si>
  <si>
    <t>S27</t>
  </si>
  <si>
    <t>LAPEL PIN (PODCAST)</t>
  </si>
  <si>
    <t>S28</t>
  </si>
  <si>
    <t>STICKER (ESTIDOTMY)</t>
  </si>
  <si>
    <t>S29</t>
  </si>
  <si>
    <t>NOTEBOOK (NSC)</t>
  </si>
  <si>
    <t>S30</t>
  </si>
  <si>
    <t>PENCIL CASE (NSC)</t>
  </si>
  <si>
    <t>S31</t>
  </si>
  <si>
    <t>PEN (NSC)</t>
  </si>
  <si>
    <t>S32</t>
  </si>
  <si>
    <t>STICKER (NSC)</t>
  </si>
  <si>
    <t>S33</t>
  </si>
  <si>
    <t>DRAWSTRING BAG (NSC)</t>
  </si>
  <si>
    <t>S34</t>
  </si>
  <si>
    <t>BUTTON BADGE (NSC)</t>
  </si>
  <si>
    <t>q3</t>
  </si>
  <si>
    <t>Z</t>
  </si>
  <si>
    <t>Nilai stor alat tulis</t>
  </si>
  <si>
    <t>Nilai stok perkakasan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</si>
</sst>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;[Red]0"/>
    <numFmt numFmtId="166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u/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5" borderId="2" xfId="1" applyFont="1" applyFill="1" applyBorder="1" applyAlignment="1">
      <alignment horizontal="center" vertical="center"/>
    </xf>
    <xf numFmtId="164" fontId="7" fillId="6" borderId="2" xfId="1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6" borderId="1" xfId="1" applyFont="1" applyFill="1" applyBorder="1" applyAlignment="1">
      <alignment horizontal="center" vertical="center"/>
    </xf>
    <xf numFmtId="164" fontId="7" fillId="5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64" fontId="7" fillId="5" borderId="4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164" fontId="3" fillId="0" borderId="0" xfId="1" applyFont="1" applyAlignment="1">
      <alignment horizontal="left" vertical="center"/>
    </xf>
    <xf numFmtId="164" fontId="3" fillId="0" borderId="0" xfId="1" applyFont="1" applyFill="1" applyAlignment="1">
      <alignment horizontal="left" vertical="center"/>
    </xf>
    <xf numFmtId="164" fontId="7" fillId="0" borderId="0" xfId="1" applyFont="1" applyFill="1" applyBorder="1" applyAlignment="1">
      <alignment horizontal="center" vertical="center"/>
    </xf>
    <xf numFmtId="164" fontId="3" fillId="0" borderId="2" xfId="1" applyFont="1" applyFill="1" applyBorder="1" applyAlignment="1">
      <alignment horizontal="center" vertical="center"/>
    </xf>
    <xf numFmtId="164" fontId="3" fillId="0" borderId="0" xfId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164" fontId="3" fillId="0" borderId="0" xfId="1" applyFont="1" applyFill="1" applyBorder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1" applyNumberFormat="1" applyFont="1" applyFill="1" applyAlignment="1">
      <alignment horizontal="center" vertical="center" wrapText="1"/>
    </xf>
    <xf numFmtId="164" fontId="5" fillId="0" borderId="0" xfId="1" applyFont="1" applyFill="1" applyAlignment="1">
      <alignment horizontal="center" vertical="center" wrapText="1"/>
    </xf>
    <xf numFmtId="164" fontId="8" fillId="0" borderId="0" xfId="1" applyFont="1" applyFill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164" fontId="9" fillId="5" borderId="1" xfId="1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4" fontId="7" fillId="6" borderId="7" xfId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6" borderId="8" xfId="1" applyFont="1" applyFill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64" fontId="7" fillId="6" borderId="5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164" fontId="7" fillId="6" borderId="4" xfId="1" applyFont="1" applyFill="1" applyBorder="1" applyAlignment="1">
      <alignment horizontal="center" vertical="center"/>
    </xf>
    <xf numFmtId="164" fontId="3" fillId="0" borderId="6" xfId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5" borderId="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9A50-4639-46BC-B597-8FA36AE6AEEE}">
  <dimension ref="A1:CE49"/>
  <sheetViews>
    <sheetView tabSelected="1" zoomScale="85" zoomScaleNormal="85" workbookViewId="0">
      <pane xSplit="1" topLeftCell="AS19" activePane="topRight" state="frozen"/>
      <selection pane="topRight" activeCell="BN43" sqref="BN43"/>
    </sheetView>
  </sheetViews>
  <sheetFormatPr defaultColWidth="8.85546875" defaultRowHeight="15"/>
  <cols>
    <col min="1" max="1" width="6" customWidth="1"/>
    <col min="2" max="2" width="10.28515625" customWidth="1"/>
    <col min="3" max="3" width="51.7109375" customWidth="1"/>
    <col min="4" max="5" width="0" hidden="1" customWidth="1"/>
    <col min="6" max="6" width="24.42578125" hidden="1" customWidth="1"/>
    <col min="7" max="7" width="10.85546875" hidden="1" customWidth="1"/>
    <col min="8" max="8" width="13.85546875" customWidth="1"/>
    <col min="9" max="9" width="6.42578125" hidden="1" customWidth="1"/>
    <col min="10" max="10" width="14.140625" hidden="1" customWidth="1"/>
    <col min="11" max="11" width="7.7109375" hidden="1" customWidth="1"/>
    <col min="12" max="13" width="8" hidden="1" customWidth="1"/>
    <col min="14" max="14" width="14.42578125" hidden="1" customWidth="1"/>
    <col min="15" max="15" width="6.42578125" hidden="1" customWidth="1"/>
    <col min="16" max="16" width="14.140625" hidden="1" customWidth="1"/>
    <col min="17" max="17" width="7.7109375" hidden="1" customWidth="1"/>
    <col min="18" max="19" width="8" hidden="1" customWidth="1"/>
    <col min="20" max="20" width="12.28515625" hidden="1" customWidth="1"/>
    <col min="21" max="21" width="0" hidden="1" customWidth="1"/>
    <col min="22" max="22" width="13.42578125" hidden="1" customWidth="1"/>
    <col min="23" max="25" width="0" hidden="1" customWidth="1"/>
    <col min="26" max="26" width="13.42578125" bestFit="1" customWidth="1"/>
    <col min="27" max="27" width="6" bestFit="1" customWidth="1"/>
    <col min="28" max="28" width="12.28515625" bestFit="1" customWidth="1"/>
    <col min="29" max="29" width="7.28515625" bestFit="1" customWidth="1"/>
    <col min="30" max="31" width="7.7109375" bestFit="1" customWidth="1"/>
    <col min="32" max="32" width="17.42578125" bestFit="1" customWidth="1"/>
    <col min="33" max="33" width="8.85546875" customWidth="1"/>
    <col min="34" max="34" width="13.42578125" customWidth="1"/>
    <col min="35" max="35" width="8.85546875" customWidth="1"/>
    <col min="36" max="37" width="7.7109375" bestFit="1" customWidth="1"/>
    <col min="38" max="38" width="17.42578125" bestFit="1" customWidth="1"/>
    <col min="40" max="40" width="13.42578125" bestFit="1" customWidth="1"/>
    <col min="44" max="44" width="12.28515625" bestFit="1" customWidth="1"/>
    <col min="46" max="46" width="13.42578125" bestFit="1" customWidth="1"/>
    <col min="50" max="50" width="12.28515625" bestFit="1" customWidth="1"/>
    <col min="52" max="52" width="13.42578125" bestFit="1" customWidth="1"/>
    <col min="55" max="55" width="11.42578125" customWidth="1"/>
    <col min="56" max="56" width="12.28515625" bestFit="1" customWidth="1"/>
    <col min="58" max="58" width="13.42578125" bestFit="1" customWidth="1"/>
    <col min="62" max="62" width="12.28515625" bestFit="1" customWidth="1"/>
    <col min="64" max="64" width="13.42578125" bestFit="1" customWidth="1"/>
    <col min="68" max="68" width="12.28515625" bestFit="1" customWidth="1"/>
    <col min="70" max="70" width="13.42578125" bestFit="1" customWidth="1"/>
    <col min="74" max="74" width="12.28515625" bestFit="1" customWidth="1"/>
    <col min="76" max="76" width="13.42578125" bestFit="1" customWidth="1"/>
    <col min="80" max="80" width="12.28515625" bestFit="1" customWidth="1"/>
    <col min="81" max="81" width="13.140625" customWidth="1"/>
    <col min="82" max="82" width="13.42578125" bestFit="1" customWidth="1"/>
  </cols>
  <sheetData>
    <row r="1" spans="1:83" ht="27.6" customHeight="1">
      <c r="A1" s="1"/>
      <c r="B1" s="83" t="s">
        <v>0</v>
      </c>
      <c r="C1" s="83"/>
      <c r="D1" s="83"/>
      <c r="E1" s="83"/>
      <c r="F1" s="83"/>
      <c r="G1" s="83"/>
      <c r="H1" s="8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1"/>
      <c r="AM1" s="1"/>
      <c r="AN1" s="1"/>
      <c r="AO1" s="4"/>
      <c r="AP1" s="4"/>
      <c r="AQ1" s="81" t="s">
        <v>1</v>
      </c>
      <c r="AR1" s="8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81" t="s">
        <v>1</v>
      </c>
      <c r="BJ1" s="8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5"/>
    </row>
    <row r="2" spans="1:83" ht="16.5">
      <c r="A2" s="82" t="s">
        <v>2</v>
      </c>
      <c r="B2" s="82" t="s">
        <v>3</v>
      </c>
      <c r="C2" s="82" t="s">
        <v>4</v>
      </c>
      <c r="D2" s="79" t="s">
        <v>5</v>
      </c>
      <c r="E2" s="79" t="s">
        <v>6</v>
      </c>
      <c r="F2" s="79" t="s">
        <v>7</v>
      </c>
      <c r="G2" s="79" t="s">
        <v>8</v>
      </c>
      <c r="H2" s="80" t="s">
        <v>9</v>
      </c>
      <c r="I2" s="79" t="s">
        <v>10</v>
      </c>
      <c r="J2" s="79"/>
      <c r="K2" s="79"/>
      <c r="L2" s="79"/>
      <c r="M2" s="79"/>
      <c r="N2" s="79"/>
      <c r="O2" s="79" t="s">
        <v>11</v>
      </c>
      <c r="P2" s="79"/>
      <c r="Q2" s="79"/>
      <c r="R2" s="79"/>
      <c r="S2" s="79"/>
      <c r="T2" s="79"/>
      <c r="U2" s="79" t="s">
        <v>12</v>
      </c>
      <c r="V2" s="79"/>
      <c r="W2" s="79"/>
      <c r="X2" s="79"/>
      <c r="Y2" s="79"/>
      <c r="Z2" s="79"/>
      <c r="AA2" s="77" t="s">
        <v>13</v>
      </c>
      <c r="AB2" s="77"/>
      <c r="AC2" s="77"/>
      <c r="AD2" s="77"/>
      <c r="AE2" s="77"/>
      <c r="AF2" s="77"/>
      <c r="AG2" s="77" t="s">
        <v>14</v>
      </c>
      <c r="AH2" s="77"/>
      <c r="AI2" s="77"/>
      <c r="AJ2" s="77"/>
      <c r="AK2" s="77"/>
      <c r="AL2" s="77"/>
      <c r="AM2" s="77" t="s">
        <v>15</v>
      </c>
      <c r="AN2" s="77"/>
      <c r="AO2" s="77"/>
      <c r="AP2" s="77"/>
      <c r="AQ2" s="77"/>
      <c r="AR2" s="77"/>
      <c r="AS2" s="77" t="s">
        <v>16</v>
      </c>
      <c r="AT2" s="77"/>
      <c r="AU2" s="77"/>
      <c r="AV2" s="77"/>
      <c r="AW2" s="77"/>
      <c r="AX2" s="77"/>
      <c r="AY2" s="77" t="s">
        <v>17</v>
      </c>
      <c r="AZ2" s="77"/>
      <c r="BA2" s="77"/>
      <c r="BB2" s="77"/>
      <c r="BC2" s="77"/>
      <c r="BD2" s="77"/>
      <c r="BE2" s="77" t="s">
        <v>18</v>
      </c>
      <c r="BF2" s="77"/>
      <c r="BG2" s="77"/>
      <c r="BH2" s="77"/>
      <c r="BI2" s="77"/>
      <c r="BJ2" s="77"/>
      <c r="BK2" s="77" t="s">
        <v>19</v>
      </c>
      <c r="BL2" s="77"/>
      <c r="BM2" s="77"/>
      <c r="BN2" s="77"/>
      <c r="BO2" s="77"/>
      <c r="BP2" s="77"/>
      <c r="BQ2" s="77" t="s">
        <v>20</v>
      </c>
      <c r="BR2" s="77"/>
      <c r="BS2" s="77"/>
      <c r="BT2" s="77"/>
      <c r="BU2" s="77"/>
      <c r="BV2" s="77"/>
      <c r="BW2" s="77" t="s">
        <v>21</v>
      </c>
      <c r="BX2" s="77"/>
      <c r="BY2" s="77"/>
      <c r="BZ2" s="77"/>
      <c r="CA2" s="77"/>
      <c r="CB2" s="77"/>
      <c r="CC2" s="78" t="s">
        <v>22</v>
      </c>
      <c r="CD2" s="2"/>
      <c r="CE2" s="9"/>
    </row>
    <row r="3" spans="1:83" ht="44.25">
      <c r="A3" s="82"/>
      <c r="B3" s="82"/>
      <c r="C3" s="82"/>
      <c r="D3" s="79"/>
      <c r="E3" s="79"/>
      <c r="F3" s="79"/>
      <c r="G3" s="79"/>
      <c r="H3" s="80"/>
      <c r="I3" s="10" t="s">
        <v>23</v>
      </c>
      <c r="J3" s="11" t="s">
        <v>24</v>
      </c>
      <c r="K3" s="8" t="s">
        <v>25</v>
      </c>
      <c r="L3" s="8" t="s">
        <v>26</v>
      </c>
      <c r="M3" s="11" t="s">
        <v>27</v>
      </c>
      <c r="N3" s="11" t="s">
        <v>28</v>
      </c>
      <c r="O3" s="10" t="s">
        <v>23</v>
      </c>
      <c r="P3" s="11" t="s">
        <v>29</v>
      </c>
      <c r="Q3" s="8" t="s">
        <v>25</v>
      </c>
      <c r="R3" s="8" t="s">
        <v>26</v>
      </c>
      <c r="S3" s="11" t="s">
        <v>27</v>
      </c>
      <c r="T3" s="11" t="s">
        <v>28</v>
      </c>
      <c r="U3" s="10" t="s">
        <v>23</v>
      </c>
      <c r="V3" s="11" t="s">
        <v>29</v>
      </c>
      <c r="W3" s="8" t="s">
        <v>25</v>
      </c>
      <c r="X3" s="8" t="s">
        <v>26</v>
      </c>
      <c r="Y3" s="11" t="s">
        <v>27</v>
      </c>
      <c r="Z3" s="11" t="s">
        <v>28</v>
      </c>
      <c r="AA3" s="10" t="s">
        <v>23</v>
      </c>
      <c r="AB3" s="11" t="s">
        <v>30</v>
      </c>
      <c r="AC3" s="8" t="s">
        <v>25</v>
      </c>
      <c r="AD3" s="8" t="s">
        <v>26</v>
      </c>
      <c r="AE3" s="11" t="s">
        <v>27</v>
      </c>
      <c r="AF3" s="11" t="s">
        <v>31</v>
      </c>
      <c r="AG3" s="10" t="s">
        <v>23</v>
      </c>
      <c r="AH3" s="11" t="s">
        <v>30</v>
      </c>
      <c r="AI3" s="8" t="s">
        <v>25</v>
      </c>
      <c r="AJ3" s="8" t="s">
        <v>26</v>
      </c>
      <c r="AK3" s="10" t="s">
        <v>27</v>
      </c>
      <c r="AL3" s="10" t="s">
        <v>31</v>
      </c>
      <c r="AM3" s="10" t="s">
        <v>23</v>
      </c>
      <c r="AN3" s="10" t="s">
        <v>30</v>
      </c>
      <c r="AO3" s="8" t="s">
        <v>25</v>
      </c>
      <c r="AP3" s="8" t="s">
        <v>26</v>
      </c>
      <c r="AQ3" s="10" t="s">
        <v>27</v>
      </c>
      <c r="AR3" s="10" t="s">
        <v>31</v>
      </c>
      <c r="AS3" s="10" t="s">
        <v>23</v>
      </c>
      <c r="AT3" s="10" t="s">
        <v>30</v>
      </c>
      <c r="AU3" s="8" t="s">
        <v>25</v>
      </c>
      <c r="AV3" s="8" t="s">
        <v>26</v>
      </c>
      <c r="AW3" s="10" t="s">
        <v>27</v>
      </c>
      <c r="AX3" s="10" t="s">
        <v>31</v>
      </c>
      <c r="AY3" s="10" t="s">
        <v>23</v>
      </c>
      <c r="AZ3" s="10" t="s">
        <v>30</v>
      </c>
      <c r="BA3" s="8" t="s">
        <v>25</v>
      </c>
      <c r="BB3" s="8" t="s">
        <v>26</v>
      </c>
      <c r="BC3" s="10" t="s">
        <v>27</v>
      </c>
      <c r="BD3" s="10" t="s">
        <v>31</v>
      </c>
      <c r="BE3" s="10" t="s">
        <v>23</v>
      </c>
      <c r="BF3" s="10" t="s">
        <v>30</v>
      </c>
      <c r="BG3" s="8" t="s">
        <v>25</v>
      </c>
      <c r="BH3" s="8" t="s">
        <v>26</v>
      </c>
      <c r="BI3" s="10" t="s">
        <v>27</v>
      </c>
      <c r="BJ3" s="10" t="s">
        <v>31</v>
      </c>
      <c r="BK3" s="10" t="s">
        <v>23</v>
      </c>
      <c r="BL3" s="10" t="s">
        <v>30</v>
      </c>
      <c r="BM3" s="8" t="s">
        <v>25</v>
      </c>
      <c r="BN3" s="8" t="s">
        <v>26</v>
      </c>
      <c r="BO3" s="10" t="s">
        <v>27</v>
      </c>
      <c r="BP3" s="10" t="s">
        <v>31</v>
      </c>
      <c r="BQ3" s="8" t="s">
        <v>23</v>
      </c>
      <c r="BR3" s="10" t="s">
        <v>30</v>
      </c>
      <c r="BS3" s="8" t="s">
        <v>25</v>
      </c>
      <c r="BT3" s="8" t="s">
        <v>26</v>
      </c>
      <c r="BU3" s="10" t="s">
        <v>27</v>
      </c>
      <c r="BV3" s="10" t="s">
        <v>31</v>
      </c>
      <c r="BW3" s="8" t="s">
        <v>23</v>
      </c>
      <c r="BX3" s="10" t="s">
        <v>30</v>
      </c>
      <c r="BY3" s="8" t="s">
        <v>25</v>
      </c>
      <c r="BZ3" s="8" t="s">
        <v>26</v>
      </c>
      <c r="CA3" s="10" t="s">
        <v>27</v>
      </c>
      <c r="CB3" s="10" t="s">
        <v>31</v>
      </c>
      <c r="CC3" s="78"/>
      <c r="CD3" s="10" t="s">
        <v>30</v>
      </c>
      <c r="CE3" s="9"/>
    </row>
    <row r="4" spans="1:83" ht="16.5">
      <c r="A4" s="12">
        <v>1</v>
      </c>
      <c r="B4" s="52" t="s">
        <v>32</v>
      </c>
      <c r="C4" s="53" t="s">
        <v>33</v>
      </c>
      <c r="D4" s="12">
        <v>20</v>
      </c>
      <c r="E4" s="12">
        <v>30</v>
      </c>
      <c r="F4" s="12">
        <v>60</v>
      </c>
      <c r="G4" s="13">
        <v>152</v>
      </c>
      <c r="H4" s="14">
        <v>95</v>
      </c>
      <c r="I4" s="13">
        <v>152</v>
      </c>
      <c r="J4" s="15">
        <f>SUM(I4*H4)</f>
        <v>14440</v>
      </c>
      <c r="K4" s="13">
        <v>0</v>
      </c>
      <c r="L4" s="13">
        <v>0</v>
      </c>
      <c r="M4" s="15">
        <f>L4*H4</f>
        <v>0</v>
      </c>
      <c r="N4" s="15">
        <f>K4*H4</f>
        <v>0</v>
      </c>
      <c r="O4" s="16">
        <f>I4-K4+L4</f>
        <v>152</v>
      </c>
      <c r="P4" s="15">
        <f>O4*H4</f>
        <v>14440</v>
      </c>
      <c r="Q4" s="13">
        <v>0</v>
      </c>
      <c r="R4" s="16">
        <v>0</v>
      </c>
      <c r="S4" s="15">
        <f>R4*H4</f>
        <v>0</v>
      </c>
      <c r="T4" s="15">
        <f>Q4*H4</f>
        <v>0</v>
      </c>
      <c r="U4" s="16">
        <f>O4-Q4+R4</f>
        <v>152</v>
      </c>
      <c r="V4" s="15">
        <f>U4*H4</f>
        <v>14440</v>
      </c>
      <c r="W4" s="13">
        <v>0</v>
      </c>
      <c r="X4" s="13">
        <v>0</v>
      </c>
      <c r="Y4" s="15">
        <f>X4*H4</f>
        <v>0</v>
      </c>
      <c r="Z4" s="15">
        <f>W4*H4</f>
        <v>0</v>
      </c>
      <c r="AA4" s="16">
        <f>U4-W4+X4</f>
        <v>152</v>
      </c>
      <c r="AB4" s="15">
        <f>AA4*H4</f>
        <v>14440</v>
      </c>
      <c r="AC4" s="13">
        <v>0</v>
      </c>
      <c r="AD4" s="13">
        <v>0</v>
      </c>
      <c r="AE4" s="15">
        <f>AD4*H4</f>
        <v>0</v>
      </c>
      <c r="AF4" s="15">
        <f>AC4*H4</f>
        <v>0</v>
      </c>
      <c r="AG4" s="16">
        <f>AA4-AC4+AD4</f>
        <v>152</v>
      </c>
      <c r="AH4" s="15">
        <f>AG4*H4</f>
        <v>14440</v>
      </c>
      <c r="AI4" s="13">
        <v>0</v>
      </c>
      <c r="AJ4" s="13">
        <v>0</v>
      </c>
      <c r="AK4" s="15">
        <f>AJ4*H4</f>
        <v>0</v>
      </c>
      <c r="AL4" s="15">
        <f>AI4*H4</f>
        <v>0</v>
      </c>
      <c r="AM4" s="16">
        <f>AG4-AI4+AJ4</f>
        <v>152</v>
      </c>
      <c r="AN4" s="15">
        <f>AM4*H4</f>
        <v>14440</v>
      </c>
      <c r="AO4" s="13">
        <v>21</v>
      </c>
      <c r="AP4" s="13">
        <v>0</v>
      </c>
      <c r="AQ4" s="15">
        <f>AP4*H4</f>
        <v>0</v>
      </c>
      <c r="AR4" s="15">
        <f>AO4*H4</f>
        <v>1995</v>
      </c>
      <c r="AS4" s="16">
        <f>AM4-AO4+AP4</f>
        <v>131</v>
      </c>
      <c r="AT4" s="15">
        <f>AS4*H4</f>
        <v>12445</v>
      </c>
      <c r="AU4" s="13">
        <v>0</v>
      </c>
      <c r="AV4" s="13">
        <v>0</v>
      </c>
      <c r="AW4" s="15">
        <f>AV4*H4</f>
        <v>0</v>
      </c>
      <c r="AX4" s="15">
        <f>AU4*H4</f>
        <v>0</v>
      </c>
      <c r="AY4" s="16">
        <f>AS4-AU4+AV4</f>
        <v>131</v>
      </c>
      <c r="AZ4" s="15">
        <f>AY4*H4</f>
        <v>12445</v>
      </c>
      <c r="BA4" s="13">
        <v>0</v>
      </c>
      <c r="BB4" s="13">
        <v>0</v>
      </c>
      <c r="BC4" s="15">
        <f>BB4*H4</f>
        <v>0</v>
      </c>
      <c r="BD4" s="15">
        <f>BA4*H4</f>
        <v>0</v>
      </c>
      <c r="BE4" s="16">
        <f>AY4-BA4+BB4</f>
        <v>131</v>
      </c>
      <c r="BF4" s="15">
        <f>BE4*H4</f>
        <v>12445</v>
      </c>
      <c r="BG4" s="13">
        <v>0</v>
      </c>
      <c r="BH4" s="13">
        <v>0</v>
      </c>
      <c r="BI4" s="15">
        <f>BH4*H4</f>
        <v>0</v>
      </c>
      <c r="BJ4" s="15">
        <f>BG4*H4</f>
        <v>0</v>
      </c>
      <c r="BK4" s="16">
        <f>BE4-BG4+BH4</f>
        <v>131</v>
      </c>
      <c r="BL4" s="15">
        <f>BK4*H4</f>
        <v>12445</v>
      </c>
      <c r="BM4" s="13">
        <v>0</v>
      </c>
      <c r="BN4" s="13">
        <v>0</v>
      </c>
      <c r="BO4" s="15">
        <f>BN4*H4</f>
        <v>0</v>
      </c>
      <c r="BP4" s="15">
        <f>BM4*H4</f>
        <v>0</v>
      </c>
      <c r="BQ4" s="16">
        <f>BK4-BM4+BN4</f>
        <v>131</v>
      </c>
      <c r="BR4" s="15">
        <f>BQ4*H4</f>
        <v>12445</v>
      </c>
      <c r="BS4" s="13">
        <v>0</v>
      </c>
      <c r="BT4" s="13">
        <v>0</v>
      </c>
      <c r="BU4" s="15">
        <f>BT4*H4</f>
        <v>0</v>
      </c>
      <c r="BV4" s="15">
        <f>BS4*H4</f>
        <v>0</v>
      </c>
      <c r="BW4" s="16">
        <f>BQ4-BS4+BT4</f>
        <v>131</v>
      </c>
      <c r="BX4" s="15">
        <f>BW4*H4</f>
        <v>12445</v>
      </c>
      <c r="BY4" s="13">
        <v>0</v>
      </c>
      <c r="BZ4" s="13">
        <v>0</v>
      </c>
      <c r="CA4" s="15">
        <f>BZ4*H4</f>
        <v>0</v>
      </c>
      <c r="CB4" s="15">
        <f>BY4*H4</f>
        <v>0</v>
      </c>
      <c r="CC4" s="17">
        <f>BW4-BY4+BZ4</f>
        <v>131</v>
      </c>
      <c r="CD4" s="18">
        <f>CC4*H4</f>
        <v>12445</v>
      </c>
      <c r="CE4" s="5"/>
    </row>
    <row r="5" spans="1:83" ht="16.5">
      <c r="A5" s="12">
        <v>2</v>
      </c>
      <c r="B5" s="54" t="s">
        <v>34</v>
      </c>
      <c r="C5" s="53" t="s">
        <v>35</v>
      </c>
      <c r="D5" s="12"/>
      <c r="E5" s="12"/>
      <c r="F5" s="12"/>
      <c r="G5" s="13">
        <v>101</v>
      </c>
      <c r="H5" s="14">
        <v>90</v>
      </c>
      <c r="I5" s="13">
        <v>101</v>
      </c>
      <c r="J5" s="15">
        <f t="shared" ref="J5:J32" si="0">SUM(I5*H5)</f>
        <v>9090</v>
      </c>
      <c r="K5" s="13">
        <v>0</v>
      </c>
      <c r="L5" s="13">
        <v>0</v>
      </c>
      <c r="M5" s="15">
        <f t="shared" ref="M5:M32" si="1">L5*H5</f>
        <v>0</v>
      </c>
      <c r="N5" s="15">
        <f t="shared" ref="N5:N32" si="2">K5*H5</f>
        <v>0</v>
      </c>
      <c r="O5" s="16">
        <f t="shared" ref="O5:O32" si="3">I5-K5+L5</f>
        <v>101</v>
      </c>
      <c r="P5" s="15">
        <f t="shared" ref="P5:P32" si="4">O5*H5</f>
        <v>9090</v>
      </c>
      <c r="Q5" s="13">
        <v>0</v>
      </c>
      <c r="R5" s="16">
        <v>0</v>
      </c>
      <c r="S5" s="15">
        <f t="shared" ref="S5:S32" si="5">R5*H5</f>
        <v>0</v>
      </c>
      <c r="T5" s="15">
        <f t="shared" ref="T5:T32" si="6">Q5*H5</f>
        <v>0</v>
      </c>
      <c r="U5" s="16">
        <f t="shared" ref="U5:U32" si="7">O5-Q5+R5</f>
        <v>101</v>
      </c>
      <c r="V5" s="15">
        <f t="shared" ref="V5:V32" si="8">U5*H5</f>
        <v>9090</v>
      </c>
      <c r="W5" s="13">
        <v>0</v>
      </c>
      <c r="X5" s="13">
        <v>0</v>
      </c>
      <c r="Y5" s="15">
        <f t="shared" ref="Y5:Y32" si="9">X5*H5</f>
        <v>0</v>
      </c>
      <c r="Z5" s="15">
        <f t="shared" ref="Z5:Z32" si="10">W5*H5</f>
        <v>0</v>
      </c>
      <c r="AA5" s="16">
        <f t="shared" ref="AA5:AA32" si="11">U5-W5+X5</f>
        <v>101</v>
      </c>
      <c r="AB5" s="15">
        <f t="shared" ref="AB5:AB32" si="12">AA5*H5</f>
        <v>9090</v>
      </c>
      <c r="AC5" s="13">
        <v>0</v>
      </c>
      <c r="AD5" s="13">
        <v>0</v>
      </c>
      <c r="AE5" s="15">
        <f t="shared" ref="AE5:AE32" si="13">AD5*H5</f>
        <v>0</v>
      </c>
      <c r="AF5" s="15">
        <f t="shared" ref="AF5:AF32" si="14">AC5*H5</f>
        <v>0</v>
      </c>
      <c r="AG5" s="16">
        <f t="shared" ref="AG5:AG32" si="15">AA5-AC5+AD5</f>
        <v>101</v>
      </c>
      <c r="AH5" s="15">
        <f t="shared" ref="AH5:AH32" si="16">AG5*H5</f>
        <v>9090</v>
      </c>
      <c r="AI5" s="13">
        <v>0</v>
      </c>
      <c r="AJ5" s="13">
        <v>0</v>
      </c>
      <c r="AK5" s="15">
        <f t="shared" ref="AK5:AK32" si="17">AJ5*H5</f>
        <v>0</v>
      </c>
      <c r="AL5" s="15">
        <f t="shared" ref="AL5:AL32" si="18">AI5*H5</f>
        <v>0</v>
      </c>
      <c r="AM5" s="16">
        <f t="shared" ref="AM5:AM32" si="19">AG5-AI5+AJ5</f>
        <v>101</v>
      </c>
      <c r="AN5" s="15">
        <f t="shared" ref="AN5:AN32" si="20">AM5*H5</f>
        <v>9090</v>
      </c>
      <c r="AO5" s="13">
        <v>14</v>
      </c>
      <c r="AP5" s="13">
        <v>0</v>
      </c>
      <c r="AQ5" s="15">
        <f t="shared" ref="AQ5:AQ32" si="21">AP5*H5</f>
        <v>0</v>
      </c>
      <c r="AR5" s="15">
        <f t="shared" ref="AR5:AR32" si="22">AO5*H5</f>
        <v>1260</v>
      </c>
      <c r="AS5" s="16">
        <f t="shared" ref="AS5:AS32" si="23">AM5-AO5+AP5</f>
        <v>87</v>
      </c>
      <c r="AT5" s="15">
        <f t="shared" ref="AT5:AT32" si="24">AS5*H5</f>
        <v>7830</v>
      </c>
      <c r="AU5" s="13">
        <v>0</v>
      </c>
      <c r="AV5" s="13">
        <v>0</v>
      </c>
      <c r="AW5" s="15">
        <f t="shared" ref="AW5:AW32" si="25">AV5*H5</f>
        <v>0</v>
      </c>
      <c r="AX5" s="15">
        <f t="shared" ref="AX5:AX32" si="26">AU5*H5</f>
        <v>0</v>
      </c>
      <c r="AY5" s="16">
        <f t="shared" ref="AY5:AY32" si="27">AS5-AU5+AV5</f>
        <v>87</v>
      </c>
      <c r="AZ5" s="15">
        <f t="shared" ref="AZ5:AZ32" si="28">AY5*H5</f>
        <v>7830</v>
      </c>
      <c r="BA5" s="13">
        <v>0</v>
      </c>
      <c r="BB5" s="13">
        <v>0</v>
      </c>
      <c r="BC5" s="15">
        <f t="shared" ref="BC5:BC38" si="29">BB5*H5</f>
        <v>0</v>
      </c>
      <c r="BD5" s="15">
        <f t="shared" ref="BD5:BD38" si="30">BA5*H5</f>
        <v>0</v>
      </c>
      <c r="BE5" s="16">
        <f t="shared" ref="BE5:BE39" si="31">AY5-BA5+BB5</f>
        <v>87</v>
      </c>
      <c r="BF5" s="15">
        <f t="shared" ref="BF5:BF38" si="32">BE5*H5</f>
        <v>7830</v>
      </c>
      <c r="BG5" s="13">
        <v>0</v>
      </c>
      <c r="BH5" s="13">
        <v>0</v>
      </c>
      <c r="BI5" s="15">
        <f t="shared" ref="BI5:BI32" si="33">BH5*H5</f>
        <v>0</v>
      </c>
      <c r="BJ5" s="15">
        <f t="shared" ref="BJ5:BJ32" si="34">BG5*H5</f>
        <v>0</v>
      </c>
      <c r="BK5" s="16">
        <f t="shared" ref="BK5:BK32" si="35">BE5-BG5+BH5</f>
        <v>87</v>
      </c>
      <c r="BL5" s="15">
        <f t="shared" ref="BL5:BL32" si="36">BK5*H5</f>
        <v>7830</v>
      </c>
      <c r="BM5" s="13">
        <v>0</v>
      </c>
      <c r="BN5" s="13">
        <v>0</v>
      </c>
      <c r="BO5" s="15">
        <f t="shared" ref="BO5:BO32" si="37">BN5*H5</f>
        <v>0</v>
      </c>
      <c r="BP5" s="15">
        <f t="shared" ref="BP5:BP32" si="38">BM5*H5</f>
        <v>0</v>
      </c>
      <c r="BQ5" s="16">
        <f t="shared" ref="BQ5:BQ32" si="39">BK5-BM5+BN5</f>
        <v>87</v>
      </c>
      <c r="BR5" s="15">
        <f t="shared" ref="BR5:BR32" si="40">BQ5*H5</f>
        <v>7830</v>
      </c>
      <c r="BS5" s="13">
        <v>0</v>
      </c>
      <c r="BT5" s="13">
        <v>0</v>
      </c>
      <c r="BU5" s="15">
        <f t="shared" ref="BU5:BU32" si="41">BT5*H5</f>
        <v>0</v>
      </c>
      <c r="BV5" s="15">
        <f t="shared" ref="BV5:BV32" si="42">BS5*H5</f>
        <v>0</v>
      </c>
      <c r="BW5" s="16">
        <f t="shared" ref="BW5:BW32" si="43">BQ5-BS5+BT5</f>
        <v>87</v>
      </c>
      <c r="BX5" s="15">
        <f t="shared" ref="BX5:BX32" si="44">BW5*H5</f>
        <v>7830</v>
      </c>
      <c r="BY5" s="13">
        <v>0</v>
      </c>
      <c r="BZ5" s="13">
        <v>0</v>
      </c>
      <c r="CA5" s="15">
        <f t="shared" ref="CA5:CA32" si="45">BZ5*H5</f>
        <v>0</v>
      </c>
      <c r="CB5" s="15">
        <f t="shared" ref="CB5:CB32" si="46">BY5*H5</f>
        <v>0</v>
      </c>
      <c r="CC5" s="17">
        <f>BW5-BY5+BZ5</f>
        <v>87</v>
      </c>
      <c r="CD5" s="18">
        <f t="shared" ref="CD5:CD32" si="47">CC5*H5</f>
        <v>7830</v>
      </c>
      <c r="CE5" s="5"/>
    </row>
    <row r="6" spans="1:83" ht="16.5">
      <c r="A6" s="12">
        <v>3</v>
      </c>
      <c r="B6" s="54" t="s">
        <v>36</v>
      </c>
      <c r="C6" s="53" t="s">
        <v>37</v>
      </c>
      <c r="D6" s="12">
        <v>20</v>
      </c>
      <c r="E6" s="12">
        <v>30</v>
      </c>
      <c r="F6" s="12">
        <v>60</v>
      </c>
      <c r="G6" s="13">
        <v>0</v>
      </c>
      <c r="H6" s="19">
        <v>190</v>
      </c>
      <c r="I6" s="13">
        <v>0</v>
      </c>
      <c r="J6" s="15">
        <f t="shared" si="0"/>
        <v>0</v>
      </c>
      <c r="K6" s="13">
        <v>0</v>
      </c>
      <c r="L6" s="13">
        <v>0</v>
      </c>
      <c r="M6" s="15">
        <f t="shared" si="1"/>
        <v>0</v>
      </c>
      <c r="N6" s="15">
        <f t="shared" si="2"/>
        <v>0</v>
      </c>
      <c r="O6" s="16">
        <f t="shared" si="3"/>
        <v>0</v>
      </c>
      <c r="P6" s="15">
        <f t="shared" si="4"/>
        <v>0</v>
      </c>
      <c r="Q6" s="13">
        <v>0</v>
      </c>
      <c r="R6" s="16">
        <v>0</v>
      </c>
      <c r="S6" s="15">
        <f t="shared" si="5"/>
        <v>0</v>
      </c>
      <c r="T6" s="15">
        <f t="shared" si="6"/>
        <v>0</v>
      </c>
      <c r="U6" s="16">
        <f t="shared" si="7"/>
        <v>0</v>
      </c>
      <c r="V6" s="15">
        <f t="shared" si="8"/>
        <v>0</v>
      </c>
      <c r="W6" s="13">
        <v>0</v>
      </c>
      <c r="X6" s="13">
        <v>0</v>
      </c>
      <c r="Y6" s="15">
        <f t="shared" si="9"/>
        <v>0</v>
      </c>
      <c r="Z6" s="15">
        <f t="shared" si="10"/>
        <v>0</v>
      </c>
      <c r="AA6" s="16">
        <f t="shared" si="11"/>
        <v>0</v>
      </c>
      <c r="AB6" s="15">
        <f t="shared" si="12"/>
        <v>0</v>
      </c>
      <c r="AC6" s="13">
        <v>0</v>
      </c>
      <c r="AD6" s="13">
        <v>0</v>
      </c>
      <c r="AE6" s="15">
        <f t="shared" si="13"/>
        <v>0</v>
      </c>
      <c r="AF6" s="15">
        <f t="shared" si="14"/>
        <v>0</v>
      </c>
      <c r="AG6" s="16">
        <f t="shared" si="15"/>
        <v>0</v>
      </c>
      <c r="AH6" s="15">
        <f t="shared" si="16"/>
        <v>0</v>
      </c>
      <c r="AI6" s="13">
        <v>0</v>
      </c>
      <c r="AJ6" s="13">
        <v>0</v>
      </c>
      <c r="AK6" s="15">
        <f t="shared" si="17"/>
        <v>0</v>
      </c>
      <c r="AL6" s="15">
        <f t="shared" si="18"/>
        <v>0</v>
      </c>
      <c r="AM6" s="16">
        <f t="shared" si="19"/>
        <v>0</v>
      </c>
      <c r="AN6" s="15">
        <f t="shared" si="20"/>
        <v>0</v>
      </c>
      <c r="AO6" s="13">
        <v>0</v>
      </c>
      <c r="AP6" s="13">
        <v>0</v>
      </c>
      <c r="AQ6" s="15">
        <f t="shared" si="21"/>
        <v>0</v>
      </c>
      <c r="AR6" s="15">
        <f t="shared" si="22"/>
        <v>0</v>
      </c>
      <c r="AS6" s="16">
        <f t="shared" si="23"/>
        <v>0</v>
      </c>
      <c r="AT6" s="15">
        <f t="shared" si="24"/>
        <v>0</v>
      </c>
      <c r="AU6" s="13">
        <v>0</v>
      </c>
      <c r="AV6" s="13">
        <v>0</v>
      </c>
      <c r="AW6" s="15">
        <f t="shared" si="25"/>
        <v>0</v>
      </c>
      <c r="AX6" s="15">
        <f t="shared" si="26"/>
        <v>0</v>
      </c>
      <c r="AY6" s="16">
        <f t="shared" si="27"/>
        <v>0</v>
      </c>
      <c r="AZ6" s="15">
        <f t="shared" si="28"/>
        <v>0</v>
      </c>
      <c r="BA6" s="13">
        <v>0</v>
      </c>
      <c r="BB6" s="13">
        <v>0</v>
      </c>
      <c r="BC6" s="15">
        <f t="shared" si="29"/>
        <v>0</v>
      </c>
      <c r="BD6" s="15">
        <f t="shared" si="30"/>
        <v>0</v>
      </c>
      <c r="BE6" s="16">
        <f t="shared" si="31"/>
        <v>0</v>
      </c>
      <c r="BF6" s="15">
        <f t="shared" si="32"/>
        <v>0</v>
      </c>
      <c r="BG6" s="13">
        <v>0</v>
      </c>
      <c r="BH6" s="13">
        <v>0</v>
      </c>
      <c r="BI6" s="15">
        <f t="shared" si="33"/>
        <v>0</v>
      </c>
      <c r="BJ6" s="15">
        <f t="shared" si="34"/>
        <v>0</v>
      </c>
      <c r="BK6" s="16">
        <f t="shared" si="35"/>
        <v>0</v>
      </c>
      <c r="BL6" s="15">
        <f t="shared" si="36"/>
        <v>0</v>
      </c>
      <c r="BM6" s="13">
        <v>0</v>
      </c>
      <c r="BN6" s="13">
        <v>0</v>
      </c>
      <c r="BO6" s="15">
        <f t="shared" si="37"/>
        <v>0</v>
      </c>
      <c r="BP6" s="15">
        <f t="shared" si="38"/>
        <v>0</v>
      </c>
      <c r="BQ6" s="16">
        <f t="shared" si="39"/>
        <v>0</v>
      </c>
      <c r="BR6" s="15">
        <f t="shared" si="40"/>
        <v>0</v>
      </c>
      <c r="BS6" s="13">
        <v>0</v>
      </c>
      <c r="BT6" s="13">
        <v>0</v>
      </c>
      <c r="BU6" s="15">
        <f t="shared" si="41"/>
        <v>0</v>
      </c>
      <c r="BV6" s="15">
        <f t="shared" si="42"/>
        <v>0</v>
      </c>
      <c r="BW6" s="16">
        <f t="shared" si="43"/>
        <v>0</v>
      </c>
      <c r="BX6" s="15">
        <f t="shared" si="44"/>
        <v>0</v>
      </c>
      <c r="BY6" s="13">
        <v>0</v>
      </c>
      <c r="BZ6" s="13">
        <v>0</v>
      </c>
      <c r="CA6" s="15">
        <f t="shared" si="45"/>
        <v>0</v>
      </c>
      <c r="CB6" s="15">
        <f t="shared" si="46"/>
        <v>0</v>
      </c>
      <c r="CC6" s="17">
        <f t="shared" ref="CC6:CC32" si="48">BW6-BY6+BZ6</f>
        <v>0</v>
      </c>
      <c r="CD6" s="18">
        <f t="shared" si="47"/>
        <v>0</v>
      </c>
      <c r="CE6" s="5"/>
    </row>
    <row r="7" spans="1:83" ht="16.5">
      <c r="A7" s="12">
        <v>4</v>
      </c>
      <c r="B7" s="54" t="s">
        <v>36</v>
      </c>
      <c r="C7" s="53" t="s">
        <v>38</v>
      </c>
      <c r="D7" s="12">
        <v>20</v>
      </c>
      <c r="E7" s="12">
        <v>30</v>
      </c>
      <c r="F7" s="12">
        <v>60</v>
      </c>
      <c r="G7" s="13">
        <v>19</v>
      </c>
      <c r="H7" s="19">
        <v>320</v>
      </c>
      <c r="I7" s="13">
        <v>19</v>
      </c>
      <c r="J7" s="15">
        <f t="shared" si="0"/>
        <v>6080</v>
      </c>
      <c r="K7" s="13">
        <v>0</v>
      </c>
      <c r="L7" s="13">
        <v>0</v>
      </c>
      <c r="M7" s="15">
        <f t="shared" si="1"/>
        <v>0</v>
      </c>
      <c r="N7" s="15">
        <f t="shared" si="2"/>
        <v>0</v>
      </c>
      <c r="O7" s="16">
        <f t="shared" si="3"/>
        <v>19</v>
      </c>
      <c r="P7" s="15">
        <f t="shared" si="4"/>
        <v>6080</v>
      </c>
      <c r="Q7" s="13">
        <v>2</v>
      </c>
      <c r="R7" s="16">
        <v>0</v>
      </c>
      <c r="S7" s="15">
        <f t="shared" si="5"/>
        <v>0</v>
      </c>
      <c r="T7" s="15">
        <f t="shared" si="6"/>
        <v>640</v>
      </c>
      <c r="U7" s="16">
        <f t="shared" si="7"/>
        <v>17</v>
      </c>
      <c r="V7" s="15">
        <f t="shared" si="8"/>
        <v>5440</v>
      </c>
      <c r="W7" s="13">
        <v>2</v>
      </c>
      <c r="X7" s="13">
        <v>0</v>
      </c>
      <c r="Y7" s="15">
        <f t="shared" si="9"/>
        <v>0</v>
      </c>
      <c r="Z7" s="15">
        <f t="shared" si="10"/>
        <v>640</v>
      </c>
      <c r="AA7" s="16">
        <f t="shared" si="11"/>
        <v>15</v>
      </c>
      <c r="AB7" s="15">
        <f t="shared" si="12"/>
        <v>4800</v>
      </c>
      <c r="AC7" s="13">
        <v>0</v>
      </c>
      <c r="AD7" s="13">
        <v>0</v>
      </c>
      <c r="AE7" s="15">
        <f t="shared" si="13"/>
        <v>0</v>
      </c>
      <c r="AF7" s="15">
        <f t="shared" si="14"/>
        <v>0</v>
      </c>
      <c r="AG7" s="16">
        <f t="shared" si="15"/>
        <v>15</v>
      </c>
      <c r="AH7" s="15">
        <f t="shared" si="16"/>
        <v>4800</v>
      </c>
      <c r="AI7" s="13">
        <v>3</v>
      </c>
      <c r="AJ7" s="13">
        <v>0</v>
      </c>
      <c r="AK7" s="15">
        <f t="shared" si="17"/>
        <v>0</v>
      </c>
      <c r="AL7" s="15">
        <f t="shared" si="18"/>
        <v>960</v>
      </c>
      <c r="AM7" s="16">
        <f t="shared" si="19"/>
        <v>12</v>
      </c>
      <c r="AN7" s="15">
        <f t="shared" si="20"/>
        <v>3840</v>
      </c>
      <c r="AO7" s="13">
        <v>1</v>
      </c>
      <c r="AP7" s="13">
        <v>0</v>
      </c>
      <c r="AQ7" s="15">
        <f t="shared" si="21"/>
        <v>0</v>
      </c>
      <c r="AR7" s="15">
        <f t="shared" si="22"/>
        <v>320</v>
      </c>
      <c r="AS7" s="16">
        <f t="shared" si="23"/>
        <v>11</v>
      </c>
      <c r="AT7" s="15">
        <f t="shared" si="24"/>
        <v>3520</v>
      </c>
      <c r="AU7" s="13">
        <v>1</v>
      </c>
      <c r="AV7" s="13">
        <v>0</v>
      </c>
      <c r="AW7" s="15">
        <f t="shared" si="25"/>
        <v>0</v>
      </c>
      <c r="AX7" s="15">
        <f t="shared" si="26"/>
        <v>320</v>
      </c>
      <c r="AY7" s="16">
        <f t="shared" si="27"/>
        <v>10</v>
      </c>
      <c r="AZ7" s="15">
        <f t="shared" si="28"/>
        <v>3200</v>
      </c>
      <c r="BA7" s="13">
        <v>1</v>
      </c>
      <c r="BB7" s="13">
        <v>0</v>
      </c>
      <c r="BC7" s="15">
        <f t="shared" si="29"/>
        <v>0</v>
      </c>
      <c r="BD7" s="15">
        <f t="shared" si="30"/>
        <v>320</v>
      </c>
      <c r="BE7" s="16">
        <f t="shared" si="31"/>
        <v>9</v>
      </c>
      <c r="BF7" s="15">
        <f t="shared" si="32"/>
        <v>2880</v>
      </c>
      <c r="BG7" s="13">
        <v>0</v>
      </c>
      <c r="BH7" s="13">
        <v>0</v>
      </c>
      <c r="BI7" s="15">
        <f t="shared" si="33"/>
        <v>0</v>
      </c>
      <c r="BJ7" s="15">
        <f t="shared" si="34"/>
        <v>0</v>
      </c>
      <c r="BK7" s="16">
        <f t="shared" si="35"/>
        <v>9</v>
      </c>
      <c r="BL7" s="15">
        <f t="shared" si="36"/>
        <v>2880</v>
      </c>
      <c r="BM7" s="13">
        <v>0</v>
      </c>
      <c r="BN7" s="13">
        <v>0</v>
      </c>
      <c r="BO7" s="15">
        <f t="shared" si="37"/>
        <v>0</v>
      </c>
      <c r="BP7" s="15">
        <f t="shared" si="38"/>
        <v>0</v>
      </c>
      <c r="BQ7" s="16">
        <f t="shared" si="39"/>
        <v>9</v>
      </c>
      <c r="BR7" s="15">
        <f t="shared" si="40"/>
        <v>2880</v>
      </c>
      <c r="BS7" s="13">
        <v>0</v>
      </c>
      <c r="BT7" s="13">
        <v>0</v>
      </c>
      <c r="BU7" s="15">
        <f t="shared" si="41"/>
        <v>0</v>
      </c>
      <c r="BV7" s="15">
        <f t="shared" si="42"/>
        <v>0</v>
      </c>
      <c r="BW7" s="16">
        <f t="shared" si="43"/>
        <v>9</v>
      </c>
      <c r="BX7" s="15">
        <f t="shared" si="44"/>
        <v>2880</v>
      </c>
      <c r="BY7" s="13">
        <v>0</v>
      </c>
      <c r="BZ7" s="13">
        <v>0</v>
      </c>
      <c r="CA7" s="15">
        <f t="shared" si="45"/>
        <v>0</v>
      </c>
      <c r="CB7" s="15">
        <f t="shared" si="46"/>
        <v>0</v>
      </c>
      <c r="CC7" s="17">
        <f t="shared" si="48"/>
        <v>9</v>
      </c>
      <c r="CD7" s="18">
        <f t="shared" si="47"/>
        <v>2880</v>
      </c>
      <c r="CE7" s="5"/>
    </row>
    <row r="8" spans="1:83" ht="16.5">
      <c r="A8" s="12">
        <v>5</v>
      </c>
      <c r="B8" s="54" t="s">
        <v>39</v>
      </c>
      <c r="C8" s="53" t="s">
        <v>40</v>
      </c>
      <c r="D8" s="12">
        <v>20</v>
      </c>
      <c r="E8" s="12">
        <v>30</v>
      </c>
      <c r="F8" s="12">
        <v>60</v>
      </c>
      <c r="G8" s="13">
        <v>164</v>
      </c>
      <c r="H8" s="19">
        <v>3.8</v>
      </c>
      <c r="I8" s="13">
        <v>164</v>
      </c>
      <c r="J8" s="15">
        <f t="shared" si="0"/>
        <v>623.19999999999993</v>
      </c>
      <c r="K8" s="13">
        <v>0</v>
      </c>
      <c r="L8" s="13">
        <v>0</v>
      </c>
      <c r="M8" s="15">
        <f t="shared" si="1"/>
        <v>0</v>
      </c>
      <c r="N8" s="15">
        <f t="shared" si="2"/>
        <v>0</v>
      </c>
      <c r="O8" s="16">
        <f t="shared" si="3"/>
        <v>164</v>
      </c>
      <c r="P8" s="15">
        <f t="shared" si="4"/>
        <v>623.19999999999993</v>
      </c>
      <c r="Q8" s="13">
        <v>12</v>
      </c>
      <c r="R8" s="16">
        <v>0</v>
      </c>
      <c r="S8" s="15">
        <f t="shared" si="5"/>
        <v>0</v>
      </c>
      <c r="T8" s="15">
        <f t="shared" si="6"/>
        <v>45.599999999999994</v>
      </c>
      <c r="U8" s="16">
        <f t="shared" si="7"/>
        <v>152</v>
      </c>
      <c r="V8" s="15">
        <f t="shared" si="8"/>
        <v>577.6</v>
      </c>
      <c r="W8" s="13">
        <v>3</v>
      </c>
      <c r="X8" s="13">
        <v>0</v>
      </c>
      <c r="Y8" s="15">
        <f t="shared" si="9"/>
        <v>0</v>
      </c>
      <c r="Z8" s="15">
        <f t="shared" si="10"/>
        <v>11.399999999999999</v>
      </c>
      <c r="AA8" s="16">
        <f t="shared" si="11"/>
        <v>149</v>
      </c>
      <c r="AB8" s="15">
        <f t="shared" si="12"/>
        <v>566.19999999999993</v>
      </c>
      <c r="AC8" s="13">
        <v>1</v>
      </c>
      <c r="AD8" s="13">
        <v>0</v>
      </c>
      <c r="AE8" s="15">
        <f t="shared" si="13"/>
        <v>0</v>
      </c>
      <c r="AF8" s="15">
        <f t="shared" si="14"/>
        <v>3.8</v>
      </c>
      <c r="AG8" s="16">
        <f t="shared" si="15"/>
        <v>148</v>
      </c>
      <c r="AH8" s="15">
        <f t="shared" si="16"/>
        <v>562.4</v>
      </c>
      <c r="AI8" s="13">
        <v>0</v>
      </c>
      <c r="AJ8" s="13">
        <v>0</v>
      </c>
      <c r="AK8" s="15">
        <f t="shared" si="17"/>
        <v>0</v>
      </c>
      <c r="AL8" s="15">
        <f t="shared" si="18"/>
        <v>0</v>
      </c>
      <c r="AM8" s="16">
        <f t="shared" si="19"/>
        <v>148</v>
      </c>
      <c r="AN8" s="15">
        <f t="shared" si="20"/>
        <v>562.4</v>
      </c>
      <c r="AO8" s="13">
        <v>3</v>
      </c>
      <c r="AP8" s="13">
        <v>0</v>
      </c>
      <c r="AQ8" s="15">
        <f t="shared" si="21"/>
        <v>0</v>
      </c>
      <c r="AR8" s="15">
        <f t="shared" si="22"/>
        <v>11.399999999999999</v>
      </c>
      <c r="AS8" s="16">
        <f t="shared" si="23"/>
        <v>145</v>
      </c>
      <c r="AT8" s="15">
        <f t="shared" si="24"/>
        <v>551</v>
      </c>
      <c r="AU8" s="13">
        <v>1</v>
      </c>
      <c r="AV8" s="13">
        <v>0</v>
      </c>
      <c r="AW8" s="15">
        <f t="shared" si="25"/>
        <v>0</v>
      </c>
      <c r="AX8" s="15">
        <f t="shared" si="26"/>
        <v>3.8</v>
      </c>
      <c r="AY8" s="16">
        <f t="shared" si="27"/>
        <v>144</v>
      </c>
      <c r="AZ8" s="15">
        <f t="shared" si="28"/>
        <v>547.19999999999993</v>
      </c>
      <c r="BA8" s="13">
        <v>2</v>
      </c>
      <c r="BB8" s="13">
        <v>0</v>
      </c>
      <c r="BC8" s="15">
        <f t="shared" si="29"/>
        <v>0</v>
      </c>
      <c r="BD8" s="15">
        <f t="shared" si="30"/>
        <v>7.6</v>
      </c>
      <c r="BE8" s="16">
        <f t="shared" si="31"/>
        <v>142</v>
      </c>
      <c r="BF8" s="15">
        <f t="shared" si="32"/>
        <v>539.6</v>
      </c>
      <c r="BG8" s="13">
        <v>0</v>
      </c>
      <c r="BH8" s="13">
        <v>0</v>
      </c>
      <c r="BI8" s="15">
        <f t="shared" si="33"/>
        <v>0</v>
      </c>
      <c r="BJ8" s="15">
        <f t="shared" si="34"/>
        <v>0</v>
      </c>
      <c r="BK8" s="16">
        <f t="shared" si="35"/>
        <v>142</v>
      </c>
      <c r="BL8" s="15">
        <f t="shared" si="36"/>
        <v>539.6</v>
      </c>
      <c r="BM8" s="13">
        <v>0</v>
      </c>
      <c r="BN8" s="13">
        <v>0</v>
      </c>
      <c r="BO8" s="15">
        <f t="shared" si="37"/>
        <v>0</v>
      </c>
      <c r="BP8" s="15">
        <f t="shared" si="38"/>
        <v>0</v>
      </c>
      <c r="BQ8" s="16">
        <f t="shared" si="39"/>
        <v>142</v>
      </c>
      <c r="BR8" s="15">
        <f t="shared" si="40"/>
        <v>539.6</v>
      </c>
      <c r="BS8" s="13">
        <v>0</v>
      </c>
      <c r="BT8" s="13">
        <v>0</v>
      </c>
      <c r="BU8" s="15">
        <f t="shared" si="41"/>
        <v>0</v>
      </c>
      <c r="BV8" s="15">
        <f t="shared" si="42"/>
        <v>0</v>
      </c>
      <c r="BW8" s="16">
        <f t="shared" si="43"/>
        <v>142</v>
      </c>
      <c r="BX8" s="15">
        <f t="shared" si="44"/>
        <v>539.6</v>
      </c>
      <c r="BY8" s="13">
        <v>0</v>
      </c>
      <c r="BZ8" s="13">
        <v>0</v>
      </c>
      <c r="CA8" s="15">
        <f t="shared" si="45"/>
        <v>0</v>
      </c>
      <c r="CB8" s="15">
        <f t="shared" si="46"/>
        <v>0</v>
      </c>
      <c r="CC8" s="17">
        <f t="shared" si="48"/>
        <v>142</v>
      </c>
      <c r="CD8" s="18">
        <f t="shared" si="47"/>
        <v>539.6</v>
      </c>
      <c r="CE8" s="5"/>
    </row>
    <row r="9" spans="1:83" ht="16.5">
      <c r="A9" s="12">
        <v>6</v>
      </c>
      <c r="B9" s="54" t="s">
        <v>41</v>
      </c>
      <c r="C9" s="53" t="s">
        <v>42</v>
      </c>
      <c r="D9" s="12">
        <v>20</v>
      </c>
      <c r="E9" s="12">
        <v>30</v>
      </c>
      <c r="F9" s="12">
        <v>60</v>
      </c>
      <c r="G9" s="13">
        <v>11</v>
      </c>
      <c r="H9" s="19">
        <v>8.6</v>
      </c>
      <c r="I9" s="13">
        <v>11</v>
      </c>
      <c r="J9" s="15">
        <f>SUM(I9*H9)</f>
        <v>94.6</v>
      </c>
      <c r="K9" s="13">
        <v>6</v>
      </c>
      <c r="L9" s="13">
        <v>0</v>
      </c>
      <c r="M9" s="15">
        <f t="shared" si="1"/>
        <v>0</v>
      </c>
      <c r="N9" s="15">
        <f t="shared" si="2"/>
        <v>51.599999999999994</v>
      </c>
      <c r="O9" s="16">
        <v>5</v>
      </c>
      <c r="P9" s="15">
        <f t="shared" si="4"/>
        <v>43</v>
      </c>
      <c r="Q9" s="13">
        <v>5</v>
      </c>
      <c r="R9" s="16">
        <v>0</v>
      </c>
      <c r="S9" s="15">
        <f t="shared" si="5"/>
        <v>0</v>
      </c>
      <c r="T9" s="15">
        <f t="shared" si="6"/>
        <v>43</v>
      </c>
      <c r="U9" s="16">
        <f t="shared" si="7"/>
        <v>0</v>
      </c>
      <c r="V9" s="15">
        <f t="shared" si="8"/>
        <v>0</v>
      </c>
      <c r="W9" s="13">
        <v>0</v>
      </c>
      <c r="X9" s="13">
        <v>0</v>
      </c>
      <c r="Y9" s="15">
        <f t="shared" si="9"/>
        <v>0</v>
      </c>
      <c r="Z9" s="15">
        <f t="shared" si="10"/>
        <v>0</v>
      </c>
      <c r="AA9" s="16">
        <f t="shared" si="11"/>
        <v>0</v>
      </c>
      <c r="AB9" s="15">
        <f t="shared" si="12"/>
        <v>0</v>
      </c>
      <c r="AC9" s="13">
        <v>0</v>
      </c>
      <c r="AD9" s="13">
        <v>0</v>
      </c>
      <c r="AE9" s="15">
        <f t="shared" si="13"/>
        <v>0</v>
      </c>
      <c r="AF9" s="15">
        <f t="shared" si="14"/>
        <v>0</v>
      </c>
      <c r="AG9" s="16">
        <f t="shared" si="15"/>
        <v>0</v>
      </c>
      <c r="AH9" s="15">
        <f t="shared" si="16"/>
        <v>0</v>
      </c>
      <c r="AI9" s="13">
        <v>0</v>
      </c>
      <c r="AJ9" s="13">
        <v>0</v>
      </c>
      <c r="AK9" s="15">
        <f t="shared" si="17"/>
        <v>0</v>
      </c>
      <c r="AL9" s="15">
        <f t="shared" si="18"/>
        <v>0</v>
      </c>
      <c r="AM9" s="16">
        <f t="shared" si="19"/>
        <v>0</v>
      </c>
      <c r="AN9" s="15">
        <f t="shared" si="20"/>
        <v>0</v>
      </c>
      <c r="AO9" s="13">
        <v>0</v>
      </c>
      <c r="AP9" s="13">
        <v>0</v>
      </c>
      <c r="AQ9" s="15">
        <f t="shared" si="21"/>
        <v>0</v>
      </c>
      <c r="AR9" s="15">
        <f t="shared" si="22"/>
        <v>0</v>
      </c>
      <c r="AS9" s="16">
        <f t="shared" si="23"/>
        <v>0</v>
      </c>
      <c r="AT9" s="15">
        <f t="shared" si="24"/>
        <v>0</v>
      </c>
      <c r="AU9" s="13">
        <v>0</v>
      </c>
      <c r="AV9" s="13">
        <v>0</v>
      </c>
      <c r="AW9" s="15">
        <f t="shared" si="25"/>
        <v>0</v>
      </c>
      <c r="AX9" s="15">
        <f t="shared" si="26"/>
        <v>0</v>
      </c>
      <c r="AY9" s="16">
        <f t="shared" si="27"/>
        <v>0</v>
      </c>
      <c r="AZ9" s="15">
        <f t="shared" si="28"/>
        <v>0</v>
      </c>
      <c r="BA9" s="13">
        <v>0</v>
      </c>
      <c r="BB9" s="13">
        <v>0</v>
      </c>
      <c r="BC9" s="15">
        <f t="shared" si="29"/>
        <v>0</v>
      </c>
      <c r="BD9" s="15">
        <f t="shared" si="30"/>
        <v>0</v>
      </c>
      <c r="BE9" s="16">
        <f t="shared" si="31"/>
        <v>0</v>
      </c>
      <c r="BF9" s="15">
        <f t="shared" si="32"/>
        <v>0</v>
      </c>
      <c r="BG9" s="13">
        <v>0</v>
      </c>
      <c r="BH9" s="13">
        <v>0</v>
      </c>
      <c r="BI9" s="15">
        <f t="shared" si="33"/>
        <v>0</v>
      </c>
      <c r="BJ9" s="15">
        <f t="shared" si="34"/>
        <v>0</v>
      </c>
      <c r="BK9" s="16">
        <f t="shared" si="35"/>
        <v>0</v>
      </c>
      <c r="BL9" s="15">
        <f t="shared" si="36"/>
        <v>0</v>
      </c>
      <c r="BM9" s="13">
        <v>0</v>
      </c>
      <c r="BN9" s="13">
        <v>0</v>
      </c>
      <c r="BO9" s="15">
        <f t="shared" si="37"/>
        <v>0</v>
      </c>
      <c r="BP9" s="15">
        <f t="shared" si="38"/>
        <v>0</v>
      </c>
      <c r="BQ9" s="16">
        <f t="shared" si="39"/>
        <v>0</v>
      </c>
      <c r="BR9" s="15">
        <f t="shared" si="40"/>
        <v>0</v>
      </c>
      <c r="BS9" s="13">
        <v>0</v>
      </c>
      <c r="BT9" s="13">
        <v>0</v>
      </c>
      <c r="BU9" s="15">
        <f t="shared" si="41"/>
        <v>0</v>
      </c>
      <c r="BV9" s="15">
        <f t="shared" si="42"/>
        <v>0</v>
      </c>
      <c r="BW9" s="16">
        <f t="shared" si="43"/>
        <v>0</v>
      </c>
      <c r="BX9" s="15">
        <f t="shared" si="44"/>
        <v>0</v>
      </c>
      <c r="BY9" s="13">
        <v>0</v>
      </c>
      <c r="BZ9" s="13">
        <v>0</v>
      </c>
      <c r="CA9" s="15">
        <f t="shared" si="45"/>
        <v>0</v>
      </c>
      <c r="CB9" s="15">
        <f t="shared" si="46"/>
        <v>0</v>
      </c>
      <c r="CC9" s="17">
        <f t="shared" si="48"/>
        <v>0</v>
      </c>
      <c r="CD9" s="18">
        <f t="shared" si="47"/>
        <v>0</v>
      </c>
      <c r="CE9" s="5"/>
    </row>
    <row r="10" spans="1:83" ht="16.5">
      <c r="A10" s="12">
        <v>7</v>
      </c>
      <c r="B10" s="54" t="s">
        <v>43</v>
      </c>
      <c r="C10" s="55" t="s">
        <v>44</v>
      </c>
      <c r="D10" s="20"/>
      <c r="E10" s="20"/>
      <c r="F10" s="20"/>
      <c r="G10" s="13">
        <v>10</v>
      </c>
      <c r="H10" s="19">
        <v>3.5</v>
      </c>
      <c r="I10" s="13">
        <v>10</v>
      </c>
      <c r="J10" s="15">
        <f t="shared" si="0"/>
        <v>35</v>
      </c>
      <c r="K10" s="13">
        <v>1</v>
      </c>
      <c r="L10" s="13">
        <v>0</v>
      </c>
      <c r="M10" s="15">
        <f t="shared" si="1"/>
        <v>0</v>
      </c>
      <c r="N10" s="15">
        <f t="shared" si="2"/>
        <v>3.5</v>
      </c>
      <c r="O10" s="16">
        <f t="shared" si="3"/>
        <v>9</v>
      </c>
      <c r="P10" s="15">
        <f t="shared" si="4"/>
        <v>31.5</v>
      </c>
      <c r="Q10" s="13">
        <v>9</v>
      </c>
      <c r="R10" s="16">
        <v>0</v>
      </c>
      <c r="S10" s="15">
        <f t="shared" si="5"/>
        <v>0</v>
      </c>
      <c r="T10" s="15">
        <f t="shared" si="6"/>
        <v>31.5</v>
      </c>
      <c r="U10" s="16">
        <f t="shared" si="7"/>
        <v>0</v>
      </c>
      <c r="V10" s="15">
        <f t="shared" si="8"/>
        <v>0</v>
      </c>
      <c r="W10" s="13">
        <v>0</v>
      </c>
      <c r="X10" s="13">
        <v>0</v>
      </c>
      <c r="Y10" s="15">
        <f t="shared" si="9"/>
        <v>0</v>
      </c>
      <c r="Z10" s="15">
        <f t="shared" si="10"/>
        <v>0</v>
      </c>
      <c r="AA10" s="16">
        <f t="shared" si="11"/>
        <v>0</v>
      </c>
      <c r="AB10" s="15">
        <f t="shared" si="12"/>
        <v>0</v>
      </c>
      <c r="AC10" s="13">
        <v>0</v>
      </c>
      <c r="AD10" s="13">
        <v>0</v>
      </c>
      <c r="AE10" s="15">
        <f t="shared" si="13"/>
        <v>0</v>
      </c>
      <c r="AF10" s="15">
        <f t="shared" si="14"/>
        <v>0</v>
      </c>
      <c r="AG10" s="16">
        <f t="shared" si="15"/>
        <v>0</v>
      </c>
      <c r="AH10" s="15">
        <f t="shared" si="16"/>
        <v>0</v>
      </c>
      <c r="AI10" s="13">
        <v>0</v>
      </c>
      <c r="AJ10" s="13">
        <v>0</v>
      </c>
      <c r="AK10" s="15">
        <f t="shared" si="17"/>
        <v>0</v>
      </c>
      <c r="AL10" s="15">
        <f t="shared" si="18"/>
        <v>0</v>
      </c>
      <c r="AM10" s="16">
        <f t="shared" si="19"/>
        <v>0</v>
      </c>
      <c r="AN10" s="15">
        <f t="shared" si="20"/>
        <v>0</v>
      </c>
      <c r="AO10" s="13">
        <v>0</v>
      </c>
      <c r="AP10" s="13">
        <v>0</v>
      </c>
      <c r="AQ10" s="15">
        <f t="shared" si="21"/>
        <v>0</v>
      </c>
      <c r="AR10" s="15">
        <f t="shared" si="22"/>
        <v>0</v>
      </c>
      <c r="AS10" s="16">
        <f t="shared" si="23"/>
        <v>0</v>
      </c>
      <c r="AT10" s="15">
        <f t="shared" si="24"/>
        <v>0</v>
      </c>
      <c r="AU10" s="13">
        <v>0</v>
      </c>
      <c r="AV10" s="13">
        <v>0</v>
      </c>
      <c r="AW10" s="15">
        <f t="shared" si="25"/>
        <v>0</v>
      </c>
      <c r="AX10" s="15">
        <f t="shared" si="26"/>
        <v>0</v>
      </c>
      <c r="AY10" s="16">
        <f t="shared" si="27"/>
        <v>0</v>
      </c>
      <c r="AZ10" s="15">
        <f t="shared" si="28"/>
        <v>0</v>
      </c>
      <c r="BA10" s="13">
        <v>0</v>
      </c>
      <c r="BB10" s="13">
        <v>0</v>
      </c>
      <c r="BC10" s="15">
        <f t="shared" si="29"/>
        <v>0</v>
      </c>
      <c r="BD10" s="15">
        <f t="shared" si="30"/>
        <v>0</v>
      </c>
      <c r="BE10" s="16">
        <f t="shared" si="31"/>
        <v>0</v>
      </c>
      <c r="BF10" s="15">
        <f t="shared" si="32"/>
        <v>0</v>
      </c>
      <c r="BG10" s="13">
        <v>0</v>
      </c>
      <c r="BH10" s="13">
        <v>0</v>
      </c>
      <c r="BI10" s="15">
        <f t="shared" si="33"/>
        <v>0</v>
      </c>
      <c r="BJ10" s="15">
        <f t="shared" si="34"/>
        <v>0</v>
      </c>
      <c r="BK10" s="16">
        <f t="shared" si="35"/>
        <v>0</v>
      </c>
      <c r="BL10" s="15">
        <f t="shared" si="36"/>
        <v>0</v>
      </c>
      <c r="BM10" s="13">
        <v>0</v>
      </c>
      <c r="BN10" s="13">
        <v>0</v>
      </c>
      <c r="BO10" s="15">
        <f t="shared" si="37"/>
        <v>0</v>
      </c>
      <c r="BP10" s="15">
        <f t="shared" si="38"/>
        <v>0</v>
      </c>
      <c r="BQ10" s="16">
        <f t="shared" si="39"/>
        <v>0</v>
      </c>
      <c r="BR10" s="15">
        <f t="shared" si="40"/>
        <v>0</v>
      </c>
      <c r="BS10" s="13">
        <v>0</v>
      </c>
      <c r="BT10" s="13">
        <v>0</v>
      </c>
      <c r="BU10" s="15">
        <f t="shared" si="41"/>
        <v>0</v>
      </c>
      <c r="BV10" s="15">
        <f t="shared" si="42"/>
        <v>0</v>
      </c>
      <c r="BW10" s="16">
        <f t="shared" si="43"/>
        <v>0</v>
      </c>
      <c r="BX10" s="15">
        <f t="shared" si="44"/>
        <v>0</v>
      </c>
      <c r="BY10" s="13">
        <v>0</v>
      </c>
      <c r="BZ10" s="13">
        <v>0</v>
      </c>
      <c r="CA10" s="15">
        <f t="shared" si="45"/>
        <v>0</v>
      </c>
      <c r="CB10" s="15">
        <f t="shared" si="46"/>
        <v>0</v>
      </c>
      <c r="CC10" s="17">
        <f t="shared" si="48"/>
        <v>0</v>
      </c>
      <c r="CD10" s="18">
        <f t="shared" si="47"/>
        <v>0</v>
      </c>
      <c r="CE10" s="5"/>
    </row>
    <row r="11" spans="1:83" ht="16.5">
      <c r="A11" s="12">
        <v>8</v>
      </c>
      <c r="B11" s="54" t="s">
        <v>45</v>
      </c>
      <c r="C11" s="55" t="s">
        <v>46</v>
      </c>
      <c r="D11" s="21"/>
      <c r="E11" s="21"/>
      <c r="F11" s="21"/>
      <c r="G11" s="13">
        <v>30</v>
      </c>
      <c r="H11" s="19">
        <v>13.5</v>
      </c>
      <c r="I11" s="13">
        <v>30</v>
      </c>
      <c r="J11" s="15">
        <f>SUM(I11*H11)</f>
        <v>405</v>
      </c>
      <c r="K11" s="13">
        <v>9</v>
      </c>
      <c r="L11" s="13">
        <v>0</v>
      </c>
      <c r="M11" s="15">
        <f t="shared" si="1"/>
        <v>0</v>
      </c>
      <c r="N11" s="15">
        <f t="shared" si="2"/>
        <v>121.5</v>
      </c>
      <c r="O11" s="16">
        <f>I11-K11+L11</f>
        <v>21</v>
      </c>
      <c r="P11" s="15">
        <f>O11*H11</f>
        <v>283.5</v>
      </c>
      <c r="Q11" s="13">
        <v>21</v>
      </c>
      <c r="R11" s="16">
        <v>0</v>
      </c>
      <c r="S11" s="15">
        <f t="shared" si="5"/>
        <v>0</v>
      </c>
      <c r="T11" s="15">
        <f t="shared" si="6"/>
        <v>283.5</v>
      </c>
      <c r="U11" s="16">
        <f>O11-Q11+R11</f>
        <v>0</v>
      </c>
      <c r="V11" s="15">
        <f>U11*H11</f>
        <v>0</v>
      </c>
      <c r="W11" s="13">
        <v>0</v>
      </c>
      <c r="X11" s="13">
        <v>0</v>
      </c>
      <c r="Y11" s="15">
        <f>X11*H11</f>
        <v>0</v>
      </c>
      <c r="Z11" s="15">
        <f>W11*H11</f>
        <v>0</v>
      </c>
      <c r="AA11" s="16">
        <f>U11-W11+X11</f>
        <v>0</v>
      </c>
      <c r="AB11" s="15">
        <f>AA11*H11</f>
        <v>0</v>
      </c>
      <c r="AC11" s="13">
        <v>0</v>
      </c>
      <c r="AD11" s="13">
        <v>0</v>
      </c>
      <c r="AE11" s="15">
        <f>AD11*H11</f>
        <v>0</v>
      </c>
      <c r="AF11" s="15">
        <f>AC11*H11</f>
        <v>0</v>
      </c>
      <c r="AG11" s="16">
        <f>AA11-AC11+AD11</f>
        <v>0</v>
      </c>
      <c r="AH11" s="15">
        <f>AG11*H11</f>
        <v>0</v>
      </c>
      <c r="AI11" s="13">
        <v>0</v>
      </c>
      <c r="AJ11" s="13">
        <v>0</v>
      </c>
      <c r="AK11" s="15">
        <f>AJ11*H11</f>
        <v>0</v>
      </c>
      <c r="AL11" s="15">
        <f>AI11*H11</f>
        <v>0</v>
      </c>
      <c r="AM11" s="16">
        <f>AG11-AI11+AJ11</f>
        <v>0</v>
      </c>
      <c r="AN11" s="15">
        <f>AM11*H11</f>
        <v>0</v>
      </c>
      <c r="AO11" s="13">
        <v>0</v>
      </c>
      <c r="AP11" s="13">
        <v>0</v>
      </c>
      <c r="AQ11" s="15">
        <f>AP11*H11</f>
        <v>0</v>
      </c>
      <c r="AR11" s="15">
        <f>AO11*H11</f>
        <v>0</v>
      </c>
      <c r="AS11" s="16">
        <f>AM11-AO11+AP11</f>
        <v>0</v>
      </c>
      <c r="AT11" s="15">
        <f>AS11*H11</f>
        <v>0</v>
      </c>
      <c r="AU11" s="13">
        <v>0</v>
      </c>
      <c r="AV11" s="13">
        <v>0</v>
      </c>
      <c r="AW11" s="15">
        <f>AV11*H11</f>
        <v>0</v>
      </c>
      <c r="AX11" s="15">
        <f>AU11*H11</f>
        <v>0</v>
      </c>
      <c r="AY11" s="16">
        <f>AS11-AU11+AV11</f>
        <v>0</v>
      </c>
      <c r="AZ11" s="15">
        <f>AY11*H11</f>
        <v>0</v>
      </c>
      <c r="BA11" s="13">
        <v>0</v>
      </c>
      <c r="BB11" s="13">
        <v>0</v>
      </c>
      <c r="BC11" s="15">
        <f>BB11*H11</f>
        <v>0</v>
      </c>
      <c r="BD11" s="15">
        <f t="shared" si="30"/>
        <v>0</v>
      </c>
      <c r="BE11" s="16">
        <f>AY11-BA11+BB11</f>
        <v>0</v>
      </c>
      <c r="BF11" s="15">
        <f>BE11*H11</f>
        <v>0</v>
      </c>
      <c r="BG11" s="13">
        <v>0</v>
      </c>
      <c r="BH11" s="13">
        <v>0</v>
      </c>
      <c r="BI11" s="15">
        <f>BH11*H11</f>
        <v>0</v>
      </c>
      <c r="BJ11" s="15">
        <f>BG11*H11</f>
        <v>0</v>
      </c>
      <c r="BK11" s="16">
        <f t="shared" si="35"/>
        <v>0</v>
      </c>
      <c r="BL11" s="15">
        <f t="shared" si="36"/>
        <v>0</v>
      </c>
      <c r="BM11" s="13">
        <v>0</v>
      </c>
      <c r="BN11" s="13">
        <v>0</v>
      </c>
      <c r="BO11" s="15">
        <f t="shared" si="37"/>
        <v>0</v>
      </c>
      <c r="BP11" s="15">
        <f t="shared" si="38"/>
        <v>0</v>
      </c>
      <c r="BQ11" s="16">
        <f>BK11-BM11+BN11</f>
        <v>0</v>
      </c>
      <c r="BR11" s="15">
        <f>BQ11*H11</f>
        <v>0</v>
      </c>
      <c r="BS11" s="13">
        <v>0</v>
      </c>
      <c r="BT11" s="13">
        <v>0</v>
      </c>
      <c r="BU11" s="15">
        <f>BT11*H11</f>
        <v>0</v>
      </c>
      <c r="BV11" s="15">
        <f>BS11*H11</f>
        <v>0</v>
      </c>
      <c r="BW11" s="16">
        <f>BQ11-BS11+BT11</f>
        <v>0</v>
      </c>
      <c r="BX11" s="15">
        <f>BW11*H11</f>
        <v>0</v>
      </c>
      <c r="BY11" s="13">
        <v>0</v>
      </c>
      <c r="BZ11" s="13">
        <v>0</v>
      </c>
      <c r="CA11" s="15">
        <f>BZ11*H11</f>
        <v>0</v>
      </c>
      <c r="CB11" s="15">
        <f>BY11*H11</f>
        <v>0</v>
      </c>
      <c r="CC11" s="17">
        <f t="shared" si="48"/>
        <v>0</v>
      </c>
      <c r="CD11" s="18">
        <f>CC11*H11</f>
        <v>0</v>
      </c>
      <c r="CE11" s="5"/>
    </row>
    <row r="12" spans="1:83" ht="16.5">
      <c r="A12" s="12">
        <v>9</v>
      </c>
      <c r="B12" s="54" t="s">
        <v>47</v>
      </c>
      <c r="C12" s="55" t="s">
        <v>48</v>
      </c>
      <c r="D12" s="22"/>
      <c r="E12" s="22"/>
      <c r="F12" s="22"/>
      <c r="G12" s="13">
        <v>100</v>
      </c>
      <c r="H12" s="23">
        <v>12</v>
      </c>
      <c r="I12" s="13">
        <v>100</v>
      </c>
      <c r="J12" s="15">
        <f>SUM(I12*H12)</f>
        <v>1200</v>
      </c>
      <c r="K12" s="13">
        <v>80</v>
      </c>
      <c r="L12" s="13">
        <v>0</v>
      </c>
      <c r="M12" s="15">
        <f t="shared" si="1"/>
        <v>0</v>
      </c>
      <c r="N12" s="15">
        <f t="shared" si="2"/>
        <v>960</v>
      </c>
      <c r="O12" s="16">
        <f>I12-K12+L12</f>
        <v>20</v>
      </c>
      <c r="P12" s="15">
        <f>O12*H12</f>
        <v>240</v>
      </c>
      <c r="Q12" s="13">
        <v>20</v>
      </c>
      <c r="R12" s="16">
        <v>0</v>
      </c>
      <c r="S12" s="15">
        <f t="shared" si="5"/>
        <v>0</v>
      </c>
      <c r="T12" s="15">
        <f t="shared" si="6"/>
        <v>240</v>
      </c>
      <c r="U12" s="16">
        <f>O12-Q12+R12</f>
        <v>0</v>
      </c>
      <c r="V12" s="15">
        <f>U12*H12</f>
        <v>0</v>
      </c>
      <c r="W12" s="13">
        <v>0</v>
      </c>
      <c r="X12" s="13">
        <v>0</v>
      </c>
      <c r="Y12" s="15">
        <f>X12*H12</f>
        <v>0</v>
      </c>
      <c r="Z12" s="15">
        <f>W12*H12</f>
        <v>0</v>
      </c>
      <c r="AA12" s="16">
        <f>U12-W12+X12</f>
        <v>0</v>
      </c>
      <c r="AB12" s="15">
        <f>AA12*H12</f>
        <v>0</v>
      </c>
      <c r="AC12" s="13">
        <v>0</v>
      </c>
      <c r="AD12" s="13">
        <v>0</v>
      </c>
      <c r="AE12" s="15">
        <f>AD12*H12</f>
        <v>0</v>
      </c>
      <c r="AF12" s="15">
        <f>AC12*H12</f>
        <v>0</v>
      </c>
      <c r="AG12" s="16">
        <f>AA12-AC12+AD12</f>
        <v>0</v>
      </c>
      <c r="AH12" s="15">
        <f>AG12*H12</f>
        <v>0</v>
      </c>
      <c r="AI12" s="13">
        <v>0</v>
      </c>
      <c r="AJ12" s="13">
        <v>0</v>
      </c>
      <c r="AK12" s="15">
        <f>AJ12*H12</f>
        <v>0</v>
      </c>
      <c r="AL12" s="15">
        <f>AI12*H12</f>
        <v>0</v>
      </c>
      <c r="AM12" s="16">
        <f>AG12-AI12+AJ12</f>
        <v>0</v>
      </c>
      <c r="AN12" s="15">
        <f>AM12*H12</f>
        <v>0</v>
      </c>
      <c r="AO12" s="13">
        <v>0</v>
      </c>
      <c r="AP12" s="13">
        <v>0</v>
      </c>
      <c r="AQ12" s="15">
        <f>AP12*H12</f>
        <v>0</v>
      </c>
      <c r="AR12" s="15">
        <f>AO12*H12</f>
        <v>0</v>
      </c>
      <c r="AS12" s="16">
        <f t="shared" si="23"/>
        <v>0</v>
      </c>
      <c r="AT12" s="15">
        <f>AS12*H12</f>
        <v>0</v>
      </c>
      <c r="AU12" s="13">
        <v>0</v>
      </c>
      <c r="AV12" s="13">
        <v>0</v>
      </c>
      <c r="AW12" s="15">
        <f t="shared" si="25"/>
        <v>0</v>
      </c>
      <c r="AX12" s="15">
        <f t="shared" si="26"/>
        <v>0</v>
      </c>
      <c r="AY12" s="16">
        <f>AS12-AU12+AV12</f>
        <v>0</v>
      </c>
      <c r="AZ12" s="15">
        <f>AY12*H12</f>
        <v>0</v>
      </c>
      <c r="BA12" s="13">
        <v>0</v>
      </c>
      <c r="BB12" s="13">
        <v>0</v>
      </c>
      <c r="BC12" s="15">
        <f>BB12*H12</f>
        <v>0</v>
      </c>
      <c r="BD12" s="15">
        <f t="shared" si="30"/>
        <v>0</v>
      </c>
      <c r="BE12" s="16">
        <f>AY12-BA12+BB12</f>
        <v>0</v>
      </c>
      <c r="BF12" s="15">
        <f>BE12*H12</f>
        <v>0</v>
      </c>
      <c r="BG12" s="13">
        <v>0</v>
      </c>
      <c r="BH12" s="13">
        <v>0</v>
      </c>
      <c r="BI12" s="15">
        <f>BH12*H12</f>
        <v>0</v>
      </c>
      <c r="BJ12" s="15">
        <f>BG12*H12</f>
        <v>0</v>
      </c>
      <c r="BK12" s="16">
        <f t="shared" si="35"/>
        <v>0</v>
      </c>
      <c r="BL12" s="15">
        <f t="shared" si="36"/>
        <v>0</v>
      </c>
      <c r="BM12" s="13">
        <v>0</v>
      </c>
      <c r="BN12" s="13">
        <v>0</v>
      </c>
      <c r="BO12" s="15">
        <f t="shared" si="37"/>
        <v>0</v>
      </c>
      <c r="BP12" s="15">
        <f t="shared" si="38"/>
        <v>0</v>
      </c>
      <c r="BQ12" s="16">
        <f>BK12-BM12+BN12</f>
        <v>0</v>
      </c>
      <c r="BR12" s="15">
        <f>BQ12*H12</f>
        <v>0</v>
      </c>
      <c r="BS12" s="13">
        <v>0</v>
      </c>
      <c r="BT12" s="13">
        <v>0</v>
      </c>
      <c r="BU12" s="15">
        <f>BT12*H12</f>
        <v>0</v>
      </c>
      <c r="BV12" s="15">
        <f>BS12*H12</f>
        <v>0</v>
      </c>
      <c r="BW12" s="16">
        <f>BQ12-BS12+BT12</f>
        <v>0</v>
      </c>
      <c r="BX12" s="15">
        <f>BW12*H12</f>
        <v>0</v>
      </c>
      <c r="BY12" s="13">
        <v>0</v>
      </c>
      <c r="BZ12" s="13">
        <v>0</v>
      </c>
      <c r="CA12" s="15">
        <f>BZ12*H12</f>
        <v>0</v>
      </c>
      <c r="CB12" s="15">
        <f>BY12*H12</f>
        <v>0</v>
      </c>
      <c r="CC12" s="17">
        <f t="shared" si="48"/>
        <v>0</v>
      </c>
      <c r="CD12" s="18">
        <f>CC12*H12</f>
        <v>0</v>
      </c>
      <c r="CE12" s="5"/>
    </row>
    <row r="13" spans="1:83" ht="16.5">
      <c r="A13" s="12">
        <v>10</v>
      </c>
      <c r="B13" s="54" t="s">
        <v>49</v>
      </c>
      <c r="C13" s="55" t="s">
        <v>50</v>
      </c>
      <c r="D13" s="22"/>
      <c r="E13" s="22"/>
      <c r="F13" s="22"/>
      <c r="G13" s="13">
        <v>0</v>
      </c>
      <c r="H13" s="23">
        <v>15.6</v>
      </c>
      <c r="I13" s="13">
        <v>0</v>
      </c>
      <c r="J13" s="15">
        <f t="shared" si="0"/>
        <v>0</v>
      </c>
      <c r="K13" s="13">
        <v>0</v>
      </c>
      <c r="L13" s="13">
        <v>0</v>
      </c>
      <c r="M13" s="15">
        <f t="shared" si="1"/>
        <v>0</v>
      </c>
      <c r="N13" s="15">
        <f t="shared" si="2"/>
        <v>0</v>
      </c>
      <c r="O13" s="16">
        <f t="shared" si="3"/>
        <v>0</v>
      </c>
      <c r="P13" s="15">
        <f t="shared" si="4"/>
        <v>0</v>
      </c>
      <c r="Q13" s="13">
        <v>0</v>
      </c>
      <c r="R13" s="16">
        <v>0</v>
      </c>
      <c r="S13" s="15">
        <f t="shared" si="5"/>
        <v>0</v>
      </c>
      <c r="T13" s="15">
        <f t="shared" si="6"/>
        <v>0</v>
      </c>
      <c r="U13" s="16">
        <v>0</v>
      </c>
      <c r="V13" s="15">
        <f t="shared" si="8"/>
        <v>0</v>
      </c>
      <c r="W13" s="13">
        <v>0</v>
      </c>
      <c r="X13" s="13">
        <v>0</v>
      </c>
      <c r="Y13" s="15">
        <f t="shared" si="9"/>
        <v>0</v>
      </c>
      <c r="Z13" s="15">
        <f t="shared" si="10"/>
        <v>0</v>
      </c>
      <c r="AA13" s="16">
        <f t="shared" si="11"/>
        <v>0</v>
      </c>
      <c r="AB13" s="15">
        <f t="shared" si="12"/>
        <v>0</v>
      </c>
      <c r="AC13" s="13">
        <v>0</v>
      </c>
      <c r="AD13" s="13">
        <v>0</v>
      </c>
      <c r="AE13" s="15">
        <f t="shared" si="13"/>
        <v>0</v>
      </c>
      <c r="AF13" s="15">
        <f t="shared" si="14"/>
        <v>0</v>
      </c>
      <c r="AG13" s="16">
        <f t="shared" si="15"/>
        <v>0</v>
      </c>
      <c r="AH13" s="15">
        <f t="shared" si="16"/>
        <v>0</v>
      </c>
      <c r="AI13" s="13">
        <v>0</v>
      </c>
      <c r="AJ13" s="13">
        <v>0</v>
      </c>
      <c r="AK13" s="15">
        <f t="shared" si="17"/>
        <v>0</v>
      </c>
      <c r="AL13" s="15">
        <f t="shared" si="18"/>
        <v>0</v>
      </c>
      <c r="AM13" s="16">
        <f t="shared" si="19"/>
        <v>0</v>
      </c>
      <c r="AN13" s="15">
        <f t="shared" si="20"/>
        <v>0</v>
      </c>
      <c r="AO13" s="13">
        <v>0</v>
      </c>
      <c r="AP13" s="13">
        <v>0</v>
      </c>
      <c r="AQ13" s="15">
        <f t="shared" si="21"/>
        <v>0</v>
      </c>
      <c r="AR13" s="15">
        <f t="shared" si="22"/>
        <v>0</v>
      </c>
      <c r="AS13" s="16">
        <f t="shared" si="23"/>
        <v>0</v>
      </c>
      <c r="AT13" s="15">
        <f t="shared" si="24"/>
        <v>0</v>
      </c>
      <c r="AU13" s="13">
        <v>0</v>
      </c>
      <c r="AV13" s="13">
        <v>0</v>
      </c>
      <c r="AW13" s="15">
        <f t="shared" si="25"/>
        <v>0</v>
      </c>
      <c r="AX13" s="15">
        <f t="shared" si="26"/>
        <v>0</v>
      </c>
      <c r="AY13" s="16">
        <f t="shared" si="27"/>
        <v>0</v>
      </c>
      <c r="AZ13" s="15">
        <f t="shared" si="28"/>
        <v>0</v>
      </c>
      <c r="BA13" s="13">
        <v>0</v>
      </c>
      <c r="BB13" s="13">
        <v>0</v>
      </c>
      <c r="BC13" s="15">
        <f t="shared" si="29"/>
        <v>0</v>
      </c>
      <c r="BD13" s="15">
        <f t="shared" si="30"/>
        <v>0</v>
      </c>
      <c r="BE13" s="16">
        <f t="shared" si="31"/>
        <v>0</v>
      </c>
      <c r="BF13" s="15">
        <f t="shared" si="32"/>
        <v>0</v>
      </c>
      <c r="BG13" s="13">
        <v>0</v>
      </c>
      <c r="BH13" s="13">
        <v>0</v>
      </c>
      <c r="BI13" s="15">
        <f t="shared" si="33"/>
        <v>0</v>
      </c>
      <c r="BJ13" s="15">
        <f t="shared" si="34"/>
        <v>0</v>
      </c>
      <c r="BK13" s="16">
        <f t="shared" si="35"/>
        <v>0</v>
      </c>
      <c r="BL13" s="15">
        <f t="shared" si="36"/>
        <v>0</v>
      </c>
      <c r="BM13" s="13">
        <v>0</v>
      </c>
      <c r="BN13" s="13">
        <v>0</v>
      </c>
      <c r="BO13" s="15">
        <f t="shared" si="37"/>
        <v>0</v>
      </c>
      <c r="BP13" s="15">
        <f t="shared" si="38"/>
        <v>0</v>
      </c>
      <c r="BQ13" s="16">
        <f t="shared" si="39"/>
        <v>0</v>
      </c>
      <c r="BR13" s="15">
        <f t="shared" si="40"/>
        <v>0</v>
      </c>
      <c r="BS13" s="13">
        <v>0</v>
      </c>
      <c r="BT13" s="13">
        <v>0</v>
      </c>
      <c r="BU13" s="15">
        <f t="shared" si="41"/>
        <v>0</v>
      </c>
      <c r="BV13" s="15">
        <f t="shared" si="42"/>
        <v>0</v>
      </c>
      <c r="BW13" s="16">
        <f t="shared" si="43"/>
        <v>0</v>
      </c>
      <c r="BX13" s="15">
        <f t="shared" si="44"/>
        <v>0</v>
      </c>
      <c r="BY13" s="13">
        <v>0</v>
      </c>
      <c r="BZ13" s="13">
        <v>0</v>
      </c>
      <c r="CA13" s="15">
        <f t="shared" si="45"/>
        <v>0</v>
      </c>
      <c r="CB13" s="15">
        <f t="shared" si="46"/>
        <v>0</v>
      </c>
      <c r="CC13" s="17">
        <f t="shared" si="48"/>
        <v>0</v>
      </c>
      <c r="CD13" s="18">
        <f t="shared" si="47"/>
        <v>0</v>
      </c>
      <c r="CE13" s="5"/>
    </row>
    <row r="14" spans="1:83" ht="16.5">
      <c r="A14" s="12">
        <v>11</v>
      </c>
      <c r="B14" s="54" t="s">
        <v>51</v>
      </c>
      <c r="C14" s="55" t="s">
        <v>52</v>
      </c>
      <c r="D14" s="74">
        <v>20</v>
      </c>
      <c r="E14" s="74">
        <v>30</v>
      </c>
      <c r="F14" s="74">
        <v>40</v>
      </c>
      <c r="G14" s="13">
        <v>86</v>
      </c>
      <c r="H14" s="19">
        <v>0.3</v>
      </c>
      <c r="I14" s="13">
        <v>86</v>
      </c>
      <c r="J14" s="15">
        <f t="shared" si="0"/>
        <v>25.8</v>
      </c>
      <c r="K14" s="13">
        <v>80</v>
      </c>
      <c r="L14" s="13">
        <v>0</v>
      </c>
      <c r="M14" s="15">
        <f t="shared" si="1"/>
        <v>0</v>
      </c>
      <c r="N14" s="15">
        <f t="shared" si="2"/>
        <v>24</v>
      </c>
      <c r="O14" s="16">
        <f>I14-K14+L14</f>
        <v>6</v>
      </c>
      <c r="P14" s="15">
        <f t="shared" si="4"/>
        <v>1.7999999999999998</v>
      </c>
      <c r="Q14" s="13">
        <v>0</v>
      </c>
      <c r="R14" s="16">
        <v>0</v>
      </c>
      <c r="S14" s="15">
        <f t="shared" si="5"/>
        <v>0</v>
      </c>
      <c r="T14" s="15">
        <f t="shared" si="6"/>
        <v>0</v>
      </c>
      <c r="U14" s="16">
        <v>6</v>
      </c>
      <c r="V14" s="15">
        <f t="shared" si="8"/>
        <v>1.7999999999999998</v>
      </c>
      <c r="W14" s="13">
        <v>0</v>
      </c>
      <c r="X14" s="13">
        <v>0</v>
      </c>
      <c r="Y14" s="15">
        <f t="shared" si="9"/>
        <v>0</v>
      </c>
      <c r="Z14" s="15">
        <f t="shared" si="10"/>
        <v>0</v>
      </c>
      <c r="AA14" s="16">
        <f t="shared" si="11"/>
        <v>6</v>
      </c>
      <c r="AB14" s="15">
        <f t="shared" si="12"/>
        <v>1.7999999999999998</v>
      </c>
      <c r="AC14" s="13">
        <v>0</v>
      </c>
      <c r="AD14" s="13">
        <v>0</v>
      </c>
      <c r="AE14" s="15">
        <f t="shared" si="13"/>
        <v>0</v>
      </c>
      <c r="AF14" s="15">
        <f t="shared" si="14"/>
        <v>0</v>
      </c>
      <c r="AG14" s="16">
        <f t="shared" si="15"/>
        <v>6</v>
      </c>
      <c r="AH14" s="15">
        <f t="shared" si="16"/>
        <v>1.7999999999999998</v>
      </c>
      <c r="AI14" s="13">
        <v>0</v>
      </c>
      <c r="AJ14" s="13">
        <v>0</v>
      </c>
      <c r="AK14" s="15">
        <f t="shared" si="17"/>
        <v>0</v>
      </c>
      <c r="AL14" s="15">
        <f t="shared" si="18"/>
        <v>0</v>
      </c>
      <c r="AM14" s="16">
        <f t="shared" si="19"/>
        <v>6</v>
      </c>
      <c r="AN14" s="15">
        <f t="shared" si="20"/>
        <v>1.7999999999999998</v>
      </c>
      <c r="AO14" s="13">
        <v>0</v>
      </c>
      <c r="AP14" s="13">
        <v>0</v>
      </c>
      <c r="AQ14" s="15">
        <f t="shared" si="21"/>
        <v>0</v>
      </c>
      <c r="AR14" s="15">
        <f t="shared" si="22"/>
        <v>0</v>
      </c>
      <c r="AS14" s="16">
        <f t="shared" si="23"/>
        <v>6</v>
      </c>
      <c r="AT14" s="15">
        <f t="shared" si="24"/>
        <v>1.7999999999999998</v>
      </c>
      <c r="AU14" s="13">
        <v>0</v>
      </c>
      <c r="AV14" s="13">
        <v>0</v>
      </c>
      <c r="AW14" s="15">
        <f t="shared" si="25"/>
        <v>0</v>
      </c>
      <c r="AX14" s="15">
        <f t="shared" si="26"/>
        <v>0</v>
      </c>
      <c r="AY14" s="16">
        <f t="shared" si="27"/>
        <v>6</v>
      </c>
      <c r="AZ14" s="15">
        <f t="shared" si="28"/>
        <v>1.7999999999999998</v>
      </c>
      <c r="BA14" s="13">
        <v>0</v>
      </c>
      <c r="BB14" s="13">
        <v>0</v>
      </c>
      <c r="BC14" s="15">
        <f t="shared" si="29"/>
        <v>0</v>
      </c>
      <c r="BD14" s="15">
        <f t="shared" si="30"/>
        <v>0</v>
      </c>
      <c r="BE14" s="16">
        <f t="shared" si="31"/>
        <v>6</v>
      </c>
      <c r="BF14" s="15">
        <f t="shared" si="32"/>
        <v>1.7999999999999998</v>
      </c>
      <c r="BG14" s="13">
        <v>0</v>
      </c>
      <c r="BH14" s="13">
        <v>0</v>
      </c>
      <c r="BI14" s="15">
        <f t="shared" si="33"/>
        <v>0</v>
      </c>
      <c r="BJ14" s="15">
        <f t="shared" si="34"/>
        <v>0</v>
      </c>
      <c r="BK14" s="16">
        <f t="shared" si="35"/>
        <v>6</v>
      </c>
      <c r="BL14" s="15">
        <f t="shared" si="36"/>
        <v>1.7999999999999998</v>
      </c>
      <c r="BM14" s="13">
        <v>0</v>
      </c>
      <c r="BN14" s="13">
        <v>0</v>
      </c>
      <c r="BO14" s="15">
        <f t="shared" si="37"/>
        <v>0</v>
      </c>
      <c r="BP14" s="15">
        <f t="shared" si="38"/>
        <v>0</v>
      </c>
      <c r="BQ14" s="16">
        <f t="shared" si="39"/>
        <v>6</v>
      </c>
      <c r="BR14" s="15">
        <f t="shared" si="40"/>
        <v>1.7999999999999998</v>
      </c>
      <c r="BS14" s="13">
        <v>0</v>
      </c>
      <c r="BT14" s="13">
        <v>0</v>
      </c>
      <c r="BU14" s="15">
        <f t="shared" si="41"/>
        <v>0</v>
      </c>
      <c r="BV14" s="15">
        <f t="shared" si="42"/>
        <v>0</v>
      </c>
      <c r="BW14" s="16">
        <f t="shared" si="43"/>
        <v>6</v>
      </c>
      <c r="BX14" s="15">
        <f t="shared" si="44"/>
        <v>1.7999999999999998</v>
      </c>
      <c r="BY14" s="13">
        <v>0</v>
      </c>
      <c r="BZ14" s="13">
        <v>0</v>
      </c>
      <c r="CA14" s="15">
        <f t="shared" si="45"/>
        <v>0</v>
      </c>
      <c r="CB14" s="15">
        <f t="shared" si="46"/>
        <v>0</v>
      </c>
      <c r="CC14" s="17">
        <f>BW14-BY14+BZ14</f>
        <v>6</v>
      </c>
      <c r="CD14" s="18">
        <f t="shared" si="47"/>
        <v>1.7999999999999998</v>
      </c>
      <c r="CE14" s="5"/>
    </row>
    <row r="15" spans="1:83" ht="16.5">
      <c r="A15" s="12">
        <v>12</v>
      </c>
      <c r="B15" s="54" t="s">
        <v>53</v>
      </c>
      <c r="C15" s="55" t="s">
        <v>54</v>
      </c>
      <c r="D15" s="76"/>
      <c r="E15" s="76"/>
      <c r="F15" s="76"/>
      <c r="G15" s="13">
        <v>0</v>
      </c>
      <c r="H15" s="19">
        <v>2.5</v>
      </c>
      <c r="I15" s="13">
        <v>0</v>
      </c>
      <c r="J15" s="15">
        <f t="shared" si="0"/>
        <v>0</v>
      </c>
      <c r="K15" s="13">
        <v>0</v>
      </c>
      <c r="L15" s="13">
        <v>0</v>
      </c>
      <c r="M15" s="15">
        <f t="shared" si="1"/>
        <v>0</v>
      </c>
      <c r="N15" s="15">
        <f t="shared" si="2"/>
        <v>0</v>
      </c>
      <c r="O15" s="16">
        <f t="shared" si="3"/>
        <v>0</v>
      </c>
      <c r="P15" s="15">
        <f t="shared" si="4"/>
        <v>0</v>
      </c>
      <c r="Q15" s="13">
        <v>0</v>
      </c>
      <c r="R15" s="16">
        <v>0</v>
      </c>
      <c r="S15" s="15">
        <f t="shared" si="5"/>
        <v>0</v>
      </c>
      <c r="T15" s="15">
        <f t="shared" si="6"/>
        <v>0</v>
      </c>
      <c r="U15" s="16">
        <v>0</v>
      </c>
      <c r="V15" s="15">
        <f t="shared" si="8"/>
        <v>0</v>
      </c>
      <c r="W15" s="13">
        <v>0</v>
      </c>
      <c r="X15" s="13">
        <v>0</v>
      </c>
      <c r="Y15" s="15">
        <f t="shared" si="9"/>
        <v>0</v>
      </c>
      <c r="Z15" s="15">
        <f t="shared" si="10"/>
        <v>0</v>
      </c>
      <c r="AA15" s="16">
        <f t="shared" si="11"/>
        <v>0</v>
      </c>
      <c r="AB15" s="15">
        <f t="shared" si="12"/>
        <v>0</v>
      </c>
      <c r="AC15" s="13">
        <v>0</v>
      </c>
      <c r="AD15" s="13">
        <v>0</v>
      </c>
      <c r="AE15" s="15">
        <f t="shared" si="13"/>
        <v>0</v>
      </c>
      <c r="AF15" s="15">
        <f t="shared" si="14"/>
        <v>0</v>
      </c>
      <c r="AG15" s="16">
        <f t="shared" si="15"/>
        <v>0</v>
      </c>
      <c r="AH15" s="15">
        <f t="shared" si="16"/>
        <v>0</v>
      </c>
      <c r="AI15" s="13">
        <v>0</v>
      </c>
      <c r="AJ15" s="13">
        <v>0</v>
      </c>
      <c r="AK15" s="15">
        <f t="shared" si="17"/>
        <v>0</v>
      </c>
      <c r="AL15" s="15">
        <f t="shared" si="18"/>
        <v>0</v>
      </c>
      <c r="AM15" s="16">
        <f t="shared" si="19"/>
        <v>0</v>
      </c>
      <c r="AN15" s="15">
        <f t="shared" si="20"/>
        <v>0</v>
      </c>
      <c r="AO15" s="13">
        <v>0</v>
      </c>
      <c r="AP15" s="13">
        <v>0</v>
      </c>
      <c r="AQ15" s="15">
        <f t="shared" si="21"/>
        <v>0</v>
      </c>
      <c r="AR15" s="15">
        <f t="shared" si="22"/>
        <v>0</v>
      </c>
      <c r="AS15" s="16">
        <f t="shared" si="23"/>
        <v>0</v>
      </c>
      <c r="AT15" s="15">
        <f t="shared" si="24"/>
        <v>0</v>
      </c>
      <c r="AU15" s="13">
        <v>0</v>
      </c>
      <c r="AV15" s="13">
        <v>0</v>
      </c>
      <c r="AW15" s="15">
        <f t="shared" si="25"/>
        <v>0</v>
      </c>
      <c r="AX15" s="15">
        <f t="shared" si="26"/>
        <v>0</v>
      </c>
      <c r="AY15" s="16">
        <f t="shared" si="27"/>
        <v>0</v>
      </c>
      <c r="AZ15" s="15">
        <f t="shared" si="28"/>
        <v>0</v>
      </c>
      <c r="BA15" s="13">
        <v>0</v>
      </c>
      <c r="BB15" s="13">
        <v>0</v>
      </c>
      <c r="BC15" s="15">
        <f t="shared" si="29"/>
        <v>0</v>
      </c>
      <c r="BD15" s="15">
        <f t="shared" si="30"/>
        <v>0</v>
      </c>
      <c r="BE15" s="16">
        <f t="shared" si="31"/>
        <v>0</v>
      </c>
      <c r="BF15" s="15">
        <f t="shared" si="32"/>
        <v>0</v>
      </c>
      <c r="BG15" s="13">
        <v>0</v>
      </c>
      <c r="BH15" s="13">
        <v>0</v>
      </c>
      <c r="BI15" s="15">
        <f t="shared" si="33"/>
        <v>0</v>
      </c>
      <c r="BJ15" s="15">
        <f t="shared" si="34"/>
        <v>0</v>
      </c>
      <c r="BK15" s="16">
        <f t="shared" si="35"/>
        <v>0</v>
      </c>
      <c r="BL15" s="15">
        <f t="shared" si="36"/>
        <v>0</v>
      </c>
      <c r="BM15" s="13">
        <v>0</v>
      </c>
      <c r="BN15" s="13">
        <v>0</v>
      </c>
      <c r="BO15" s="15">
        <f t="shared" si="37"/>
        <v>0</v>
      </c>
      <c r="BP15" s="15">
        <f t="shared" si="38"/>
        <v>0</v>
      </c>
      <c r="BQ15" s="16">
        <f t="shared" si="39"/>
        <v>0</v>
      </c>
      <c r="BR15" s="15">
        <f t="shared" si="40"/>
        <v>0</v>
      </c>
      <c r="BS15" s="13">
        <v>0</v>
      </c>
      <c r="BT15" s="13">
        <v>0</v>
      </c>
      <c r="BU15" s="15">
        <f t="shared" si="41"/>
        <v>0</v>
      </c>
      <c r="BV15" s="15">
        <f t="shared" si="42"/>
        <v>0</v>
      </c>
      <c r="BW15" s="16">
        <f t="shared" si="43"/>
        <v>0</v>
      </c>
      <c r="BX15" s="15">
        <f t="shared" si="44"/>
        <v>0</v>
      </c>
      <c r="BY15" s="13">
        <v>0</v>
      </c>
      <c r="BZ15" s="13">
        <v>0</v>
      </c>
      <c r="CA15" s="15">
        <f t="shared" si="45"/>
        <v>0</v>
      </c>
      <c r="CB15" s="15">
        <f t="shared" si="46"/>
        <v>0</v>
      </c>
      <c r="CC15" s="17">
        <f t="shared" si="48"/>
        <v>0</v>
      </c>
      <c r="CD15" s="18">
        <f t="shared" si="47"/>
        <v>0</v>
      </c>
      <c r="CE15" s="5"/>
    </row>
    <row r="16" spans="1:83" ht="16.5">
      <c r="A16" s="12">
        <v>13</v>
      </c>
      <c r="B16" s="54" t="s">
        <v>55</v>
      </c>
      <c r="C16" s="55" t="s">
        <v>56</v>
      </c>
      <c r="D16" s="25">
        <v>20</v>
      </c>
      <c r="E16" s="25">
        <v>30</v>
      </c>
      <c r="F16" s="25">
        <v>40</v>
      </c>
      <c r="G16" s="13">
        <v>26</v>
      </c>
      <c r="H16" s="19">
        <v>2.5</v>
      </c>
      <c r="I16" s="13">
        <v>26</v>
      </c>
      <c r="J16" s="15">
        <f t="shared" si="0"/>
        <v>65</v>
      </c>
      <c r="K16" s="13">
        <v>0</v>
      </c>
      <c r="L16" s="13">
        <v>0</v>
      </c>
      <c r="M16" s="15">
        <f t="shared" si="1"/>
        <v>0</v>
      </c>
      <c r="N16" s="15">
        <f t="shared" si="2"/>
        <v>0</v>
      </c>
      <c r="O16" s="16">
        <f t="shared" si="3"/>
        <v>26</v>
      </c>
      <c r="P16" s="15">
        <f t="shared" si="4"/>
        <v>65</v>
      </c>
      <c r="Q16" s="13">
        <v>0</v>
      </c>
      <c r="R16" s="16">
        <v>0</v>
      </c>
      <c r="S16" s="15">
        <f t="shared" si="5"/>
        <v>0</v>
      </c>
      <c r="T16" s="15">
        <f t="shared" si="6"/>
        <v>0</v>
      </c>
      <c r="U16" s="16">
        <f t="shared" si="7"/>
        <v>26</v>
      </c>
      <c r="V16" s="15">
        <f t="shared" si="8"/>
        <v>65</v>
      </c>
      <c r="W16" s="13">
        <v>0</v>
      </c>
      <c r="X16" s="13">
        <v>0</v>
      </c>
      <c r="Y16" s="15">
        <f t="shared" si="9"/>
        <v>0</v>
      </c>
      <c r="Z16" s="15">
        <f t="shared" si="10"/>
        <v>0</v>
      </c>
      <c r="AA16" s="16">
        <f t="shared" si="11"/>
        <v>26</v>
      </c>
      <c r="AB16" s="15">
        <f t="shared" si="12"/>
        <v>65</v>
      </c>
      <c r="AC16" s="13">
        <v>0</v>
      </c>
      <c r="AD16" s="13">
        <v>0</v>
      </c>
      <c r="AE16" s="15">
        <f t="shared" si="13"/>
        <v>0</v>
      </c>
      <c r="AF16" s="15">
        <f t="shared" si="14"/>
        <v>0</v>
      </c>
      <c r="AG16" s="16">
        <f t="shared" si="15"/>
        <v>26</v>
      </c>
      <c r="AH16" s="15">
        <f t="shared" si="16"/>
        <v>65</v>
      </c>
      <c r="AI16" s="13">
        <v>0</v>
      </c>
      <c r="AJ16" s="13">
        <v>0</v>
      </c>
      <c r="AK16" s="15">
        <f t="shared" si="17"/>
        <v>0</v>
      </c>
      <c r="AL16" s="15">
        <f t="shared" si="18"/>
        <v>0</v>
      </c>
      <c r="AM16" s="16">
        <f t="shared" si="19"/>
        <v>26</v>
      </c>
      <c r="AN16" s="15">
        <f t="shared" si="20"/>
        <v>65</v>
      </c>
      <c r="AO16" s="13">
        <v>0</v>
      </c>
      <c r="AP16" s="13">
        <v>0</v>
      </c>
      <c r="AQ16" s="15">
        <f t="shared" si="21"/>
        <v>0</v>
      </c>
      <c r="AR16" s="15">
        <f t="shared" si="22"/>
        <v>0</v>
      </c>
      <c r="AS16" s="16">
        <f t="shared" si="23"/>
        <v>26</v>
      </c>
      <c r="AT16" s="15">
        <f t="shared" si="24"/>
        <v>65</v>
      </c>
      <c r="AU16" s="13">
        <v>0</v>
      </c>
      <c r="AV16" s="13">
        <v>0</v>
      </c>
      <c r="AW16" s="15">
        <f t="shared" si="25"/>
        <v>0</v>
      </c>
      <c r="AX16" s="15">
        <f t="shared" si="26"/>
        <v>0</v>
      </c>
      <c r="AY16" s="16">
        <f t="shared" si="27"/>
        <v>26</v>
      </c>
      <c r="AZ16" s="15">
        <f t="shared" si="28"/>
        <v>65</v>
      </c>
      <c r="BA16" s="13">
        <v>0</v>
      </c>
      <c r="BB16" s="13">
        <v>0</v>
      </c>
      <c r="BC16" s="15">
        <f t="shared" si="29"/>
        <v>0</v>
      </c>
      <c r="BD16" s="15">
        <f t="shared" si="30"/>
        <v>0</v>
      </c>
      <c r="BE16" s="16">
        <f t="shared" si="31"/>
        <v>26</v>
      </c>
      <c r="BF16" s="15">
        <f t="shared" si="32"/>
        <v>65</v>
      </c>
      <c r="BG16" s="13">
        <v>0</v>
      </c>
      <c r="BH16" s="13">
        <v>0</v>
      </c>
      <c r="BI16" s="15">
        <f t="shared" si="33"/>
        <v>0</v>
      </c>
      <c r="BJ16" s="15">
        <f t="shared" si="34"/>
        <v>0</v>
      </c>
      <c r="BK16" s="16">
        <f t="shared" si="35"/>
        <v>26</v>
      </c>
      <c r="BL16" s="15">
        <f t="shared" si="36"/>
        <v>65</v>
      </c>
      <c r="BM16" s="13">
        <v>0</v>
      </c>
      <c r="BN16" s="13">
        <v>0</v>
      </c>
      <c r="BO16" s="15">
        <f t="shared" si="37"/>
        <v>0</v>
      </c>
      <c r="BP16" s="15">
        <f t="shared" si="38"/>
        <v>0</v>
      </c>
      <c r="BQ16" s="16">
        <f t="shared" si="39"/>
        <v>26</v>
      </c>
      <c r="BR16" s="15">
        <f t="shared" si="40"/>
        <v>65</v>
      </c>
      <c r="BS16" s="13">
        <v>0</v>
      </c>
      <c r="BT16" s="13">
        <v>0</v>
      </c>
      <c r="BU16" s="15">
        <f t="shared" si="41"/>
        <v>0</v>
      </c>
      <c r="BV16" s="15">
        <f t="shared" si="42"/>
        <v>0</v>
      </c>
      <c r="BW16" s="16">
        <f t="shared" si="43"/>
        <v>26</v>
      </c>
      <c r="BX16" s="15">
        <f t="shared" si="44"/>
        <v>65</v>
      </c>
      <c r="BY16" s="13">
        <v>0</v>
      </c>
      <c r="BZ16" s="13">
        <v>0</v>
      </c>
      <c r="CA16" s="15">
        <f t="shared" si="45"/>
        <v>0</v>
      </c>
      <c r="CB16" s="15">
        <f t="shared" si="46"/>
        <v>0</v>
      </c>
      <c r="CC16" s="17">
        <f t="shared" si="48"/>
        <v>26</v>
      </c>
      <c r="CD16" s="18">
        <f t="shared" si="47"/>
        <v>65</v>
      </c>
      <c r="CE16" s="5"/>
    </row>
    <row r="17" spans="1:83" ht="16.5">
      <c r="A17" s="12">
        <v>14</v>
      </c>
      <c r="B17" s="26" t="s">
        <v>57</v>
      </c>
      <c r="C17" s="27" t="s">
        <v>58</v>
      </c>
      <c r="D17" s="25">
        <v>20</v>
      </c>
      <c r="E17" s="25">
        <v>30</v>
      </c>
      <c r="F17" s="25">
        <v>40</v>
      </c>
      <c r="G17" s="28">
        <v>238</v>
      </c>
      <c r="H17" s="19">
        <v>3.9</v>
      </c>
      <c r="I17" s="28">
        <v>238</v>
      </c>
      <c r="J17" s="15">
        <f t="shared" si="0"/>
        <v>928.19999999999993</v>
      </c>
      <c r="K17" s="13">
        <v>1</v>
      </c>
      <c r="L17" s="13">
        <v>0</v>
      </c>
      <c r="M17" s="15">
        <f t="shared" si="1"/>
        <v>0</v>
      </c>
      <c r="N17" s="15">
        <f t="shared" si="2"/>
        <v>3.9</v>
      </c>
      <c r="O17" s="16">
        <f t="shared" si="3"/>
        <v>237</v>
      </c>
      <c r="P17" s="15">
        <f t="shared" si="4"/>
        <v>924.3</v>
      </c>
      <c r="Q17" s="13">
        <v>0</v>
      </c>
      <c r="R17" s="16">
        <v>0</v>
      </c>
      <c r="S17" s="15">
        <f t="shared" si="5"/>
        <v>0</v>
      </c>
      <c r="T17" s="15">
        <f t="shared" si="6"/>
        <v>0</v>
      </c>
      <c r="U17" s="16">
        <f t="shared" si="7"/>
        <v>237</v>
      </c>
      <c r="V17" s="15">
        <f t="shared" si="8"/>
        <v>924.3</v>
      </c>
      <c r="W17" s="13">
        <v>0</v>
      </c>
      <c r="X17" s="13">
        <v>0</v>
      </c>
      <c r="Y17" s="15">
        <f t="shared" si="9"/>
        <v>0</v>
      </c>
      <c r="Z17" s="15">
        <f t="shared" si="10"/>
        <v>0</v>
      </c>
      <c r="AA17" s="16">
        <f t="shared" si="11"/>
        <v>237</v>
      </c>
      <c r="AB17" s="15">
        <f t="shared" si="12"/>
        <v>924.3</v>
      </c>
      <c r="AC17" s="13">
        <v>1</v>
      </c>
      <c r="AD17" s="13">
        <v>0</v>
      </c>
      <c r="AE17" s="15">
        <f t="shared" si="13"/>
        <v>0</v>
      </c>
      <c r="AF17" s="15">
        <f t="shared" si="14"/>
        <v>3.9</v>
      </c>
      <c r="AG17" s="16">
        <f t="shared" si="15"/>
        <v>236</v>
      </c>
      <c r="AH17" s="15">
        <f t="shared" si="16"/>
        <v>920.4</v>
      </c>
      <c r="AI17" s="13">
        <v>0</v>
      </c>
      <c r="AJ17" s="13">
        <v>0</v>
      </c>
      <c r="AK17" s="15">
        <f t="shared" si="17"/>
        <v>0</v>
      </c>
      <c r="AL17" s="15">
        <f t="shared" si="18"/>
        <v>0</v>
      </c>
      <c r="AM17" s="16">
        <f t="shared" si="19"/>
        <v>236</v>
      </c>
      <c r="AN17" s="15">
        <f t="shared" si="20"/>
        <v>920.4</v>
      </c>
      <c r="AO17" s="13">
        <v>0</v>
      </c>
      <c r="AP17" s="13">
        <v>0</v>
      </c>
      <c r="AQ17" s="15">
        <f t="shared" si="21"/>
        <v>0</v>
      </c>
      <c r="AR17" s="15">
        <f t="shared" si="22"/>
        <v>0</v>
      </c>
      <c r="AS17" s="16">
        <f t="shared" si="23"/>
        <v>236</v>
      </c>
      <c r="AT17" s="15">
        <f t="shared" si="24"/>
        <v>920.4</v>
      </c>
      <c r="AU17" s="13">
        <v>0</v>
      </c>
      <c r="AV17" s="13">
        <v>0</v>
      </c>
      <c r="AW17" s="15">
        <f t="shared" si="25"/>
        <v>0</v>
      </c>
      <c r="AX17" s="15">
        <f t="shared" si="26"/>
        <v>0</v>
      </c>
      <c r="AY17" s="16">
        <f t="shared" si="27"/>
        <v>236</v>
      </c>
      <c r="AZ17" s="15">
        <f t="shared" si="28"/>
        <v>920.4</v>
      </c>
      <c r="BA17" s="13">
        <v>48</v>
      </c>
      <c r="BB17" s="13">
        <v>0</v>
      </c>
      <c r="BC17" s="15">
        <f t="shared" si="29"/>
        <v>0</v>
      </c>
      <c r="BD17" s="15">
        <f t="shared" si="30"/>
        <v>187.2</v>
      </c>
      <c r="BE17" s="16">
        <f t="shared" si="31"/>
        <v>188</v>
      </c>
      <c r="BF17" s="15">
        <f t="shared" si="32"/>
        <v>733.19999999999993</v>
      </c>
      <c r="BG17" s="13">
        <v>0</v>
      </c>
      <c r="BH17" s="13">
        <v>0</v>
      </c>
      <c r="BI17" s="15">
        <f t="shared" si="33"/>
        <v>0</v>
      </c>
      <c r="BJ17" s="15">
        <f t="shared" si="34"/>
        <v>0</v>
      </c>
      <c r="BK17" s="16">
        <f t="shared" si="35"/>
        <v>188</v>
      </c>
      <c r="BL17" s="15">
        <f t="shared" si="36"/>
        <v>733.19999999999993</v>
      </c>
      <c r="BM17" s="13">
        <v>0</v>
      </c>
      <c r="BN17" s="13">
        <v>0</v>
      </c>
      <c r="BO17" s="15">
        <f t="shared" si="37"/>
        <v>0</v>
      </c>
      <c r="BP17" s="15">
        <f t="shared" si="38"/>
        <v>0</v>
      </c>
      <c r="BQ17" s="16">
        <f t="shared" si="39"/>
        <v>188</v>
      </c>
      <c r="BR17" s="15">
        <f t="shared" si="40"/>
        <v>733.19999999999993</v>
      </c>
      <c r="BS17" s="13">
        <v>0</v>
      </c>
      <c r="BT17" s="13">
        <v>0</v>
      </c>
      <c r="BU17" s="15">
        <f t="shared" si="41"/>
        <v>0</v>
      </c>
      <c r="BV17" s="15">
        <f t="shared" si="42"/>
        <v>0</v>
      </c>
      <c r="BW17" s="16">
        <f t="shared" si="43"/>
        <v>188</v>
      </c>
      <c r="BX17" s="15">
        <f t="shared" si="44"/>
        <v>733.19999999999993</v>
      </c>
      <c r="BY17" s="13">
        <v>0</v>
      </c>
      <c r="BZ17" s="13">
        <v>0</v>
      </c>
      <c r="CA17" s="15">
        <f t="shared" si="45"/>
        <v>0</v>
      </c>
      <c r="CB17" s="15">
        <f t="shared" si="46"/>
        <v>0</v>
      </c>
      <c r="CC17" s="17">
        <f t="shared" si="48"/>
        <v>188</v>
      </c>
      <c r="CD17" s="18">
        <f t="shared" si="47"/>
        <v>733.19999999999993</v>
      </c>
      <c r="CE17" s="5"/>
    </row>
    <row r="18" spans="1:83" ht="16.5">
      <c r="A18" s="12">
        <v>15</v>
      </c>
      <c r="B18" s="26" t="s">
        <v>59</v>
      </c>
      <c r="C18" s="29" t="s">
        <v>60</v>
      </c>
      <c r="D18" s="25">
        <v>5</v>
      </c>
      <c r="E18" s="25">
        <v>10</v>
      </c>
      <c r="F18" s="25">
        <v>15</v>
      </c>
      <c r="G18" s="56">
        <v>188</v>
      </c>
      <c r="H18" s="19">
        <v>0.9</v>
      </c>
      <c r="I18" s="56">
        <v>188</v>
      </c>
      <c r="J18" s="15">
        <f t="shared" si="0"/>
        <v>169.20000000000002</v>
      </c>
      <c r="K18" s="13">
        <v>7</v>
      </c>
      <c r="L18" s="13">
        <v>0</v>
      </c>
      <c r="M18" s="15">
        <f t="shared" si="1"/>
        <v>0</v>
      </c>
      <c r="N18" s="15">
        <f t="shared" si="2"/>
        <v>6.3</v>
      </c>
      <c r="O18" s="16">
        <f t="shared" si="3"/>
        <v>181</v>
      </c>
      <c r="P18" s="15">
        <f t="shared" si="4"/>
        <v>162.9</v>
      </c>
      <c r="Q18" s="13">
        <v>0</v>
      </c>
      <c r="R18" s="16">
        <v>0</v>
      </c>
      <c r="S18" s="15">
        <f t="shared" si="5"/>
        <v>0</v>
      </c>
      <c r="T18" s="15">
        <f t="shared" si="6"/>
        <v>0</v>
      </c>
      <c r="U18" s="16">
        <f t="shared" si="7"/>
        <v>181</v>
      </c>
      <c r="V18" s="15">
        <f t="shared" si="8"/>
        <v>162.9</v>
      </c>
      <c r="W18" s="13">
        <v>0</v>
      </c>
      <c r="X18" s="13">
        <v>0</v>
      </c>
      <c r="Y18" s="15">
        <f t="shared" si="9"/>
        <v>0</v>
      </c>
      <c r="Z18" s="15">
        <f t="shared" si="10"/>
        <v>0</v>
      </c>
      <c r="AA18" s="16">
        <f t="shared" si="11"/>
        <v>181</v>
      </c>
      <c r="AB18" s="15">
        <f t="shared" si="12"/>
        <v>162.9</v>
      </c>
      <c r="AC18" s="13">
        <v>0</v>
      </c>
      <c r="AD18" s="13">
        <v>0</v>
      </c>
      <c r="AE18" s="15">
        <f t="shared" si="13"/>
        <v>0</v>
      </c>
      <c r="AF18" s="15">
        <f t="shared" si="14"/>
        <v>0</v>
      </c>
      <c r="AG18" s="16">
        <f t="shared" si="15"/>
        <v>181</v>
      </c>
      <c r="AH18" s="15">
        <f t="shared" si="16"/>
        <v>162.9</v>
      </c>
      <c r="AI18" s="13">
        <v>0</v>
      </c>
      <c r="AJ18" s="13">
        <v>0</v>
      </c>
      <c r="AK18" s="15">
        <f t="shared" si="17"/>
        <v>0</v>
      </c>
      <c r="AL18" s="15">
        <f t="shared" si="18"/>
        <v>0</v>
      </c>
      <c r="AM18" s="16">
        <f t="shared" si="19"/>
        <v>181</v>
      </c>
      <c r="AN18" s="15">
        <f t="shared" si="20"/>
        <v>162.9</v>
      </c>
      <c r="AO18" s="13">
        <v>0</v>
      </c>
      <c r="AP18" s="13">
        <v>0</v>
      </c>
      <c r="AQ18" s="15">
        <f t="shared" si="21"/>
        <v>0</v>
      </c>
      <c r="AR18" s="15">
        <f t="shared" si="22"/>
        <v>0</v>
      </c>
      <c r="AS18" s="16">
        <f t="shared" si="23"/>
        <v>181</v>
      </c>
      <c r="AT18" s="15">
        <f t="shared" si="24"/>
        <v>162.9</v>
      </c>
      <c r="AU18" s="13">
        <v>0</v>
      </c>
      <c r="AV18" s="13">
        <v>0</v>
      </c>
      <c r="AW18" s="15">
        <f t="shared" si="25"/>
        <v>0</v>
      </c>
      <c r="AX18" s="15">
        <f t="shared" si="26"/>
        <v>0</v>
      </c>
      <c r="AY18" s="16">
        <f t="shared" si="27"/>
        <v>181</v>
      </c>
      <c r="AZ18" s="15">
        <f t="shared" si="28"/>
        <v>162.9</v>
      </c>
      <c r="BA18" s="13">
        <v>48</v>
      </c>
      <c r="BB18" s="13">
        <v>0</v>
      </c>
      <c r="BC18" s="15">
        <f t="shared" si="29"/>
        <v>0</v>
      </c>
      <c r="BD18" s="15">
        <f t="shared" si="30"/>
        <v>43.2</v>
      </c>
      <c r="BE18" s="16">
        <f t="shared" si="31"/>
        <v>133</v>
      </c>
      <c r="BF18" s="15">
        <f t="shared" si="32"/>
        <v>119.7</v>
      </c>
      <c r="BG18" s="13">
        <v>0</v>
      </c>
      <c r="BH18" s="13">
        <v>0</v>
      </c>
      <c r="BI18" s="15">
        <f t="shared" si="33"/>
        <v>0</v>
      </c>
      <c r="BJ18" s="15">
        <f t="shared" si="34"/>
        <v>0</v>
      </c>
      <c r="BK18" s="16">
        <f t="shared" si="35"/>
        <v>133</v>
      </c>
      <c r="BL18" s="15">
        <f t="shared" si="36"/>
        <v>119.7</v>
      </c>
      <c r="BM18" s="13">
        <v>0</v>
      </c>
      <c r="BN18" s="13">
        <v>0</v>
      </c>
      <c r="BO18" s="15">
        <f t="shared" si="37"/>
        <v>0</v>
      </c>
      <c r="BP18" s="15">
        <f t="shared" si="38"/>
        <v>0</v>
      </c>
      <c r="BQ18" s="16">
        <f t="shared" si="39"/>
        <v>133</v>
      </c>
      <c r="BR18" s="15">
        <f t="shared" si="40"/>
        <v>119.7</v>
      </c>
      <c r="BS18" s="13">
        <v>0</v>
      </c>
      <c r="BT18" s="13">
        <v>0</v>
      </c>
      <c r="BU18" s="15">
        <f t="shared" si="41"/>
        <v>0</v>
      </c>
      <c r="BV18" s="15">
        <f t="shared" si="42"/>
        <v>0</v>
      </c>
      <c r="BW18" s="16">
        <f t="shared" si="43"/>
        <v>133</v>
      </c>
      <c r="BX18" s="15">
        <f t="shared" si="44"/>
        <v>119.7</v>
      </c>
      <c r="BY18" s="13">
        <v>0</v>
      </c>
      <c r="BZ18" s="13">
        <v>0</v>
      </c>
      <c r="CA18" s="15">
        <f t="shared" si="45"/>
        <v>0</v>
      </c>
      <c r="CB18" s="15">
        <f t="shared" si="46"/>
        <v>0</v>
      </c>
      <c r="CC18" s="17">
        <f t="shared" si="48"/>
        <v>133</v>
      </c>
      <c r="CD18" s="18">
        <f t="shared" si="47"/>
        <v>119.7</v>
      </c>
      <c r="CE18" s="5"/>
    </row>
    <row r="19" spans="1:83" ht="16.5">
      <c r="A19" s="12">
        <v>16</v>
      </c>
      <c r="B19" s="54" t="s">
        <v>61</v>
      </c>
      <c r="C19" s="6" t="s">
        <v>62</v>
      </c>
      <c r="D19" s="25"/>
      <c r="E19" s="25"/>
      <c r="F19" s="25"/>
      <c r="G19" s="56">
        <v>1200</v>
      </c>
      <c r="H19" s="19">
        <v>1.1000000000000001</v>
      </c>
      <c r="I19" s="56">
        <v>1200</v>
      </c>
      <c r="J19" s="15">
        <f t="shared" si="0"/>
        <v>1320</v>
      </c>
      <c r="K19" s="13">
        <v>7</v>
      </c>
      <c r="L19" s="13">
        <v>0</v>
      </c>
      <c r="M19" s="15">
        <f t="shared" si="1"/>
        <v>0</v>
      </c>
      <c r="N19" s="15">
        <f t="shared" si="2"/>
        <v>7.7000000000000011</v>
      </c>
      <c r="O19" s="16">
        <f t="shared" si="3"/>
        <v>1193</v>
      </c>
      <c r="P19" s="15">
        <f t="shared" si="4"/>
        <v>1312.3000000000002</v>
      </c>
      <c r="Q19" s="13">
        <v>0</v>
      </c>
      <c r="R19" s="16">
        <v>0</v>
      </c>
      <c r="S19" s="15">
        <f t="shared" si="5"/>
        <v>0</v>
      </c>
      <c r="T19" s="15">
        <f t="shared" si="6"/>
        <v>0</v>
      </c>
      <c r="U19" s="16">
        <f t="shared" si="7"/>
        <v>1193</v>
      </c>
      <c r="V19" s="15">
        <f t="shared" si="8"/>
        <v>1312.3000000000002</v>
      </c>
      <c r="W19" s="13">
        <v>0</v>
      </c>
      <c r="X19" s="13">
        <v>0</v>
      </c>
      <c r="Y19" s="15">
        <f t="shared" si="9"/>
        <v>0</v>
      </c>
      <c r="Z19" s="15">
        <f t="shared" si="10"/>
        <v>0</v>
      </c>
      <c r="AA19" s="16">
        <f t="shared" si="11"/>
        <v>1193</v>
      </c>
      <c r="AB19" s="15">
        <f t="shared" si="12"/>
        <v>1312.3000000000002</v>
      </c>
      <c r="AC19" s="13">
        <v>1</v>
      </c>
      <c r="AD19" s="13">
        <v>0</v>
      </c>
      <c r="AE19" s="15">
        <f t="shared" si="13"/>
        <v>0</v>
      </c>
      <c r="AF19" s="15">
        <f t="shared" si="14"/>
        <v>1.1000000000000001</v>
      </c>
      <c r="AG19" s="16">
        <f t="shared" si="15"/>
        <v>1192</v>
      </c>
      <c r="AH19" s="15">
        <f t="shared" si="16"/>
        <v>1311.2</v>
      </c>
      <c r="AI19" s="13">
        <v>0</v>
      </c>
      <c r="AJ19" s="13">
        <v>0</v>
      </c>
      <c r="AK19" s="15">
        <f t="shared" si="17"/>
        <v>0</v>
      </c>
      <c r="AL19" s="15">
        <f t="shared" si="18"/>
        <v>0</v>
      </c>
      <c r="AM19" s="16">
        <f t="shared" si="19"/>
        <v>1192</v>
      </c>
      <c r="AN19" s="15">
        <f t="shared" si="20"/>
        <v>1311.2</v>
      </c>
      <c r="AO19" s="13">
        <v>0</v>
      </c>
      <c r="AP19" s="13">
        <v>0</v>
      </c>
      <c r="AQ19" s="15">
        <f t="shared" si="21"/>
        <v>0</v>
      </c>
      <c r="AR19" s="15">
        <f t="shared" si="22"/>
        <v>0</v>
      </c>
      <c r="AS19" s="16">
        <f t="shared" si="23"/>
        <v>1192</v>
      </c>
      <c r="AT19" s="15">
        <f t="shared" si="24"/>
        <v>1311.2</v>
      </c>
      <c r="AU19" s="13">
        <v>0</v>
      </c>
      <c r="AV19" s="13">
        <v>0</v>
      </c>
      <c r="AW19" s="15">
        <f t="shared" si="25"/>
        <v>0</v>
      </c>
      <c r="AX19" s="15">
        <f t="shared" si="26"/>
        <v>0</v>
      </c>
      <c r="AY19" s="16">
        <f t="shared" si="27"/>
        <v>1192</v>
      </c>
      <c r="AZ19" s="15">
        <f t="shared" si="28"/>
        <v>1311.2</v>
      </c>
      <c r="BA19" s="13">
        <v>48</v>
      </c>
      <c r="BB19" s="13">
        <v>0</v>
      </c>
      <c r="BC19" s="15">
        <f t="shared" si="29"/>
        <v>0</v>
      </c>
      <c r="BD19" s="15">
        <f t="shared" si="30"/>
        <v>52.800000000000004</v>
      </c>
      <c r="BE19" s="16">
        <f t="shared" si="31"/>
        <v>1144</v>
      </c>
      <c r="BF19" s="15">
        <f t="shared" si="32"/>
        <v>1258.4000000000001</v>
      </c>
      <c r="BG19" s="13">
        <v>0</v>
      </c>
      <c r="BH19" s="13">
        <v>0</v>
      </c>
      <c r="BI19" s="15">
        <f t="shared" si="33"/>
        <v>0</v>
      </c>
      <c r="BJ19" s="15">
        <f t="shared" si="34"/>
        <v>0</v>
      </c>
      <c r="BK19" s="16">
        <f t="shared" si="35"/>
        <v>1144</v>
      </c>
      <c r="BL19" s="15">
        <f t="shared" si="36"/>
        <v>1258.4000000000001</v>
      </c>
      <c r="BM19" s="13">
        <v>0</v>
      </c>
      <c r="BN19" s="13">
        <v>0</v>
      </c>
      <c r="BO19" s="15">
        <f t="shared" si="37"/>
        <v>0</v>
      </c>
      <c r="BP19" s="15">
        <f t="shared" si="38"/>
        <v>0</v>
      </c>
      <c r="BQ19" s="16">
        <f t="shared" si="39"/>
        <v>1144</v>
      </c>
      <c r="BR19" s="15">
        <f t="shared" si="40"/>
        <v>1258.4000000000001</v>
      </c>
      <c r="BS19" s="13">
        <v>0</v>
      </c>
      <c r="BT19" s="13">
        <v>0</v>
      </c>
      <c r="BU19" s="15">
        <f t="shared" si="41"/>
        <v>0</v>
      </c>
      <c r="BV19" s="15">
        <f t="shared" si="42"/>
        <v>0</v>
      </c>
      <c r="BW19" s="16">
        <f t="shared" si="43"/>
        <v>1144</v>
      </c>
      <c r="BX19" s="15">
        <f t="shared" si="44"/>
        <v>1258.4000000000001</v>
      </c>
      <c r="BY19" s="13">
        <v>0</v>
      </c>
      <c r="BZ19" s="13">
        <v>0</v>
      </c>
      <c r="CA19" s="15">
        <f t="shared" si="45"/>
        <v>0</v>
      </c>
      <c r="CB19" s="15">
        <f t="shared" si="46"/>
        <v>0</v>
      </c>
      <c r="CC19" s="17">
        <f t="shared" si="48"/>
        <v>1144</v>
      </c>
      <c r="CD19" s="18">
        <f t="shared" si="47"/>
        <v>1258.4000000000001</v>
      </c>
      <c r="CE19" s="5"/>
    </row>
    <row r="20" spans="1:83" ht="16.5">
      <c r="A20" s="12">
        <v>17</v>
      </c>
      <c r="B20" s="54" t="s">
        <v>63</v>
      </c>
      <c r="C20" s="29" t="s">
        <v>64</v>
      </c>
      <c r="D20" s="25">
        <v>5</v>
      </c>
      <c r="E20" s="25">
        <v>10</v>
      </c>
      <c r="F20" s="25">
        <v>15</v>
      </c>
      <c r="G20" s="56">
        <v>188</v>
      </c>
      <c r="H20" s="19">
        <v>3</v>
      </c>
      <c r="I20" s="56">
        <v>188</v>
      </c>
      <c r="J20" s="15">
        <f t="shared" si="0"/>
        <v>564</v>
      </c>
      <c r="K20" s="13">
        <v>7</v>
      </c>
      <c r="L20" s="13">
        <v>0</v>
      </c>
      <c r="M20" s="15">
        <f t="shared" si="1"/>
        <v>0</v>
      </c>
      <c r="N20" s="15">
        <f t="shared" si="2"/>
        <v>21</v>
      </c>
      <c r="O20" s="16">
        <f t="shared" si="3"/>
        <v>181</v>
      </c>
      <c r="P20" s="15">
        <f t="shared" si="4"/>
        <v>543</v>
      </c>
      <c r="Q20" s="13">
        <v>0</v>
      </c>
      <c r="R20" s="16">
        <v>0</v>
      </c>
      <c r="S20" s="15">
        <f t="shared" si="5"/>
        <v>0</v>
      </c>
      <c r="T20" s="15">
        <f t="shared" si="6"/>
        <v>0</v>
      </c>
      <c r="U20" s="16">
        <f t="shared" si="7"/>
        <v>181</v>
      </c>
      <c r="V20" s="15">
        <f t="shared" si="8"/>
        <v>543</v>
      </c>
      <c r="W20" s="13">
        <v>0</v>
      </c>
      <c r="X20" s="13">
        <v>0</v>
      </c>
      <c r="Y20" s="15">
        <f t="shared" si="9"/>
        <v>0</v>
      </c>
      <c r="Z20" s="15">
        <f t="shared" si="10"/>
        <v>0</v>
      </c>
      <c r="AA20" s="16">
        <f t="shared" si="11"/>
        <v>181</v>
      </c>
      <c r="AB20" s="15">
        <f t="shared" si="12"/>
        <v>543</v>
      </c>
      <c r="AC20" s="13">
        <v>0</v>
      </c>
      <c r="AD20" s="13">
        <v>0</v>
      </c>
      <c r="AE20" s="15">
        <f t="shared" si="13"/>
        <v>0</v>
      </c>
      <c r="AF20" s="15">
        <f t="shared" si="14"/>
        <v>0</v>
      </c>
      <c r="AG20" s="16">
        <f t="shared" si="15"/>
        <v>181</v>
      </c>
      <c r="AH20" s="15">
        <f t="shared" si="16"/>
        <v>543</v>
      </c>
      <c r="AI20" s="13">
        <v>0</v>
      </c>
      <c r="AJ20" s="13">
        <v>0</v>
      </c>
      <c r="AK20" s="15">
        <f t="shared" si="17"/>
        <v>0</v>
      </c>
      <c r="AL20" s="15">
        <f t="shared" si="18"/>
        <v>0</v>
      </c>
      <c r="AM20" s="16">
        <f t="shared" si="19"/>
        <v>181</v>
      </c>
      <c r="AN20" s="15">
        <f t="shared" si="20"/>
        <v>543</v>
      </c>
      <c r="AO20" s="13">
        <v>0</v>
      </c>
      <c r="AP20" s="13">
        <v>0</v>
      </c>
      <c r="AQ20" s="15">
        <f t="shared" si="21"/>
        <v>0</v>
      </c>
      <c r="AR20" s="15">
        <f t="shared" si="22"/>
        <v>0</v>
      </c>
      <c r="AS20" s="16">
        <f t="shared" si="23"/>
        <v>181</v>
      </c>
      <c r="AT20" s="15">
        <f t="shared" si="24"/>
        <v>543</v>
      </c>
      <c r="AU20" s="13">
        <v>0</v>
      </c>
      <c r="AV20" s="13">
        <v>0</v>
      </c>
      <c r="AW20" s="15">
        <f t="shared" si="25"/>
        <v>0</v>
      </c>
      <c r="AX20" s="15">
        <f t="shared" si="26"/>
        <v>0</v>
      </c>
      <c r="AY20" s="16">
        <f t="shared" si="27"/>
        <v>181</v>
      </c>
      <c r="AZ20" s="15">
        <f t="shared" si="28"/>
        <v>543</v>
      </c>
      <c r="BA20" s="13">
        <v>48</v>
      </c>
      <c r="BB20" s="13">
        <v>0</v>
      </c>
      <c r="BC20" s="15">
        <f t="shared" si="29"/>
        <v>0</v>
      </c>
      <c r="BD20" s="15">
        <f t="shared" si="30"/>
        <v>144</v>
      </c>
      <c r="BE20" s="16">
        <f t="shared" si="31"/>
        <v>133</v>
      </c>
      <c r="BF20" s="15">
        <f t="shared" si="32"/>
        <v>399</v>
      </c>
      <c r="BG20" s="13">
        <v>0</v>
      </c>
      <c r="BH20" s="13">
        <v>0</v>
      </c>
      <c r="BI20" s="15">
        <f t="shared" si="33"/>
        <v>0</v>
      </c>
      <c r="BJ20" s="15">
        <f t="shared" si="34"/>
        <v>0</v>
      </c>
      <c r="BK20" s="16">
        <f t="shared" si="35"/>
        <v>133</v>
      </c>
      <c r="BL20" s="15">
        <f t="shared" si="36"/>
        <v>399</v>
      </c>
      <c r="BM20" s="13">
        <v>0</v>
      </c>
      <c r="BN20" s="13">
        <v>0</v>
      </c>
      <c r="BO20" s="15">
        <f t="shared" si="37"/>
        <v>0</v>
      </c>
      <c r="BP20" s="15">
        <f t="shared" si="38"/>
        <v>0</v>
      </c>
      <c r="BQ20" s="16">
        <f t="shared" si="39"/>
        <v>133</v>
      </c>
      <c r="BR20" s="15">
        <f t="shared" si="40"/>
        <v>399</v>
      </c>
      <c r="BS20" s="13">
        <v>0</v>
      </c>
      <c r="BT20" s="13">
        <v>0</v>
      </c>
      <c r="BU20" s="15">
        <f t="shared" si="41"/>
        <v>0</v>
      </c>
      <c r="BV20" s="15">
        <f t="shared" si="42"/>
        <v>0</v>
      </c>
      <c r="BW20" s="16">
        <f t="shared" si="43"/>
        <v>133</v>
      </c>
      <c r="BX20" s="15">
        <f t="shared" si="44"/>
        <v>399</v>
      </c>
      <c r="BY20" s="13">
        <v>0</v>
      </c>
      <c r="BZ20" s="13">
        <v>0</v>
      </c>
      <c r="CA20" s="15">
        <f t="shared" si="45"/>
        <v>0</v>
      </c>
      <c r="CB20" s="15">
        <f t="shared" si="46"/>
        <v>0</v>
      </c>
      <c r="CC20" s="17">
        <f t="shared" si="48"/>
        <v>133</v>
      </c>
      <c r="CD20" s="18">
        <f t="shared" si="47"/>
        <v>399</v>
      </c>
      <c r="CE20" s="5"/>
    </row>
    <row r="21" spans="1:83" ht="16.5">
      <c r="A21" s="12">
        <v>18</v>
      </c>
      <c r="B21" s="26" t="s">
        <v>65</v>
      </c>
      <c r="C21" s="29" t="s">
        <v>66</v>
      </c>
      <c r="D21" s="25"/>
      <c r="E21" s="25"/>
      <c r="F21" s="25"/>
      <c r="G21" s="56">
        <v>200</v>
      </c>
      <c r="H21" s="19">
        <v>3.2</v>
      </c>
      <c r="I21" s="56">
        <v>200</v>
      </c>
      <c r="J21" s="15">
        <f t="shared" si="0"/>
        <v>640</v>
      </c>
      <c r="K21" s="13">
        <v>0</v>
      </c>
      <c r="L21" s="13">
        <v>0</v>
      </c>
      <c r="M21" s="15">
        <f t="shared" si="1"/>
        <v>0</v>
      </c>
      <c r="N21" s="15">
        <f t="shared" si="2"/>
        <v>0</v>
      </c>
      <c r="O21" s="16">
        <f t="shared" si="3"/>
        <v>200</v>
      </c>
      <c r="P21" s="15">
        <f t="shared" si="4"/>
        <v>640</v>
      </c>
      <c r="Q21" s="13">
        <v>3</v>
      </c>
      <c r="R21" s="16">
        <v>0</v>
      </c>
      <c r="S21" s="15">
        <f t="shared" si="5"/>
        <v>0</v>
      </c>
      <c r="T21" s="15">
        <f t="shared" si="6"/>
        <v>9.6000000000000014</v>
      </c>
      <c r="U21" s="16">
        <f t="shared" si="7"/>
        <v>197</v>
      </c>
      <c r="V21" s="15">
        <f t="shared" si="8"/>
        <v>630.40000000000009</v>
      </c>
      <c r="W21" s="13">
        <v>0</v>
      </c>
      <c r="X21" s="13">
        <v>0</v>
      </c>
      <c r="Y21" s="15">
        <f t="shared" si="9"/>
        <v>0</v>
      </c>
      <c r="Z21" s="15">
        <f t="shared" si="10"/>
        <v>0</v>
      </c>
      <c r="AA21" s="16">
        <f t="shared" si="11"/>
        <v>197</v>
      </c>
      <c r="AB21" s="15">
        <f t="shared" si="12"/>
        <v>630.40000000000009</v>
      </c>
      <c r="AC21" s="13">
        <v>1</v>
      </c>
      <c r="AD21" s="13">
        <v>0</v>
      </c>
      <c r="AE21" s="15">
        <f t="shared" si="13"/>
        <v>0</v>
      </c>
      <c r="AF21" s="15">
        <f t="shared" si="14"/>
        <v>3.2</v>
      </c>
      <c r="AG21" s="16">
        <f t="shared" si="15"/>
        <v>196</v>
      </c>
      <c r="AH21" s="15">
        <f t="shared" si="16"/>
        <v>627.20000000000005</v>
      </c>
      <c r="AI21" s="13">
        <v>5</v>
      </c>
      <c r="AJ21" s="13">
        <v>0</v>
      </c>
      <c r="AK21" s="15">
        <f t="shared" si="17"/>
        <v>0</v>
      </c>
      <c r="AL21" s="15">
        <f t="shared" si="18"/>
        <v>16</v>
      </c>
      <c r="AM21" s="16">
        <f t="shared" si="19"/>
        <v>191</v>
      </c>
      <c r="AN21" s="15">
        <f t="shared" si="20"/>
        <v>611.20000000000005</v>
      </c>
      <c r="AO21" s="13">
        <v>0</v>
      </c>
      <c r="AP21" s="13">
        <v>0</v>
      </c>
      <c r="AQ21" s="15">
        <f t="shared" si="21"/>
        <v>0</v>
      </c>
      <c r="AR21" s="15">
        <f t="shared" si="22"/>
        <v>0</v>
      </c>
      <c r="AS21" s="16">
        <f t="shared" si="23"/>
        <v>191</v>
      </c>
      <c r="AT21" s="15">
        <f t="shared" si="24"/>
        <v>611.20000000000005</v>
      </c>
      <c r="AU21" s="13">
        <v>0</v>
      </c>
      <c r="AV21" s="13">
        <v>0</v>
      </c>
      <c r="AW21" s="15">
        <f t="shared" si="25"/>
        <v>0</v>
      </c>
      <c r="AX21" s="15">
        <f t="shared" si="26"/>
        <v>0</v>
      </c>
      <c r="AY21" s="16">
        <f t="shared" si="27"/>
        <v>191</v>
      </c>
      <c r="AZ21" s="15">
        <f t="shared" si="28"/>
        <v>611.20000000000005</v>
      </c>
      <c r="BA21" s="13">
        <v>0</v>
      </c>
      <c r="BB21" s="13">
        <v>0</v>
      </c>
      <c r="BC21" s="15">
        <f t="shared" si="29"/>
        <v>0</v>
      </c>
      <c r="BD21" s="15">
        <f t="shared" si="30"/>
        <v>0</v>
      </c>
      <c r="BE21" s="16">
        <f t="shared" si="31"/>
        <v>191</v>
      </c>
      <c r="BF21" s="15">
        <f t="shared" si="32"/>
        <v>611.20000000000005</v>
      </c>
      <c r="BG21" s="13">
        <v>0</v>
      </c>
      <c r="BH21" s="13">
        <v>0</v>
      </c>
      <c r="BI21" s="15">
        <f t="shared" si="33"/>
        <v>0</v>
      </c>
      <c r="BJ21" s="15">
        <f t="shared" si="34"/>
        <v>0</v>
      </c>
      <c r="BK21" s="16">
        <f t="shared" si="35"/>
        <v>191</v>
      </c>
      <c r="BL21" s="15">
        <f t="shared" si="36"/>
        <v>611.20000000000005</v>
      </c>
      <c r="BM21" s="13">
        <v>0</v>
      </c>
      <c r="BN21" s="13">
        <v>0</v>
      </c>
      <c r="BO21" s="15">
        <f t="shared" si="37"/>
        <v>0</v>
      </c>
      <c r="BP21" s="15">
        <f t="shared" si="38"/>
        <v>0</v>
      </c>
      <c r="BQ21" s="16">
        <f t="shared" si="39"/>
        <v>191</v>
      </c>
      <c r="BR21" s="15">
        <f t="shared" si="40"/>
        <v>611.20000000000005</v>
      </c>
      <c r="BS21" s="13">
        <v>0</v>
      </c>
      <c r="BT21" s="13">
        <v>0</v>
      </c>
      <c r="BU21" s="15">
        <f t="shared" si="41"/>
        <v>0</v>
      </c>
      <c r="BV21" s="15">
        <f t="shared" si="42"/>
        <v>0</v>
      </c>
      <c r="BW21" s="16">
        <f t="shared" si="43"/>
        <v>191</v>
      </c>
      <c r="BX21" s="15">
        <f t="shared" si="44"/>
        <v>611.20000000000005</v>
      </c>
      <c r="BY21" s="13">
        <v>0</v>
      </c>
      <c r="BZ21" s="13">
        <v>0</v>
      </c>
      <c r="CA21" s="15">
        <f t="shared" si="45"/>
        <v>0</v>
      </c>
      <c r="CB21" s="15">
        <f t="shared" si="46"/>
        <v>0</v>
      </c>
      <c r="CC21" s="17">
        <f t="shared" si="48"/>
        <v>191</v>
      </c>
      <c r="CD21" s="18">
        <f t="shared" si="47"/>
        <v>611.20000000000005</v>
      </c>
      <c r="CE21" s="5"/>
    </row>
    <row r="22" spans="1:83" ht="16.5">
      <c r="A22" s="12">
        <v>19</v>
      </c>
      <c r="B22" s="26" t="s">
        <v>67</v>
      </c>
      <c r="C22" s="29" t="s">
        <v>68</v>
      </c>
      <c r="D22" s="25">
        <v>5</v>
      </c>
      <c r="E22" s="25">
        <v>10</v>
      </c>
      <c r="F22" s="25">
        <v>15</v>
      </c>
      <c r="G22" s="56">
        <v>199</v>
      </c>
      <c r="H22" s="19">
        <v>3</v>
      </c>
      <c r="I22" s="56">
        <v>199</v>
      </c>
      <c r="J22" s="15">
        <f t="shared" si="0"/>
        <v>597</v>
      </c>
      <c r="K22" s="13">
        <v>83</v>
      </c>
      <c r="L22" s="13">
        <v>0</v>
      </c>
      <c r="M22" s="15">
        <f t="shared" si="1"/>
        <v>0</v>
      </c>
      <c r="N22" s="15">
        <f t="shared" si="2"/>
        <v>249</v>
      </c>
      <c r="O22" s="16">
        <f t="shared" si="3"/>
        <v>116</v>
      </c>
      <c r="P22" s="15">
        <f t="shared" si="4"/>
        <v>348</v>
      </c>
      <c r="Q22" s="13">
        <v>0</v>
      </c>
      <c r="R22" s="16">
        <v>0</v>
      </c>
      <c r="S22" s="15">
        <f t="shared" si="5"/>
        <v>0</v>
      </c>
      <c r="T22" s="15">
        <f t="shared" si="6"/>
        <v>0</v>
      </c>
      <c r="U22" s="16">
        <f t="shared" si="7"/>
        <v>116</v>
      </c>
      <c r="V22" s="15">
        <f t="shared" si="8"/>
        <v>348</v>
      </c>
      <c r="W22" s="13">
        <v>0</v>
      </c>
      <c r="X22" s="13">
        <v>0</v>
      </c>
      <c r="Y22" s="15">
        <f t="shared" si="9"/>
        <v>0</v>
      </c>
      <c r="Z22" s="15">
        <f t="shared" si="10"/>
        <v>0</v>
      </c>
      <c r="AA22" s="16">
        <f t="shared" si="11"/>
        <v>116</v>
      </c>
      <c r="AB22" s="15">
        <f t="shared" si="12"/>
        <v>348</v>
      </c>
      <c r="AC22" s="13">
        <v>0</v>
      </c>
      <c r="AD22" s="13">
        <v>0</v>
      </c>
      <c r="AE22" s="15">
        <f t="shared" si="13"/>
        <v>0</v>
      </c>
      <c r="AF22" s="15">
        <f t="shared" si="14"/>
        <v>0</v>
      </c>
      <c r="AG22" s="16">
        <f t="shared" si="15"/>
        <v>116</v>
      </c>
      <c r="AH22" s="15">
        <f t="shared" si="16"/>
        <v>348</v>
      </c>
      <c r="AI22" s="13">
        <v>0</v>
      </c>
      <c r="AJ22" s="13">
        <v>0</v>
      </c>
      <c r="AK22" s="15">
        <f t="shared" si="17"/>
        <v>0</v>
      </c>
      <c r="AL22" s="15">
        <f t="shared" si="18"/>
        <v>0</v>
      </c>
      <c r="AM22" s="16">
        <f t="shared" si="19"/>
        <v>116</v>
      </c>
      <c r="AN22" s="15">
        <f t="shared" si="20"/>
        <v>348</v>
      </c>
      <c r="AO22" s="13">
        <v>0</v>
      </c>
      <c r="AP22" s="13">
        <v>0</v>
      </c>
      <c r="AQ22" s="15">
        <f t="shared" si="21"/>
        <v>0</v>
      </c>
      <c r="AR22" s="15">
        <f t="shared" si="22"/>
        <v>0</v>
      </c>
      <c r="AS22" s="16">
        <f t="shared" si="23"/>
        <v>116</v>
      </c>
      <c r="AT22" s="15">
        <f t="shared" si="24"/>
        <v>348</v>
      </c>
      <c r="AU22" s="13">
        <v>0</v>
      </c>
      <c r="AV22" s="13">
        <v>0</v>
      </c>
      <c r="AW22" s="15">
        <f t="shared" si="25"/>
        <v>0</v>
      </c>
      <c r="AX22" s="15">
        <f t="shared" si="26"/>
        <v>0</v>
      </c>
      <c r="AY22" s="16">
        <f t="shared" si="27"/>
        <v>116</v>
      </c>
      <c r="AZ22" s="15">
        <f t="shared" si="28"/>
        <v>348</v>
      </c>
      <c r="BA22" s="13">
        <v>0</v>
      </c>
      <c r="BB22" s="13">
        <v>0</v>
      </c>
      <c r="BC22" s="15">
        <f t="shared" si="29"/>
        <v>0</v>
      </c>
      <c r="BD22" s="15">
        <f t="shared" si="30"/>
        <v>0</v>
      </c>
      <c r="BE22" s="16">
        <f t="shared" si="31"/>
        <v>116</v>
      </c>
      <c r="BF22" s="15">
        <f t="shared" si="32"/>
        <v>348</v>
      </c>
      <c r="BG22" s="13">
        <v>0</v>
      </c>
      <c r="BH22" s="13">
        <v>0</v>
      </c>
      <c r="BI22" s="15">
        <f t="shared" si="33"/>
        <v>0</v>
      </c>
      <c r="BJ22" s="15">
        <f t="shared" si="34"/>
        <v>0</v>
      </c>
      <c r="BK22" s="16">
        <f t="shared" si="35"/>
        <v>116</v>
      </c>
      <c r="BL22" s="15">
        <f t="shared" si="36"/>
        <v>348</v>
      </c>
      <c r="BM22" s="13">
        <v>0</v>
      </c>
      <c r="BN22" s="13">
        <v>0</v>
      </c>
      <c r="BO22" s="15">
        <f t="shared" si="37"/>
        <v>0</v>
      </c>
      <c r="BP22" s="15">
        <f t="shared" si="38"/>
        <v>0</v>
      </c>
      <c r="BQ22" s="16">
        <f t="shared" si="39"/>
        <v>116</v>
      </c>
      <c r="BR22" s="15">
        <f t="shared" si="40"/>
        <v>348</v>
      </c>
      <c r="BS22" s="13">
        <v>0</v>
      </c>
      <c r="BT22" s="13">
        <v>0</v>
      </c>
      <c r="BU22" s="15">
        <f t="shared" si="41"/>
        <v>0</v>
      </c>
      <c r="BV22" s="15">
        <f t="shared" si="42"/>
        <v>0</v>
      </c>
      <c r="BW22" s="16">
        <f t="shared" si="43"/>
        <v>116</v>
      </c>
      <c r="BX22" s="15">
        <f t="shared" si="44"/>
        <v>348</v>
      </c>
      <c r="BY22" s="13">
        <v>0</v>
      </c>
      <c r="BZ22" s="13">
        <v>0</v>
      </c>
      <c r="CA22" s="15">
        <f t="shared" si="45"/>
        <v>0</v>
      </c>
      <c r="CB22" s="15">
        <f t="shared" si="46"/>
        <v>0</v>
      </c>
      <c r="CC22" s="17">
        <f t="shared" si="48"/>
        <v>116</v>
      </c>
      <c r="CD22" s="18">
        <f t="shared" si="47"/>
        <v>348</v>
      </c>
      <c r="CE22" s="5"/>
    </row>
    <row r="23" spans="1:83" ht="16.5">
      <c r="A23" s="12">
        <v>20</v>
      </c>
      <c r="B23" s="54" t="s">
        <v>69</v>
      </c>
      <c r="C23" s="29" t="s">
        <v>70</v>
      </c>
      <c r="D23" s="24"/>
      <c r="E23" s="24"/>
      <c r="F23" s="24"/>
      <c r="G23" s="56">
        <v>197</v>
      </c>
      <c r="H23" s="19">
        <v>7</v>
      </c>
      <c r="I23" s="56">
        <v>197</v>
      </c>
      <c r="J23" s="15">
        <f t="shared" si="0"/>
        <v>1379</v>
      </c>
      <c r="K23" s="13">
        <v>8</v>
      </c>
      <c r="L23" s="13">
        <v>0</v>
      </c>
      <c r="M23" s="15">
        <f t="shared" si="1"/>
        <v>0</v>
      </c>
      <c r="N23" s="15">
        <f t="shared" si="2"/>
        <v>56</v>
      </c>
      <c r="O23" s="16">
        <f t="shared" si="3"/>
        <v>189</v>
      </c>
      <c r="P23" s="15">
        <f t="shared" si="4"/>
        <v>1323</v>
      </c>
      <c r="Q23" s="13">
        <v>5</v>
      </c>
      <c r="R23" s="16">
        <v>0</v>
      </c>
      <c r="S23" s="15">
        <f t="shared" si="5"/>
        <v>0</v>
      </c>
      <c r="T23" s="15">
        <f t="shared" si="6"/>
        <v>35</v>
      </c>
      <c r="U23" s="16">
        <f t="shared" si="7"/>
        <v>184</v>
      </c>
      <c r="V23" s="15">
        <f t="shared" si="8"/>
        <v>1288</v>
      </c>
      <c r="W23" s="13">
        <v>7</v>
      </c>
      <c r="X23" s="13">
        <v>0</v>
      </c>
      <c r="Y23" s="15">
        <f t="shared" si="9"/>
        <v>0</v>
      </c>
      <c r="Z23" s="15">
        <f t="shared" si="10"/>
        <v>49</v>
      </c>
      <c r="AA23" s="16">
        <f t="shared" si="11"/>
        <v>177</v>
      </c>
      <c r="AB23" s="15">
        <f t="shared" si="12"/>
        <v>1239</v>
      </c>
      <c r="AC23" s="13">
        <v>1</v>
      </c>
      <c r="AD23" s="13">
        <v>0</v>
      </c>
      <c r="AE23" s="15">
        <f t="shared" si="13"/>
        <v>0</v>
      </c>
      <c r="AF23" s="15">
        <f t="shared" si="14"/>
        <v>7</v>
      </c>
      <c r="AG23" s="16">
        <f t="shared" si="15"/>
        <v>176</v>
      </c>
      <c r="AH23" s="15">
        <f t="shared" si="16"/>
        <v>1232</v>
      </c>
      <c r="AI23" s="13">
        <v>3</v>
      </c>
      <c r="AJ23" s="13">
        <v>0</v>
      </c>
      <c r="AK23" s="15">
        <f t="shared" si="17"/>
        <v>0</v>
      </c>
      <c r="AL23" s="15">
        <f t="shared" si="18"/>
        <v>21</v>
      </c>
      <c r="AM23" s="16">
        <f t="shared" si="19"/>
        <v>173</v>
      </c>
      <c r="AN23" s="15">
        <f t="shared" si="20"/>
        <v>1211</v>
      </c>
      <c r="AO23" s="13">
        <v>37</v>
      </c>
      <c r="AP23" s="13">
        <v>0</v>
      </c>
      <c r="AQ23" s="15">
        <f t="shared" si="21"/>
        <v>0</v>
      </c>
      <c r="AR23" s="15">
        <f t="shared" si="22"/>
        <v>259</v>
      </c>
      <c r="AS23" s="16">
        <f t="shared" si="23"/>
        <v>136</v>
      </c>
      <c r="AT23" s="15">
        <f t="shared" si="24"/>
        <v>952</v>
      </c>
      <c r="AU23" s="13">
        <v>10</v>
      </c>
      <c r="AV23" s="13">
        <v>0</v>
      </c>
      <c r="AW23" s="15">
        <f t="shared" si="25"/>
        <v>0</v>
      </c>
      <c r="AX23" s="15">
        <f t="shared" si="26"/>
        <v>70</v>
      </c>
      <c r="AY23" s="16">
        <f t="shared" si="27"/>
        <v>126</v>
      </c>
      <c r="AZ23" s="15">
        <f t="shared" si="28"/>
        <v>882</v>
      </c>
      <c r="BA23" s="13">
        <v>16</v>
      </c>
      <c r="BB23" s="13">
        <v>0</v>
      </c>
      <c r="BC23" s="15">
        <f t="shared" si="29"/>
        <v>0</v>
      </c>
      <c r="BD23" s="15">
        <f t="shared" si="30"/>
        <v>112</v>
      </c>
      <c r="BE23" s="16">
        <f t="shared" si="31"/>
        <v>110</v>
      </c>
      <c r="BF23" s="15">
        <f t="shared" si="32"/>
        <v>770</v>
      </c>
      <c r="BG23" s="13">
        <v>0</v>
      </c>
      <c r="BH23" s="13">
        <v>0</v>
      </c>
      <c r="BI23" s="15">
        <f t="shared" si="33"/>
        <v>0</v>
      </c>
      <c r="BJ23" s="15">
        <f t="shared" si="34"/>
        <v>0</v>
      </c>
      <c r="BK23" s="16">
        <f t="shared" si="35"/>
        <v>110</v>
      </c>
      <c r="BL23" s="15">
        <f t="shared" si="36"/>
        <v>770</v>
      </c>
      <c r="BM23" s="13">
        <v>0</v>
      </c>
      <c r="BN23" s="13">
        <v>0</v>
      </c>
      <c r="BO23" s="15">
        <f t="shared" si="37"/>
        <v>0</v>
      </c>
      <c r="BP23" s="15">
        <f t="shared" si="38"/>
        <v>0</v>
      </c>
      <c r="BQ23" s="16">
        <f t="shared" si="39"/>
        <v>110</v>
      </c>
      <c r="BR23" s="15">
        <f t="shared" si="40"/>
        <v>770</v>
      </c>
      <c r="BS23" s="13">
        <v>0</v>
      </c>
      <c r="BT23" s="13">
        <v>0</v>
      </c>
      <c r="BU23" s="15">
        <f t="shared" si="41"/>
        <v>0</v>
      </c>
      <c r="BV23" s="15">
        <f t="shared" si="42"/>
        <v>0</v>
      </c>
      <c r="BW23" s="16">
        <f t="shared" si="43"/>
        <v>110</v>
      </c>
      <c r="BX23" s="15">
        <f t="shared" si="44"/>
        <v>770</v>
      </c>
      <c r="BY23" s="13">
        <v>0</v>
      </c>
      <c r="BZ23" s="13">
        <v>0</v>
      </c>
      <c r="CA23" s="15">
        <f t="shared" si="45"/>
        <v>0</v>
      </c>
      <c r="CB23" s="15">
        <f t="shared" si="46"/>
        <v>0</v>
      </c>
      <c r="CC23" s="17">
        <f t="shared" si="48"/>
        <v>110</v>
      </c>
      <c r="CD23" s="18">
        <f t="shared" si="47"/>
        <v>770</v>
      </c>
      <c r="CE23" s="5"/>
    </row>
    <row r="24" spans="1:83" ht="16.5">
      <c r="A24" s="12">
        <v>21</v>
      </c>
      <c r="B24" s="54" t="s">
        <v>71</v>
      </c>
      <c r="C24" s="27" t="s">
        <v>72</v>
      </c>
      <c r="D24" s="74">
        <v>10</v>
      </c>
      <c r="E24" s="74">
        <v>15</v>
      </c>
      <c r="F24" s="74">
        <v>20</v>
      </c>
      <c r="G24" s="28">
        <v>200</v>
      </c>
      <c r="H24" s="19">
        <v>0.9</v>
      </c>
      <c r="I24" s="28">
        <v>200</v>
      </c>
      <c r="J24" s="15">
        <f t="shared" si="0"/>
        <v>180</v>
      </c>
      <c r="K24" s="13">
        <v>0</v>
      </c>
      <c r="L24" s="13">
        <v>0</v>
      </c>
      <c r="M24" s="15">
        <f t="shared" si="1"/>
        <v>0</v>
      </c>
      <c r="N24" s="15">
        <f t="shared" si="2"/>
        <v>0</v>
      </c>
      <c r="O24" s="16">
        <f t="shared" si="3"/>
        <v>200</v>
      </c>
      <c r="P24" s="15">
        <f t="shared" si="4"/>
        <v>180</v>
      </c>
      <c r="Q24" s="13">
        <v>0</v>
      </c>
      <c r="R24" s="16">
        <v>0</v>
      </c>
      <c r="S24" s="15">
        <f t="shared" si="5"/>
        <v>0</v>
      </c>
      <c r="T24" s="15">
        <f t="shared" si="6"/>
        <v>0</v>
      </c>
      <c r="U24" s="16">
        <f t="shared" si="7"/>
        <v>200</v>
      </c>
      <c r="V24" s="15">
        <f t="shared" si="8"/>
        <v>180</v>
      </c>
      <c r="W24" s="13">
        <v>0</v>
      </c>
      <c r="X24" s="13">
        <v>0</v>
      </c>
      <c r="Y24" s="15">
        <f t="shared" si="9"/>
        <v>0</v>
      </c>
      <c r="Z24" s="15">
        <f t="shared" si="10"/>
        <v>0</v>
      </c>
      <c r="AA24" s="16">
        <f t="shared" si="11"/>
        <v>200</v>
      </c>
      <c r="AB24" s="15">
        <f t="shared" si="12"/>
        <v>180</v>
      </c>
      <c r="AC24" s="13">
        <v>0</v>
      </c>
      <c r="AD24" s="13">
        <v>0</v>
      </c>
      <c r="AE24" s="15">
        <f t="shared" si="13"/>
        <v>0</v>
      </c>
      <c r="AF24" s="15">
        <f t="shared" si="14"/>
        <v>0</v>
      </c>
      <c r="AG24" s="16">
        <f t="shared" si="15"/>
        <v>200</v>
      </c>
      <c r="AH24" s="15">
        <f t="shared" si="16"/>
        <v>180</v>
      </c>
      <c r="AI24" s="13">
        <v>0</v>
      </c>
      <c r="AJ24" s="13">
        <v>0</v>
      </c>
      <c r="AK24" s="15">
        <f t="shared" si="17"/>
        <v>0</v>
      </c>
      <c r="AL24" s="15">
        <f t="shared" si="18"/>
        <v>0</v>
      </c>
      <c r="AM24" s="16">
        <f t="shared" si="19"/>
        <v>200</v>
      </c>
      <c r="AN24" s="15">
        <f t="shared" si="20"/>
        <v>180</v>
      </c>
      <c r="AO24" s="13">
        <v>0</v>
      </c>
      <c r="AP24" s="13">
        <v>0</v>
      </c>
      <c r="AQ24" s="15">
        <f t="shared" si="21"/>
        <v>0</v>
      </c>
      <c r="AR24" s="15">
        <f t="shared" si="22"/>
        <v>0</v>
      </c>
      <c r="AS24" s="16">
        <f t="shared" si="23"/>
        <v>200</v>
      </c>
      <c r="AT24" s="15">
        <f t="shared" si="24"/>
        <v>180</v>
      </c>
      <c r="AU24" s="13">
        <v>0</v>
      </c>
      <c r="AV24" s="13">
        <v>0</v>
      </c>
      <c r="AW24" s="15">
        <f t="shared" si="25"/>
        <v>0</v>
      </c>
      <c r="AX24" s="15">
        <f t="shared" si="26"/>
        <v>0</v>
      </c>
      <c r="AY24" s="16">
        <f t="shared" si="27"/>
        <v>200</v>
      </c>
      <c r="AZ24" s="15">
        <f t="shared" si="28"/>
        <v>180</v>
      </c>
      <c r="BA24" s="13">
        <v>0</v>
      </c>
      <c r="BB24" s="13">
        <v>0</v>
      </c>
      <c r="BC24" s="15">
        <f t="shared" si="29"/>
        <v>0</v>
      </c>
      <c r="BD24" s="15">
        <f t="shared" si="30"/>
        <v>0</v>
      </c>
      <c r="BE24" s="16">
        <f t="shared" si="31"/>
        <v>200</v>
      </c>
      <c r="BF24" s="15">
        <f t="shared" si="32"/>
        <v>180</v>
      </c>
      <c r="BG24" s="13">
        <v>0</v>
      </c>
      <c r="BH24" s="13">
        <v>0</v>
      </c>
      <c r="BI24" s="15">
        <f t="shared" si="33"/>
        <v>0</v>
      </c>
      <c r="BJ24" s="15">
        <f t="shared" si="34"/>
        <v>0</v>
      </c>
      <c r="BK24" s="16">
        <f t="shared" si="35"/>
        <v>200</v>
      </c>
      <c r="BL24" s="15">
        <f t="shared" si="36"/>
        <v>180</v>
      </c>
      <c r="BM24" s="13">
        <v>0</v>
      </c>
      <c r="BN24" s="13">
        <v>0</v>
      </c>
      <c r="BO24" s="15">
        <f t="shared" si="37"/>
        <v>0</v>
      </c>
      <c r="BP24" s="15">
        <f t="shared" si="38"/>
        <v>0</v>
      </c>
      <c r="BQ24" s="16">
        <f t="shared" si="39"/>
        <v>200</v>
      </c>
      <c r="BR24" s="15">
        <f t="shared" si="40"/>
        <v>180</v>
      </c>
      <c r="BS24" s="13">
        <v>0</v>
      </c>
      <c r="BT24" s="13">
        <v>0</v>
      </c>
      <c r="BU24" s="15">
        <f t="shared" si="41"/>
        <v>0</v>
      </c>
      <c r="BV24" s="15">
        <f t="shared" si="42"/>
        <v>0</v>
      </c>
      <c r="BW24" s="16">
        <f t="shared" si="43"/>
        <v>200</v>
      </c>
      <c r="BX24" s="15">
        <f t="shared" si="44"/>
        <v>180</v>
      </c>
      <c r="BY24" s="13">
        <v>0</v>
      </c>
      <c r="BZ24" s="13">
        <v>0</v>
      </c>
      <c r="CA24" s="15">
        <f t="shared" si="45"/>
        <v>0</v>
      </c>
      <c r="CB24" s="15">
        <f t="shared" si="46"/>
        <v>0</v>
      </c>
      <c r="CC24" s="17">
        <f t="shared" si="48"/>
        <v>200</v>
      </c>
      <c r="CD24" s="18">
        <f t="shared" si="47"/>
        <v>180</v>
      </c>
      <c r="CE24" s="5"/>
    </row>
    <row r="25" spans="1:83" ht="16.5">
      <c r="A25" s="12">
        <v>22</v>
      </c>
      <c r="B25" s="26" t="s">
        <v>73</v>
      </c>
      <c r="C25" s="27" t="s">
        <v>74</v>
      </c>
      <c r="D25" s="76"/>
      <c r="E25" s="76"/>
      <c r="F25" s="76"/>
      <c r="G25" s="28">
        <v>200</v>
      </c>
      <c r="H25" s="19">
        <v>0.9</v>
      </c>
      <c r="I25" s="28">
        <v>200</v>
      </c>
      <c r="J25" s="15">
        <f t="shared" si="0"/>
        <v>180</v>
      </c>
      <c r="K25" s="13">
        <v>0</v>
      </c>
      <c r="L25" s="13">
        <v>0</v>
      </c>
      <c r="M25" s="15">
        <f t="shared" si="1"/>
        <v>0</v>
      </c>
      <c r="N25" s="15">
        <f t="shared" si="2"/>
        <v>0</v>
      </c>
      <c r="O25" s="16">
        <f t="shared" si="3"/>
        <v>200</v>
      </c>
      <c r="P25" s="15">
        <f t="shared" si="4"/>
        <v>180</v>
      </c>
      <c r="Q25" s="13">
        <v>0</v>
      </c>
      <c r="R25" s="16">
        <v>0</v>
      </c>
      <c r="S25" s="15">
        <f t="shared" si="5"/>
        <v>0</v>
      </c>
      <c r="T25" s="15">
        <f t="shared" si="6"/>
        <v>0</v>
      </c>
      <c r="U25" s="16">
        <f t="shared" si="7"/>
        <v>200</v>
      </c>
      <c r="V25" s="15">
        <f t="shared" si="8"/>
        <v>180</v>
      </c>
      <c r="W25" s="13">
        <v>0</v>
      </c>
      <c r="X25" s="13">
        <v>0</v>
      </c>
      <c r="Y25" s="15">
        <f t="shared" si="9"/>
        <v>0</v>
      </c>
      <c r="Z25" s="15">
        <f t="shared" si="10"/>
        <v>0</v>
      </c>
      <c r="AA25" s="16">
        <f t="shared" si="11"/>
        <v>200</v>
      </c>
      <c r="AB25" s="15">
        <f t="shared" si="12"/>
        <v>180</v>
      </c>
      <c r="AC25" s="13">
        <v>0</v>
      </c>
      <c r="AD25" s="13">
        <v>0</v>
      </c>
      <c r="AE25" s="15">
        <f t="shared" si="13"/>
        <v>0</v>
      </c>
      <c r="AF25" s="15">
        <f t="shared" si="14"/>
        <v>0</v>
      </c>
      <c r="AG25" s="16">
        <f t="shared" si="15"/>
        <v>200</v>
      </c>
      <c r="AH25" s="15">
        <f t="shared" si="16"/>
        <v>180</v>
      </c>
      <c r="AI25" s="13">
        <v>20</v>
      </c>
      <c r="AJ25" s="13">
        <v>0</v>
      </c>
      <c r="AK25" s="15">
        <f t="shared" si="17"/>
        <v>0</v>
      </c>
      <c r="AL25" s="15">
        <f t="shared" si="18"/>
        <v>18</v>
      </c>
      <c r="AM25" s="16">
        <f t="shared" si="19"/>
        <v>180</v>
      </c>
      <c r="AN25" s="15">
        <f t="shared" si="20"/>
        <v>162</v>
      </c>
      <c r="AO25" s="13">
        <v>0</v>
      </c>
      <c r="AP25" s="13">
        <v>0</v>
      </c>
      <c r="AQ25" s="15">
        <f t="shared" si="21"/>
        <v>0</v>
      </c>
      <c r="AR25" s="15">
        <f t="shared" si="22"/>
        <v>0</v>
      </c>
      <c r="AS25" s="16">
        <f t="shared" si="23"/>
        <v>180</v>
      </c>
      <c r="AT25" s="15">
        <f t="shared" si="24"/>
        <v>162</v>
      </c>
      <c r="AU25" s="13">
        <v>80</v>
      </c>
      <c r="AV25" s="13">
        <v>0</v>
      </c>
      <c r="AW25" s="15">
        <f t="shared" si="25"/>
        <v>0</v>
      </c>
      <c r="AX25" s="15">
        <f t="shared" si="26"/>
        <v>72</v>
      </c>
      <c r="AY25" s="16">
        <f t="shared" si="27"/>
        <v>100</v>
      </c>
      <c r="AZ25" s="15">
        <f t="shared" si="28"/>
        <v>90</v>
      </c>
      <c r="BA25" s="13">
        <v>0</v>
      </c>
      <c r="BB25" s="13">
        <v>0</v>
      </c>
      <c r="BC25" s="15">
        <f t="shared" si="29"/>
        <v>0</v>
      </c>
      <c r="BD25" s="15">
        <f t="shared" si="30"/>
        <v>0</v>
      </c>
      <c r="BE25" s="16">
        <f>AY25-BA25+BB25</f>
        <v>100</v>
      </c>
      <c r="BF25" s="15">
        <f t="shared" si="32"/>
        <v>90</v>
      </c>
      <c r="BG25" s="13">
        <v>0</v>
      </c>
      <c r="BH25" s="13">
        <v>0</v>
      </c>
      <c r="BI25" s="15">
        <f t="shared" si="33"/>
        <v>0</v>
      </c>
      <c r="BJ25" s="15">
        <f t="shared" si="34"/>
        <v>0</v>
      </c>
      <c r="BK25" s="16">
        <f t="shared" si="35"/>
        <v>100</v>
      </c>
      <c r="BL25" s="15">
        <f t="shared" si="36"/>
        <v>90</v>
      </c>
      <c r="BM25" s="13">
        <v>0</v>
      </c>
      <c r="BN25" s="13">
        <v>0</v>
      </c>
      <c r="BO25" s="15">
        <f t="shared" si="37"/>
        <v>0</v>
      </c>
      <c r="BP25" s="15">
        <f t="shared" si="38"/>
        <v>0</v>
      </c>
      <c r="BQ25" s="16">
        <f t="shared" si="39"/>
        <v>100</v>
      </c>
      <c r="BR25" s="15">
        <f t="shared" si="40"/>
        <v>90</v>
      </c>
      <c r="BS25" s="13">
        <v>0</v>
      </c>
      <c r="BT25" s="13">
        <v>0</v>
      </c>
      <c r="BU25" s="15">
        <f t="shared" si="41"/>
        <v>0</v>
      </c>
      <c r="BV25" s="15">
        <f t="shared" si="42"/>
        <v>0</v>
      </c>
      <c r="BW25" s="16">
        <f t="shared" si="43"/>
        <v>100</v>
      </c>
      <c r="BX25" s="15">
        <f t="shared" si="44"/>
        <v>90</v>
      </c>
      <c r="BY25" s="13">
        <v>0</v>
      </c>
      <c r="BZ25" s="13">
        <v>0</v>
      </c>
      <c r="CA25" s="15">
        <f t="shared" si="45"/>
        <v>0</v>
      </c>
      <c r="CB25" s="15">
        <f t="shared" si="46"/>
        <v>0</v>
      </c>
      <c r="CC25" s="17">
        <f t="shared" si="48"/>
        <v>100</v>
      </c>
      <c r="CD25" s="18">
        <f t="shared" si="47"/>
        <v>90</v>
      </c>
      <c r="CE25" s="5"/>
    </row>
    <row r="26" spans="1:83" ht="16.5">
      <c r="A26" s="12">
        <v>23</v>
      </c>
      <c r="B26" s="26" t="s">
        <v>75</v>
      </c>
      <c r="C26" s="27" t="s">
        <v>76</v>
      </c>
      <c r="D26" s="74">
        <v>10</v>
      </c>
      <c r="E26" s="74">
        <v>15</v>
      </c>
      <c r="F26" s="74">
        <v>20</v>
      </c>
      <c r="G26" s="28">
        <v>105</v>
      </c>
      <c r="H26" s="19">
        <v>0.9</v>
      </c>
      <c r="I26" s="28">
        <v>105</v>
      </c>
      <c r="J26" s="15">
        <f t="shared" si="0"/>
        <v>94.5</v>
      </c>
      <c r="K26" s="13">
        <v>0</v>
      </c>
      <c r="L26" s="13">
        <v>0</v>
      </c>
      <c r="M26" s="15">
        <f t="shared" si="1"/>
        <v>0</v>
      </c>
      <c r="N26" s="15">
        <f t="shared" si="2"/>
        <v>0</v>
      </c>
      <c r="O26" s="16">
        <f t="shared" si="3"/>
        <v>105</v>
      </c>
      <c r="P26" s="15">
        <f t="shared" si="4"/>
        <v>94.5</v>
      </c>
      <c r="Q26" s="13">
        <v>0</v>
      </c>
      <c r="R26" s="16">
        <v>0</v>
      </c>
      <c r="S26" s="15">
        <f t="shared" si="5"/>
        <v>0</v>
      </c>
      <c r="T26" s="15">
        <f t="shared" si="6"/>
        <v>0</v>
      </c>
      <c r="U26" s="16">
        <f t="shared" si="7"/>
        <v>105</v>
      </c>
      <c r="V26" s="15">
        <f t="shared" si="8"/>
        <v>94.5</v>
      </c>
      <c r="W26" s="13">
        <v>11</v>
      </c>
      <c r="X26" s="13">
        <v>0</v>
      </c>
      <c r="Y26" s="15">
        <f t="shared" si="9"/>
        <v>0</v>
      </c>
      <c r="Z26" s="15">
        <f t="shared" si="10"/>
        <v>9.9</v>
      </c>
      <c r="AA26" s="16">
        <f t="shared" si="11"/>
        <v>94</v>
      </c>
      <c r="AB26" s="15">
        <f t="shared" si="12"/>
        <v>84.600000000000009</v>
      </c>
      <c r="AC26" s="13">
        <v>0</v>
      </c>
      <c r="AD26" s="13">
        <v>0</v>
      </c>
      <c r="AE26" s="15">
        <f t="shared" si="13"/>
        <v>0</v>
      </c>
      <c r="AF26" s="15">
        <f t="shared" si="14"/>
        <v>0</v>
      </c>
      <c r="AG26" s="16">
        <f t="shared" si="15"/>
        <v>94</v>
      </c>
      <c r="AH26" s="15">
        <f t="shared" si="16"/>
        <v>84.600000000000009</v>
      </c>
      <c r="AI26" s="13">
        <v>0</v>
      </c>
      <c r="AJ26" s="13">
        <v>0</v>
      </c>
      <c r="AK26" s="15">
        <f t="shared" si="17"/>
        <v>0</v>
      </c>
      <c r="AL26" s="15">
        <f t="shared" si="18"/>
        <v>0</v>
      </c>
      <c r="AM26" s="16">
        <f t="shared" si="19"/>
        <v>94</v>
      </c>
      <c r="AN26" s="15">
        <f t="shared" si="20"/>
        <v>84.600000000000009</v>
      </c>
      <c r="AO26" s="13">
        <v>35</v>
      </c>
      <c r="AP26" s="13">
        <v>0</v>
      </c>
      <c r="AQ26" s="15">
        <f t="shared" si="21"/>
        <v>0</v>
      </c>
      <c r="AR26" s="15">
        <f t="shared" si="22"/>
        <v>31.5</v>
      </c>
      <c r="AS26" s="16">
        <f t="shared" si="23"/>
        <v>59</v>
      </c>
      <c r="AT26" s="15">
        <f t="shared" si="24"/>
        <v>53.1</v>
      </c>
      <c r="AU26" s="13">
        <v>0</v>
      </c>
      <c r="AV26" s="13">
        <v>0</v>
      </c>
      <c r="AW26" s="15">
        <f t="shared" si="25"/>
        <v>0</v>
      </c>
      <c r="AX26" s="15">
        <f t="shared" si="26"/>
        <v>0</v>
      </c>
      <c r="AY26" s="16">
        <f t="shared" si="27"/>
        <v>59</v>
      </c>
      <c r="AZ26" s="15">
        <f t="shared" si="28"/>
        <v>53.1</v>
      </c>
      <c r="BA26" s="13">
        <v>13</v>
      </c>
      <c r="BB26" s="13">
        <v>0</v>
      </c>
      <c r="BC26" s="15">
        <f t="shared" si="29"/>
        <v>0</v>
      </c>
      <c r="BD26" s="15">
        <f t="shared" si="30"/>
        <v>11.700000000000001</v>
      </c>
      <c r="BE26" s="16">
        <f t="shared" si="31"/>
        <v>46</v>
      </c>
      <c r="BF26" s="15">
        <f t="shared" si="32"/>
        <v>41.4</v>
      </c>
      <c r="BG26" s="13">
        <v>0</v>
      </c>
      <c r="BH26" s="13">
        <v>0</v>
      </c>
      <c r="BI26" s="15">
        <f t="shared" si="33"/>
        <v>0</v>
      </c>
      <c r="BJ26" s="15">
        <f t="shared" si="34"/>
        <v>0</v>
      </c>
      <c r="BK26" s="16">
        <f t="shared" si="35"/>
        <v>46</v>
      </c>
      <c r="BL26" s="15">
        <f t="shared" si="36"/>
        <v>41.4</v>
      </c>
      <c r="BM26" s="13">
        <v>0</v>
      </c>
      <c r="BN26" s="13">
        <v>0</v>
      </c>
      <c r="BO26" s="15">
        <f t="shared" si="37"/>
        <v>0</v>
      </c>
      <c r="BP26" s="15">
        <f t="shared" si="38"/>
        <v>0</v>
      </c>
      <c r="BQ26" s="16">
        <f t="shared" si="39"/>
        <v>46</v>
      </c>
      <c r="BR26" s="15">
        <f t="shared" si="40"/>
        <v>41.4</v>
      </c>
      <c r="BS26" s="13">
        <v>0</v>
      </c>
      <c r="BT26" s="13">
        <v>0</v>
      </c>
      <c r="BU26" s="15">
        <f t="shared" si="41"/>
        <v>0</v>
      </c>
      <c r="BV26" s="15">
        <f t="shared" si="42"/>
        <v>0</v>
      </c>
      <c r="BW26" s="16">
        <f t="shared" si="43"/>
        <v>46</v>
      </c>
      <c r="BX26" s="15">
        <f t="shared" si="44"/>
        <v>41.4</v>
      </c>
      <c r="BY26" s="13">
        <v>0</v>
      </c>
      <c r="BZ26" s="13">
        <v>0</v>
      </c>
      <c r="CA26" s="15">
        <f t="shared" si="45"/>
        <v>0</v>
      </c>
      <c r="CB26" s="15">
        <f t="shared" si="46"/>
        <v>0</v>
      </c>
      <c r="CC26" s="17">
        <f t="shared" si="48"/>
        <v>46</v>
      </c>
      <c r="CD26" s="18">
        <f t="shared" si="47"/>
        <v>41.4</v>
      </c>
      <c r="CE26" s="5"/>
    </row>
    <row r="27" spans="1:83" ht="16.5">
      <c r="A27" s="12">
        <v>24</v>
      </c>
      <c r="B27" s="26" t="s">
        <v>77</v>
      </c>
      <c r="C27" s="27" t="s">
        <v>78</v>
      </c>
      <c r="D27" s="76"/>
      <c r="E27" s="76"/>
      <c r="F27" s="76"/>
      <c r="G27" s="28">
        <v>490</v>
      </c>
      <c r="H27" s="19">
        <v>3</v>
      </c>
      <c r="I27" s="28">
        <v>490</v>
      </c>
      <c r="J27" s="15">
        <f t="shared" si="0"/>
        <v>1470</v>
      </c>
      <c r="K27" s="13">
        <v>119</v>
      </c>
      <c r="L27" s="13">
        <v>0</v>
      </c>
      <c r="M27" s="15">
        <f t="shared" si="1"/>
        <v>0</v>
      </c>
      <c r="N27" s="15">
        <f t="shared" si="2"/>
        <v>357</v>
      </c>
      <c r="O27" s="16">
        <f t="shared" si="3"/>
        <v>371</v>
      </c>
      <c r="P27" s="15">
        <f t="shared" si="4"/>
        <v>1113</v>
      </c>
      <c r="Q27" s="13">
        <v>0</v>
      </c>
      <c r="R27" s="16">
        <v>0</v>
      </c>
      <c r="S27" s="15">
        <f t="shared" si="5"/>
        <v>0</v>
      </c>
      <c r="T27" s="15">
        <f t="shared" si="6"/>
        <v>0</v>
      </c>
      <c r="U27" s="16">
        <f t="shared" si="7"/>
        <v>371</v>
      </c>
      <c r="V27" s="15">
        <f t="shared" si="8"/>
        <v>1113</v>
      </c>
      <c r="W27" s="13">
        <v>0</v>
      </c>
      <c r="X27" s="13">
        <v>0</v>
      </c>
      <c r="Y27" s="15">
        <f t="shared" si="9"/>
        <v>0</v>
      </c>
      <c r="Z27" s="15">
        <f t="shared" si="10"/>
        <v>0</v>
      </c>
      <c r="AA27" s="16">
        <f t="shared" si="11"/>
        <v>371</v>
      </c>
      <c r="AB27" s="15">
        <f t="shared" si="12"/>
        <v>1113</v>
      </c>
      <c r="AC27" s="13">
        <v>0</v>
      </c>
      <c r="AD27" s="13">
        <v>0</v>
      </c>
      <c r="AE27" s="15">
        <f t="shared" si="13"/>
        <v>0</v>
      </c>
      <c r="AF27" s="15">
        <f t="shared" si="14"/>
        <v>0</v>
      </c>
      <c r="AG27" s="16">
        <f t="shared" si="15"/>
        <v>371</v>
      </c>
      <c r="AH27" s="15">
        <f t="shared" si="16"/>
        <v>1113</v>
      </c>
      <c r="AI27" s="13">
        <v>0</v>
      </c>
      <c r="AJ27" s="13">
        <v>0</v>
      </c>
      <c r="AK27" s="15">
        <f t="shared" si="17"/>
        <v>0</v>
      </c>
      <c r="AL27" s="15">
        <f t="shared" si="18"/>
        <v>0</v>
      </c>
      <c r="AM27" s="16">
        <f t="shared" si="19"/>
        <v>371</v>
      </c>
      <c r="AN27" s="15">
        <f t="shared" si="20"/>
        <v>1113</v>
      </c>
      <c r="AO27" s="13">
        <v>0</v>
      </c>
      <c r="AP27" s="13">
        <v>0</v>
      </c>
      <c r="AQ27" s="15">
        <f t="shared" si="21"/>
        <v>0</v>
      </c>
      <c r="AR27" s="15">
        <f t="shared" si="22"/>
        <v>0</v>
      </c>
      <c r="AS27" s="16">
        <f t="shared" si="23"/>
        <v>371</v>
      </c>
      <c r="AT27" s="15">
        <f t="shared" si="24"/>
        <v>1113</v>
      </c>
      <c r="AU27" s="13">
        <v>0</v>
      </c>
      <c r="AV27" s="13">
        <v>0</v>
      </c>
      <c r="AW27" s="15">
        <f t="shared" si="25"/>
        <v>0</v>
      </c>
      <c r="AX27" s="15">
        <f t="shared" si="26"/>
        <v>0</v>
      </c>
      <c r="AY27" s="16">
        <f t="shared" si="27"/>
        <v>371</v>
      </c>
      <c r="AZ27" s="15">
        <f t="shared" si="28"/>
        <v>1113</v>
      </c>
      <c r="BA27" s="13">
        <v>0</v>
      </c>
      <c r="BB27" s="13">
        <v>0</v>
      </c>
      <c r="BC27" s="15">
        <f t="shared" si="29"/>
        <v>0</v>
      </c>
      <c r="BD27" s="15">
        <f t="shared" si="30"/>
        <v>0</v>
      </c>
      <c r="BE27" s="16">
        <f t="shared" si="31"/>
        <v>371</v>
      </c>
      <c r="BF27" s="15">
        <f t="shared" si="32"/>
        <v>1113</v>
      </c>
      <c r="BG27" s="13">
        <v>0</v>
      </c>
      <c r="BH27" s="13">
        <v>0</v>
      </c>
      <c r="BI27" s="15">
        <f t="shared" si="33"/>
        <v>0</v>
      </c>
      <c r="BJ27" s="15">
        <f t="shared" si="34"/>
        <v>0</v>
      </c>
      <c r="BK27" s="16">
        <f t="shared" si="35"/>
        <v>371</v>
      </c>
      <c r="BL27" s="15">
        <f t="shared" si="36"/>
        <v>1113</v>
      </c>
      <c r="BM27" s="13">
        <v>0</v>
      </c>
      <c r="BN27" s="13">
        <v>0</v>
      </c>
      <c r="BO27" s="15">
        <f t="shared" si="37"/>
        <v>0</v>
      </c>
      <c r="BP27" s="15">
        <f t="shared" si="38"/>
        <v>0</v>
      </c>
      <c r="BQ27" s="16">
        <f t="shared" si="39"/>
        <v>371</v>
      </c>
      <c r="BR27" s="15">
        <f t="shared" si="40"/>
        <v>1113</v>
      </c>
      <c r="BS27" s="13">
        <v>0</v>
      </c>
      <c r="BT27" s="13">
        <v>0</v>
      </c>
      <c r="BU27" s="15">
        <f t="shared" si="41"/>
        <v>0</v>
      </c>
      <c r="BV27" s="15">
        <f t="shared" si="42"/>
        <v>0</v>
      </c>
      <c r="BW27" s="16">
        <f t="shared" si="43"/>
        <v>371</v>
      </c>
      <c r="BX27" s="15">
        <f t="shared" si="44"/>
        <v>1113</v>
      </c>
      <c r="BY27" s="13">
        <v>0</v>
      </c>
      <c r="BZ27" s="13">
        <v>0</v>
      </c>
      <c r="CA27" s="15">
        <f t="shared" si="45"/>
        <v>0</v>
      </c>
      <c r="CB27" s="15">
        <f t="shared" si="46"/>
        <v>0</v>
      </c>
      <c r="CC27" s="17">
        <f t="shared" si="48"/>
        <v>371</v>
      </c>
      <c r="CD27" s="18">
        <f t="shared" si="47"/>
        <v>1113</v>
      </c>
      <c r="CE27" s="5"/>
    </row>
    <row r="28" spans="1:83" ht="16.5">
      <c r="A28" s="12">
        <v>25</v>
      </c>
      <c r="B28" s="26" t="s">
        <v>79</v>
      </c>
      <c r="C28" s="27" t="s">
        <v>80</v>
      </c>
      <c r="D28" s="74">
        <v>10</v>
      </c>
      <c r="E28" s="74">
        <v>15</v>
      </c>
      <c r="F28" s="74">
        <v>20</v>
      </c>
      <c r="G28" s="28">
        <v>248</v>
      </c>
      <c r="H28" s="19">
        <v>3.5</v>
      </c>
      <c r="I28" s="28">
        <v>248</v>
      </c>
      <c r="J28" s="15">
        <f t="shared" si="0"/>
        <v>868</v>
      </c>
      <c r="K28" s="13">
        <v>0</v>
      </c>
      <c r="L28" s="13">
        <v>0</v>
      </c>
      <c r="M28" s="15">
        <f t="shared" si="1"/>
        <v>0</v>
      </c>
      <c r="N28" s="15">
        <f t="shared" si="2"/>
        <v>0</v>
      </c>
      <c r="O28" s="16">
        <f t="shared" si="3"/>
        <v>248</v>
      </c>
      <c r="P28" s="15">
        <f t="shared" si="4"/>
        <v>868</v>
      </c>
      <c r="Q28" s="13">
        <v>0</v>
      </c>
      <c r="R28" s="16">
        <v>0</v>
      </c>
      <c r="S28" s="15">
        <f t="shared" si="5"/>
        <v>0</v>
      </c>
      <c r="T28" s="15">
        <f t="shared" si="6"/>
        <v>0</v>
      </c>
      <c r="U28" s="16">
        <f t="shared" si="7"/>
        <v>248</v>
      </c>
      <c r="V28" s="15">
        <f t="shared" si="8"/>
        <v>868</v>
      </c>
      <c r="W28" s="13">
        <v>2</v>
      </c>
      <c r="X28" s="13">
        <v>0</v>
      </c>
      <c r="Y28" s="15">
        <f t="shared" si="9"/>
        <v>0</v>
      </c>
      <c r="Z28" s="15">
        <f t="shared" si="10"/>
        <v>7</v>
      </c>
      <c r="AA28" s="16">
        <f t="shared" si="11"/>
        <v>246</v>
      </c>
      <c r="AB28" s="15">
        <f t="shared" si="12"/>
        <v>861</v>
      </c>
      <c r="AC28" s="13">
        <v>0</v>
      </c>
      <c r="AD28" s="13">
        <v>0</v>
      </c>
      <c r="AE28" s="15">
        <f t="shared" si="13"/>
        <v>0</v>
      </c>
      <c r="AF28" s="15">
        <f t="shared" si="14"/>
        <v>0</v>
      </c>
      <c r="AG28" s="16">
        <f t="shared" si="15"/>
        <v>246</v>
      </c>
      <c r="AH28" s="15">
        <f t="shared" si="16"/>
        <v>861</v>
      </c>
      <c r="AI28" s="13">
        <v>0</v>
      </c>
      <c r="AJ28" s="13">
        <v>0</v>
      </c>
      <c r="AK28" s="15">
        <f t="shared" si="17"/>
        <v>0</v>
      </c>
      <c r="AL28" s="15">
        <f t="shared" si="18"/>
        <v>0</v>
      </c>
      <c r="AM28" s="16">
        <f t="shared" si="19"/>
        <v>246</v>
      </c>
      <c r="AN28" s="15">
        <f t="shared" si="20"/>
        <v>861</v>
      </c>
      <c r="AO28" s="13">
        <v>0</v>
      </c>
      <c r="AP28" s="13">
        <v>0</v>
      </c>
      <c r="AQ28" s="15">
        <f t="shared" si="21"/>
        <v>0</v>
      </c>
      <c r="AR28" s="15">
        <f t="shared" si="22"/>
        <v>0</v>
      </c>
      <c r="AS28" s="16">
        <f t="shared" si="23"/>
        <v>246</v>
      </c>
      <c r="AT28" s="15">
        <f t="shared" si="24"/>
        <v>861</v>
      </c>
      <c r="AU28" s="13">
        <v>0</v>
      </c>
      <c r="AV28" s="13">
        <v>0</v>
      </c>
      <c r="AW28" s="15">
        <f t="shared" si="25"/>
        <v>0</v>
      </c>
      <c r="AX28" s="15">
        <f t="shared" si="26"/>
        <v>0</v>
      </c>
      <c r="AY28" s="16">
        <f t="shared" si="27"/>
        <v>246</v>
      </c>
      <c r="AZ28" s="15">
        <f t="shared" si="28"/>
        <v>861</v>
      </c>
      <c r="BA28" s="13">
        <v>0</v>
      </c>
      <c r="BB28" s="13">
        <v>0</v>
      </c>
      <c r="BC28" s="15">
        <f t="shared" si="29"/>
        <v>0</v>
      </c>
      <c r="BD28" s="15">
        <f t="shared" si="30"/>
        <v>0</v>
      </c>
      <c r="BE28" s="16">
        <f t="shared" si="31"/>
        <v>246</v>
      </c>
      <c r="BF28" s="15">
        <f t="shared" si="32"/>
        <v>861</v>
      </c>
      <c r="BG28" s="13">
        <v>0</v>
      </c>
      <c r="BH28" s="13">
        <v>0</v>
      </c>
      <c r="BI28" s="15">
        <f t="shared" si="33"/>
        <v>0</v>
      </c>
      <c r="BJ28" s="15">
        <f t="shared" si="34"/>
        <v>0</v>
      </c>
      <c r="BK28" s="16">
        <f t="shared" si="35"/>
        <v>246</v>
      </c>
      <c r="BL28" s="15">
        <f t="shared" si="36"/>
        <v>861</v>
      </c>
      <c r="BM28" s="13">
        <v>0</v>
      </c>
      <c r="BN28" s="13">
        <v>0</v>
      </c>
      <c r="BO28" s="15">
        <f t="shared" si="37"/>
        <v>0</v>
      </c>
      <c r="BP28" s="15">
        <f t="shared" si="38"/>
        <v>0</v>
      </c>
      <c r="BQ28" s="16">
        <f t="shared" si="39"/>
        <v>246</v>
      </c>
      <c r="BR28" s="15">
        <f t="shared" si="40"/>
        <v>861</v>
      </c>
      <c r="BS28" s="13">
        <v>0</v>
      </c>
      <c r="BT28" s="13">
        <v>0</v>
      </c>
      <c r="BU28" s="15">
        <f t="shared" si="41"/>
        <v>0</v>
      </c>
      <c r="BV28" s="15">
        <f t="shared" si="42"/>
        <v>0</v>
      </c>
      <c r="BW28" s="16">
        <f t="shared" si="43"/>
        <v>246</v>
      </c>
      <c r="BX28" s="15">
        <f t="shared" si="44"/>
        <v>861</v>
      </c>
      <c r="BY28" s="13">
        <v>0</v>
      </c>
      <c r="BZ28" s="13">
        <v>0</v>
      </c>
      <c r="CA28" s="15">
        <f t="shared" si="45"/>
        <v>0</v>
      </c>
      <c r="CB28" s="15">
        <f t="shared" si="46"/>
        <v>0</v>
      </c>
      <c r="CC28" s="17">
        <f t="shared" si="48"/>
        <v>246</v>
      </c>
      <c r="CD28" s="18">
        <f t="shared" si="47"/>
        <v>861</v>
      </c>
      <c r="CE28" s="5"/>
    </row>
    <row r="29" spans="1:83" ht="16.5">
      <c r="A29" s="12">
        <v>26</v>
      </c>
      <c r="B29" s="26" t="s">
        <v>81</v>
      </c>
      <c r="C29" s="27" t="s">
        <v>82</v>
      </c>
      <c r="D29" s="75"/>
      <c r="E29" s="75"/>
      <c r="F29" s="75"/>
      <c r="G29" s="28">
        <v>200</v>
      </c>
      <c r="H29" s="19">
        <v>13.5</v>
      </c>
      <c r="I29" s="28">
        <v>200</v>
      </c>
      <c r="J29" s="15">
        <f t="shared" si="0"/>
        <v>2700</v>
      </c>
      <c r="K29" s="13">
        <v>0</v>
      </c>
      <c r="L29" s="13">
        <v>0</v>
      </c>
      <c r="M29" s="15">
        <f t="shared" si="1"/>
        <v>0</v>
      </c>
      <c r="N29" s="15">
        <f t="shared" si="2"/>
        <v>0</v>
      </c>
      <c r="O29" s="16">
        <f t="shared" si="3"/>
        <v>200</v>
      </c>
      <c r="P29" s="15">
        <f t="shared" si="4"/>
        <v>2700</v>
      </c>
      <c r="Q29" s="13">
        <v>0</v>
      </c>
      <c r="R29" s="16">
        <v>0</v>
      </c>
      <c r="S29" s="15">
        <f t="shared" si="5"/>
        <v>0</v>
      </c>
      <c r="T29" s="15">
        <f t="shared" si="6"/>
        <v>0</v>
      </c>
      <c r="U29" s="16">
        <f t="shared" si="7"/>
        <v>200</v>
      </c>
      <c r="V29" s="15">
        <f t="shared" si="8"/>
        <v>2700</v>
      </c>
      <c r="W29" s="13">
        <v>0</v>
      </c>
      <c r="X29" s="13">
        <v>0</v>
      </c>
      <c r="Y29" s="15">
        <f t="shared" si="9"/>
        <v>0</v>
      </c>
      <c r="Z29" s="15">
        <f t="shared" si="10"/>
        <v>0</v>
      </c>
      <c r="AA29" s="16">
        <f t="shared" si="11"/>
        <v>200</v>
      </c>
      <c r="AB29" s="15">
        <f t="shared" si="12"/>
        <v>2700</v>
      </c>
      <c r="AC29" s="13">
        <v>0</v>
      </c>
      <c r="AD29" s="13">
        <v>0</v>
      </c>
      <c r="AE29" s="15">
        <f t="shared" si="13"/>
        <v>0</v>
      </c>
      <c r="AF29" s="15">
        <f t="shared" si="14"/>
        <v>0</v>
      </c>
      <c r="AG29" s="16">
        <f t="shared" si="15"/>
        <v>200</v>
      </c>
      <c r="AH29" s="15">
        <f t="shared" si="16"/>
        <v>2700</v>
      </c>
      <c r="AI29" s="13">
        <v>20</v>
      </c>
      <c r="AJ29" s="13">
        <v>0</v>
      </c>
      <c r="AK29" s="15">
        <f t="shared" si="17"/>
        <v>0</v>
      </c>
      <c r="AL29" s="15">
        <f t="shared" si="18"/>
        <v>270</v>
      </c>
      <c r="AM29" s="16">
        <f t="shared" si="19"/>
        <v>180</v>
      </c>
      <c r="AN29" s="15">
        <f t="shared" si="20"/>
        <v>2430</v>
      </c>
      <c r="AO29" s="13">
        <v>0</v>
      </c>
      <c r="AP29" s="13">
        <v>0</v>
      </c>
      <c r="AQ29" s="15">
        <f t="shared" si="21"/>
        <v>0</v>
      </c>
      <c r="AR29" s="15">
        <f t="shared" si="22"/>
        <v>0</v>
      </c>
      <c r="AS29" s="16">
        <f t="shared" si="23"/>
        <v>180</v>
      </c>
      <c r="AT29" s="15">
        <f t="shared" si="24"/>
        <v>2430</v>
      </c>
      <c r="AU29" s="13">
        <v>80</v>
      </c>
      <c r="AV29" s="13">
        <v>0</v>
      </c>
      <c r="AW29" s="15">
        <f t="shared" si="25"/>
        <v>0</v>
      </c>
      <c r="AX29" s="15">
        <f t="shared" si="26"/>
        <v>1080</v>
      </c>
      <c r="AY29" s="16">
        <f t="shared" si="27"/>
        <v>100</v>
      </c>
      <c r="AZ29" s="15">
        <f t="shared" si="28"/>
        <v>1350</v>
      </c>
      <c r="BA29" s="13">
        <v>0</v>
      </c>
      <c r="BB29" s="13">
        <v>0</v>
      </c>
      <c r="BC29" s="15">
        <f t="shared" si="29"/>
        <v>0</v>
      </c>
      <c r="BD29" s="15">
        <f t="shared" si="30"/>
        <v>0</v>
      </c>
      <c r="BE29" s="16">
        <f t="shared" si="31"/>
        <v>100</v>
      </c>
      <c r="BF29" s="15">
        <f t="shared" si="32"/>
        <v>1350</v>
      </c>
      <c r="BG29" s="13">
        <v>0</v>
      </c>
      <c r="BH29" s="13">
        <v>0</v>
      </c>
      <c r="BI29" s="15">
        <f t="shared" si="33"/>
        <v>0</v>
      </c>
      <c r="BJ29" s="15">
        <f t="shared" si="34"/>
        <v>0</v>
      </c>
      <c r="BK29" s="16">
        <f t="shared" si="35"/>
        <v>100</v>
      </c>
      <c r="BL29" s="15">
        <f t="shared" si="36"/>
        <v>1350</v>
      </c>
      <c r="BM29" s="13">
        <v>0</v>
      </c>
      <c r="BN29" s="13">
        <v>0</v>
      </c>
      <c r="BO29" s="15">
        <f t="shared" si="37"/>
        <v>0</v>
      </c>
      <c r="BP29" s="15">
        <f t="shared" si="38"/>
        <v>0</v>
      </c>
      <c r="BQ29" s="16">
        <f t="shared" si="39"/>
        <v>100</v>
      </c>
      <c r="BR29" s="15">
        <f t="shared" si="40"/>
        <v>1350</v>
      </c>
      <c r="BS29" s="13">
        <v>0</v>
      </c>
      <c r="BT29" s="13">
        <v>0</v>
      </c>
      <c r="BU29" s="15">
        <f t="shared" si="41"/>
        <v>0</v>
      </c>
      <c r="BV29" s="15">
        <f t="shared" si="42"/>
        <v>0</v>
      </c>
      <c r="BW29" s="16">
        <f t="shared" si="43"/>
        <v>100</v>
      </c>
      <c r="BX29" s="15">
        <f t="shared" si="44"/>
        <v>1350</v>
      </c>
      <c r="BY29" s="13">
        <v>0</v>
      </c>
      <c r="BZ29" s="13">
        <v>0</v>
      </c>
      <c r="CA29" s="15">
        <f t="shared" si="45"/>
        <v>0</v>
      </c>
      <c r="CB29" s="15">
        <f t="shared" si="46"/>
        <v>0</v>
      </c>
      <c r="CC29" s="17">
        <f t="shared" si="48"/>
        <v>100</v>
      </c>
      <c r="CD29" s="18">
        <f t="shared" si="47"/>
        <v>1350</v>
      </c>
      <c r="CE29" s="5"/>
    </row>
    <row r="30" spans="1:83" ht="16.5">
      <c r="A30" s="12">
        <v>27</v>
      </c>
      <c r="B30" s="26" t="s">
        <v>83</v>
      </c>
      <c r="C30" s="27" t="s">
        <v>84</v>
      </c>
      <c r="D30" s="75"/>
      <c r="E30" s="75"/>
      <c r="F30" s="75"/>
      <c r="G30" s="28">
        <v>200</v>
      </c>
      <c r="H30" s="19">
        <v>13.5</v>
      </c>
      <c r="I30" s="28">
        <v>200</v>
      </c>
      <c r="J30" s="15">
        <f t="shared" si="0"/>
        <v>2700</v>
      </c>
      <c r="K30" s="13">
        <v>0</v>
      </c>
      <c r="L30" s="13">
        <v>0</v>
      </c>
      <c r="M30" s="15">
        <f t="shared" si="1"/>
        <v>0</v>
      </c>
      <c r="N30" s="15">
        <f t="shared" si="2"/>
        <v>0</v>
      </c>
      <c r="O30" s="16">
        <f t="shared" si="3"/>
        <v>200</v>
      </c>
      <c r="P30" s="15">
        <f t="shared" si="4"/>
        <v>2700</v>
      </c>
      <c r="Q30" s="13">
        <v>9</v>
      </c>
      <c r="R30" s="16">
        <v>0</v>
      </c>
      <c r="S30" s="15">
        <f t="shared" si="5"/>
        <v>0</v>
      </c>
      <c r="T30" s="15">
        <f t="shared" si="6"/>
        <v>121.5</v>
      </c>
      <c r="U30" s="16">
        <f t="shared" si="7"/>
        <v>191</v>
      </c>
      <c r="V30" s="15">
        <f t="shared" si="8"/>
        <v>2578.5</v>
      </c>
      <c r="W30" s="13">
        <v>0</v>
      </c>
      <c r="X30" s="13">
        <v>0</v>
      </c>
      <c r="Y30" s="15">
        <f t="shared" si="9"/>
        <v>0</v>
      </c>
      <c r="Z30" s="15">
        <f t="shared" si="10"/>
        <v>0</v>
      </c>
      <c r="AA30" s="16">
        <f t="shared" si="11"/>
        <v>191</v>
      </c>
      <c r="AB30" s="15">
        <f t="shared" si="12"/>
        <v>2578.5</v>
      </c>
      <c r="AC30" s="13">
        <v>0</v>
      </c>
      <c r="AD30" s="13">
        <v>0</v>
      </c>
      <c r="AE30" s="15">
        <f t="shared" si="13"/>
        <v>0</v>
      </c>
      <c r="AF30" s="15">
        <f t="shared" si="14"/>
        <v>0</v>
      </c>
      <c r="AG30" s="16">
        <f t="shared" si="15"/>
        <v>191</v>
      </c>
      <c r="AH30" s="15">
        <f t="shared" si="16"/>
        <v>2578.5</v>
      </c>
      <c r="AI30" s="13">
        <v>10</v>
      </c>
      <c r="AJ30" s="13">
        <v>0</v>
      </c>
      <c r="AK30" s="15">
        <f t="shared" si="17"/>
        <v>0</v>
      </c>
      <c r="AL30" s="15">
        <f t="shared" si="18"/>
        <v>135</v>
      </c>
      <c r="AM30" s="16">
        <f t="shared" si="19"/>
        <v>181</v>
      </c>
      <c r="AN30" s="15">
        <f t="shared" si="20"/>
        <v>2443.5</v>
      </c>
      <c r="AO30" s="13">
        <v>0</v>
      </c>
      <c r="AP30" s="13">
        <v>0</v>
      </c>
      <c r="AQ30" s="15">
        <f t="shared" si="21"/>
        <v>0</v>
      </c>
      <c r="AR30" s="15">
        <f t="shared" si="22"/>
        <v>0</v>
      </c>
      <c r="AS30" s="16">
        <f t="shared" si="23"/>
        <v>181</v>
      </c>
      <c r="AT30" s="15">
        <f t="shared" si="24"/>
        <v>2443.5</v>
      </c>
      <c r="AU30" s="13">
        <v>0</v>
      </c>
      <c r="AV30" s="13">
        <v>0</v>
      </c>
      <c r="AW30" s="15">
        <f t="shared" si="25"/>
        <v>0</v>
      </c>
      <c r="AX30" s="15">
        <f t="shared" si="26"/>
        <v>0</v>
      </c>
      <c r="AY30" s="16">
        <f t="shared" si="27"/>
        <v>181</v>
      </c>
      <c r="AZ30" s="15">
        <f t="shared" si="28"/>
        <v>2443.5</v>
      </c>
      <c r="BA30" s="13">
        <v>0</v>
      </c>
      <c r="BB30" s="13">
        <v>0</v>
      </c>
      <c r="BC30" s="15">
        <f t="shared" si="29"/>
        <v>0</v>
      </c>
      <c r="BD30" s="15">
        <f t="shared" si="30"/>
        <v>0</v>
      </c>
      <c r="BE30" s="16">
        <f t="shared" si="31"/>
        <v>181</v>
      </c>
      <c r="BF30" s="15">
        <f t="shared" si="32"/>
        <v>2443.5</v>
      </c>
      <c r="BG30" s="13">
        <v>0</v>
      </c>
      <c r="BH30" s="13">
        <v>0</v>
      </c>
      <c r="BI30" s="15">
        <f t="shared" si="33"/>
        <v>0</v>
      </c>
      <c r="BJ30" s="15">
        <f t="shared" si="34"/>
        <v>0</v>
      </c>
      <c r="BK30" s="16">
        <f t="shared" si="35"/>
        <v>181</v>
      </c>
      <c r="BL30" s="15">
        <f t="shared" si="36"/>
        <v>2443.5</v>
      </c>
      <c r="BM30" s="13">
        <v>0</v>
      </c>
      <c r="BN30" s="13">
        <v>0</v>
      </c>
      <c r="BO30" s="15">
        <f t="shared" si="37"/>
        <v>0</v>
      </c>
      <c r="BP30" s="15">
        <f t="shared" si="38"/>
        <v>0</v>
      </c>
      <c r="BQ30" s="16">
        <f t="shared" si="39"/>
        <v>181</v>
      </c>
      <c r="BR30" s="15">
        <f t="shared" si="40"/>
        <v>2443.5</v>
      </c>
      <c r="BS30" s="13">
        <v>0</v>
      </c>
      <c r="BT30" s="13">
        <v>0</v>
      </c>
      <c r="BU30" s="15">
        <f t="shared" si="41"/>
        <v>0</v>
      </c>
      <c r="BV30" s="15">
        <f t="shared" si="42"/>
        <v>0</v>
      </c>
      <c r="BW30" s="16">
        <f t="shared" si="43"/>
        <v>181</v>
      </c>
      <c r="BX30" s="15">
        <f t="shared" si="44"/>
        <v>2443.5</v>
      </c>
      <c r="BY30" s="13">
        <v>0</v>
      </c>
      <c r="BZ30" s="13">
        <v>0</v>
      </c>
      <c r="CA30" s="15">
        <f t="shared" si="45"/>
        <v>0</v>
      </c>
      <c r="CB30" s="15">
        <f t="shared" si="46"/>
        <v>0</v>
      </c>
      <c r="CC30" s="17">
        <f t="shared" si="48"/>
        <v>181</v>
      </c>
      <c r="CD30" s="18">
        <f t="shared" si="47"/>
        <v>2443.5</v>
      </c>
      <c r="CE30" s="5"/>
    </row>
    <row r="31" spans="1:83" ht="16.5">
      <c r="A31" s="12">
        <v>28</v>
      </c>
      <c r="B31" s="26" t="s">
        <v>85</v>
      </c>
      <c r="C31" s="27" t="s">
        <v>86</v>
      </c>
      <c r="D31" s="75"/>
      <c r="E31" s="75"/>
      <c r="F31" s="75"/>
      <c r="G31" s="28">
        <v>100</v>
      </c>
      <c r="H31" s="19">
        <v>13.5</v>
      </c>
      <c r="I31" s="28">
        <v>100</v>
      </c>
      <c r="J31" s="15">
        <f t="shared" si="0"/>
        <v>1350</v>
      </c>
      <c r="K31" s="13">
        <v>0</v>
      </c>
      <c r="L31" s="13">
        <v>0</v>
      </c>
      <c r="M31" s="15">
        <f t="shared" si="1"/>
        <v>0</v>
      </c>
      <c r="N31" s="15">
        <f t="shared" si="2"/>
        <v>0</v>
      </c>
      <c r="O31" s="16">
        <f t="shared" si="3"/>
        <v>100</v>
      </c>
      <c r="P31" s="15">
        <f t="shared" si="4"/>
        <v>1350</v>
      </c>
      <c r="Q31" s="13">
        <v>5</v>
      </c>
      <c r="R31" s="16">
        <v>0</v>
      </c>
      <c r="S31" s="15">
        <f t="shared" si="5"/>
        <v>0</v>
      </c>
      <c r="T31" s="15">
        <f t="shared" si="6"/>
        <v>67.5</v>
      </c>
      <c r="U31" s="16">
        <f t="shared" si="7"/>
        <v>95</v>
      </c>
      <c r="V31" s="15">
        <f t="shared" si="8"/>
        <v>1282.5</v>
      </c>
      <c r="W31" s="13">
        <v>6</v>
      </c>
      <c r="X31" s="13">
        <v>0</v>
      </c>
      <c r="Y31" s="15">
        <f t="shared" si="9"/>
        <v>0</v>
      </c>
      <c r="Z31" s="15">
        <f t="shared" si="10"/>
        <v>81</v>
      </c>
      <c r="AA31" s="16">
        <f t="shared" si="11"/>
        <v>89</v>
      </c>
      <c r="AB31" s="15">
        <f t="shared" si="12"/>
        <v>1201.5</v>
      </c>
      <c r="AC31" s="13">
        <v>1</v>
      </c>
      <c r="AD31" s="13">
        <v>0</v>
      </c>
      <c r="AE31" s="15">
        <f t="shared" si="13"/>
        <v>0</v>
      </c>
      <c r="AF31" s="15">
        <f t="shared" si="14"/>
        <v>13.5</v>
      </c>
      <c r="AG31" s="16">
        <f t="shared" si="15"/>
        <v>88</v>
      </c>
      <c r="AH31" s="15">
        <f t="shared" si="16"/>
        <v>1188</v>
      </c>
      <c r="AI31" s="13">
        <v>7</v>
      </c>
      <c r="AJ31" s="13">
        <v>0</v>
      </c>
      <c r="AK31" s="15">
        <f t="shared" si="17"/>
        <v>0</v>
      </c>
      <c r="AL31" s="15">
        <f t="shared" si="18"/>
        <v>94.5</v>
      </c>
      <c r="AM31" s="16">
        <f t="shared" si="19"/>
        <v>81</v>
      </c>
      <c r="AN31" s="15">
        <f t="shared" si="20"/>
        <v>1093.5</v>
      </c>
      <c r="AO31" s="13">
        <v>0</v>
      </c>
      <c r="AP31" s="13">
        <v>0</v>
      </c>
      <c r="AQ31" s="15">
        <f t="shared" si="21"/>
        <v>0</v>
      </c>
      <c r="AR31" s="15">
        <f t="shared" si="22"/>
        <v>0</v>
      </c>
      <c r="AS31" s="16">
        <f t="shared" si="23"/>
        <v>81</v>
      </c>
      <c r="AT31" s="15">
        <f t="shared" si="24"/>
        <v>1093.5</v>
      </c>
      <c r="AU31" s="13">
        <v>0</v>
      </c>
      <c r="AV31" s="13">
        <v>0</v>
      </c>
      <c r="AW31" s="15">
        <f t="shared" si="25"/>
        <v>0</v>
      </c>
      <c r="AX31" s="15">
        <f t="shared" si="26"/>
        <v>0</v>
      </c>
      <c r="AY31" s="16">
        <f t="shared" si="27"/>
        <v>81</v>
      </c>
      <c r="AZ31" s="67">
        <f t="shared" si="28"/>
        <v>1093.5</v>
      </c>
      <c r="BA31" s="68">
        <v>0</v>
      </c>
      <c r="BB31" s="68">
        <v>0</v>
      </c>
      <c r="BC31" s="67">
        <f t="shared" si="29"/>
        <v>0</v>
      </c>
      <c r="BD31" s="67">
        <f t="shared" si="30"/>
        <v>0</v>
      </c>
      <c r="BE31" s="66">
        <f t="shared" si="31"/>
        <v>81</v>
      </c>
      <c r="BF31" s="67">
        <f t="shared" si="32"/>
        <v>1093.5</v>
      </c>
      <c r="BG31" s="68">
        <v>0</v>
      </c>
      <c r="BH31" s="68">
        <v>0</v>
      </c>
      <c r="BI31" s="67">
        <f t="shared" si="33"/>
        <v>0</v>
      </c>
      <c r="BJ31" s="67">
        <f t="shared" si="34"/>
        <v>0</v>
      </c>
      <c r="BK31" s="66">
        <f t="shared" si="35"/>
        <v>81</v>
      </c>
      <c r="BL31" s="67">
        <f t="shared" si="36"/>
        <v>1093.5</v>
      </c>
      <c r="BM31" s="68">
        <v>0</v>
      </c>
      <c r="BN31" s="68">
        <v>0</v>
      </c>
      <c r="BO31" s="67">
        <f t="shared" si="37"/>
        <v>0</v>
      </c>
      <c r="BP31" s="67">
        <f t="shared" si="38"/>
        <v>0</v>
      </c>
      <c r="BQ31" s="66">
        <f t="shared" si="39"/>
        <v>81</v>
      </c>
      <c r="BR31" s="67">
        <f t="shared" si="40"/>
        <v>1093.5</v>
      </c>
      <c r="BS31" s="68">
        <v>0</v>
      </c>
      <c r="BT31" s="68">
        <v>0</v>
      </c>
      <c r="BU31" s="67">
        <f t="shared" si="41"/>
        <v>0</v>
      </c>
      <c r="BV31" s="67">
        <f t="shared" si="42"/>
        <v>0</v>
      </c>
      <c r="BW31" s="66">
        <f t="shared" si="43"/>
        <v>81</v>
      </c>
      <c r="BX31" s="67">
        <f t="shared" si="44"/>
        <v>1093.5</v>
      </c>
      <c r="BY31" s="68">
        <v>0</v>
      </c>
      <c r="BZ31" s="68">
        <v>0</v>
      </c>
      <c r="CA31" s="67">
        <f t="shared" si="45"/>
        <v>0</v>
      </c>
      <c r="CB31" s="67">
        <f t="shared" si="46"/>
        <v>0</v>
      </c>
      <c r="CC31" s="69">
        <f t="shared" si="48"/>
        <v>81</v>
      </c>
      <c r="CD31" s="70">
        <f t="shared" si="47"/>
        <v>1093.5</v>
      </c>
      <c r="CE31" s="5"/>
    </row>
    <row r="32" spans="1:83" ht="16.5">
      <c r="A32" s="12">
        <v>29</v>
      </c>
      <c r="B32" s="26" t="s">
        <v>87</v>
      </c>
      <c r="C32" s="27" t="s">
        <v>88</v>
      </c>
      <c r="D32" s="30"/>
      <c r="E32" s="30"/>
      <c r="F32" s="30"/>
      <c r="G32" s="28">
        <v>373</v>
      </c>
      <c r="H32" s="19">
        <v>2.5</v>
      </c>
      <c r="I32" s="28">
        <v>373</v>
      </c>
      <c r="J32" s="15">
        <f t="shared" si="0"/>
        <v>932.5</v>
      </c>
      <c r="K32" s="13">
        <v>7</v>
      </c>
      <c r="L32" s="13">
        <v>0</v>
      </c>
      <c r="M32" s="15">
        <f t="shared" si="1"/>
        <v>0</v>
      </c>
      <c r="N32" s="15">
        <f t="shared" si="2"/>
        <v>17.5</v>
      </c>
      <c r="O32" s="16">
        <f t="shared" si="3"/>
        <v>366</v>
      </c>
      <c r="P32" s="15">
        <f t="shared" si="4"/>
        <v>915</v>
      </c>
      <c r="Q32" s="13">
        <v>0</v>
      </c>
      <c r="R32" s="16">
        <v>0</v>
      </c>
      <c r="S32" s="15">
        <f t="shared" si="5"/>
        <v>0</v>
      </c>
      <c r="T32" s="15">
        <f t="shared" si="6"/>
        <v>0</v>
      </c>
      <c r="U32" s="16">
        <f t="shared" si="7"/>
        <v>366</v>
      </c>
      <c r="V32" s="15">
        <f t="shared" si="8"/>
        <v>915</v>
      </c>
      <c r="W32" s="13">
        <v>0</v>
      </c>
      <c r="X32" s="13">
        <v>0</v>
      </c>
      <c r="Y32" s="15">
        <f t="shared" si="9"/>
        <v>0</v>
      </c>
      <c r="Z32" s="15">
        <f t="shared" si="10"/>
        <v>0</v>
      </c>
      <c r="AA32" s="66">
        <f t="shared" si="11"/>
        <v>366</v>
      </c>
      <c r="AB32" s="67">
        <f t="shared" si="12"/>
        <v>915</v>
      </c>
      <c r="AC32" s="68">
        <v>1</v>
      </c>
      <c r="AD32" s="68">
        <v>0</v>
      </c>
      <c r="AE32" s="67">
        <f t="shared" si="13"/>
        <v>0</v>
      </c>
      <c r="AF32" s="67">
        <f t="shared" si="14"/>
        <v>2.5</v>
      </c>
      <c r="AG32" s="66">
        <f t="shared" si="15"/>
        <v>365</v>
      </c>
      <c r="AH32" s="67">
        <f t="shared" si="16"/>
        <v>912.5</v>
      </c>
      <c r="AI32" s="68">
        <v>0</v>
      </c>
      <c r="AJ32" s="68">
        <v>0</v>
      </c>
      <c r="AK32" s="67">
        <f t="shared" si="17"/>
        <v>0</v>
      </c>
      <c r="AL32" s="67">
        <f t="shared" si="18"/>
        <v>0</v>
      </c>
      <c r="AM32" s="66">
        <f t="shared" si="19"/>
        <v>365</v>
      </c>
      <c r="AN32" s="67">
        <f t="shared" si="20"/>
        <v>912.5</v>
      </c>
      <c r="AO32" s="68">
        <v>0</v>
      </c>
      <c r="AP32" s="68">
        <v>0</v>
      </c>
      <c r="AQ32" s="67">
        <f t="shared" si="21"/>
        <v>0</v>
      </c>
      <c r="AR32" s="67">
        <f t="shared" si="22"/>
        <v>0</v>
      </c>
      <c r="AS32" s="66">
        <f t="shared" si="23"/>
        <v>365</v>
      </c>
      <c r="AT32" s="67">
        <f t="shared" si="24"/>
        <v>912.5</v>
      </c>
      <c r="AU32" s="68">
        <v>0</v>
      </c>
      <c r="AV32" s="68">
        <v>0</v>
      </c>
      <c r="AW32" s="67">
        <f t="shared" si="25"/>
        <v>0</v>
      </c>
      <c r="AX32" s="67">
        <f t="shared" si="26"/>
        <v>0</v>
      </c>
      <c r="AY32" s="72">
        <f t="shared" si="27"/>
        <v>365</v>
      </c>
      <c r="AZ32" s="63">
        <f t="shared" si="28"/>
        <v>912.5</v>
      </c>
      <c r="BA32" s="64">
        <v>48</v>
      </c>
      <c r="BB32" s="64">
        <v>0</v>
      </c>
      <c r="BC32" s="63">
        <f t="shared" si="29"/>
        <v>0</v>
      </c>
      <c r="BD32" s="63">
        <f t="shared" si="30"/>
        <v>120</v>
      </c>
      <c r="BE32" s="62">
        <f t="shared" si="31"/>
        <v>317</v>
      </c>
      <c r="BF32" s="63">
        <f t="shared" si="32"/>
        <v>792.5</v>
      </c>
      <c r="BG32" s="64">
        <v>0</v>
      </c>
      <c r="BH32" s="64">
        <v>0</v>
      </c>
      <c r="BI32" s="63">
        <f t="shared" si="33"/>
        <v>0</v>
      </c>
      <c r="BJ32" s="63">
        <f t="shared" si="34"/>
        <v>0</v>
      </c>
      <c r="BK32" s="62">
        <f t="shared" si="35"/>
        <v>317</v>
      </c>
      <c r="BL32" s="63">
        <f t="shared" si="36"/>
        <v>792.5</v>
      </c>
      <c r="BM32" s="64">
        <v>0</v>
      </c>
      <c r="BN32" s="64">
        <v>0</v>
      </c>
      <c r="BO32" s="63">
        <f t="shared" si="37"/>
        <v>0</v>
      </c>
      <c r="BP32" s="63">
        <f t="shared" si="38"/>
        <v>0</v>
      </c>
      <c r="BQ32" s="62">
        <f t="shared" si="39"/>
        <v>317</v>
      </c>
      <c r="BR32" s="63">
        <f t="shared" si="40"/>
        <v>792.5</v>
      </c>
      <c r="BS32" s="64">
        <v>0</v>
      </c>
      <c r="BT32" s="64">
        <v>0</v>
      </c>
      <c r="BU32" s="63">
        <f t="shared" si="41"/>
        <v>0</v>
      </c>
      <c r="BV32" s="63">
        <f t="shared" si="42"/>
        <v>0</v>
      </c>
      <c r="BW32" s="62">
        <f t="shared" si="43"/>
        <v>317</v>
      </c>
      <c r="BX32" s="63">
        <f t="shared" si="44"/>
        <v>792.5</v>
      </c>
      <c r="BY32" s="64">
        <v>0</v>
      </c>
      <c r="BZ32" s="64">
        <v>0</v>
      </c>
      <c r="CA32" s="63">
        <f t="shared" si="45"/>
        <v>0</v>
      </c>
      <c r="CB32" s="63">
        <f t="shared" si="46"/>
        <v>0</v>
      </c>
      <c r="CC32" s="62">
        <f t="shared" si="48"/>
        <v>317</v>
      </c>
      <c r="CD32" s="63">
        <f t="shared" si="47"/>
        <v>792.5</v>
      </c>
      <c r="CE32" s="5"/>
    </row>
    <row r="33" spans="1:83" ht="16.5">
      <c r="A33" s="12">
        <v>30</v>
      </c>
      <c r="B33" s="26" t="s">
        <v>89</v>
      </c>
      <c r="C33" s="60" t="s">
        <v>90</v>
      </c>
      <c r="D33" s="1"/>
      <c r="E33" s="1"/>
      <c r="F33" s="1"/>
      <c r="G33" s="37"/>
      <c r="H33" s="61">
        <v>15</v>
      </c>
      <c r="I33" s="37"/>
      <c r="J33" s="15"/>
      <c r="K33" s="37"/>
      <c r="L33" s="37"/>
      <c r="M33" s="15"/>
      <c r="N33" s="15"/>
      <c r="O33" s="38"/>
      <c r="P33" s="15"/>
      <c r="Q33" s="37"/>
      <c r="R33" s="38"/>
      <c r="S33" s="15"/>
      <c r="T33" s="15"/>
      <c r="U33" s="38"/>
      <c r="V33" s="15"/>
      <c r="W33" s="37"/>
      <c r="X33" s="37"/>
      <c r="Y33" s="15"/>
      <c r="Z33" s="65"/>
      <c r="AA33" s="62"/>
      <c r="AB33" s="63"/>
      <c r="AC33" s="64"/>
      <c r="AD33" s="64"/>
      <c r="AE33" s="63"/>
      <c r="AF33" s="63"/>
      <c r="AG33" s="62"/>
      <c r="AH33" s="63"/>
      <c r="AI33" s="64"/>
      <c r="AJ33" s="64"/>
      <c r="AK33" s="63"/>
      <c r="AL33" s="63"/>
      <c r="AM33" s="62"/>
      <c r="AN33" s="63"/>
      <c r="AO33" s="64"/>
      <c r="AP33" s="64"/>
      <c r="AQ33" s="63"/>
      <c r="AR33" s="63"/>
      <c r="AS33" s="62"/>
      <c r="AT33" s="63"/>
      <c r="AU33" s="64"/>
      <c r="AV33" s="64"/>
      <c r="AW33" s="63"/>
      <c r="AX33" s="63"/>
      <c r="AY33" s="73">
        <v>0</v>
      </c>
      <c r="AZ33" s="63"/>
      <c r="BA33" s="64">
        <v>100</v>
      </c>
      <c r="BB33" s="64">
        <v>100</v>
      </c>
      <c r="BC33" s="63">
        <f>BB33*H33</f>
        <v>1500</v>
      </c>
      <c r="BD33" s="63">
        <f>BA33*H33</f>
        <v>1500</v>
      </c>
      <c r="BE33" s="62">
        <f>AY33-BA33+BB33</f>
        <v>0</v>
      </c>
      <c r="BF33" s="63">
        <f>BE33*H33</f>
        <v>0</v>
      </c>
      <c r="BG33" s="64">
        <v>0</v>
      </c>
      <c r="BH33" s="64">
        <v>0</v>
      </c>
      <c r="BI33" s="63"/>
      <c r="BJ33" s="63"/>
      <c r="BK33" s="62"/>
      <c r="BL33" s="63"/>
      <c r="BM33" s="64"/>
      <c r="BN33" s="64"/>
      <c r="BO33" s="63"/>
      <c r="BP33" s="63"/>
      <c r="BQ33" s="62"/>
      <c r="BR33" s="63"/>
      <c r="BS33" s="64"/>
      <c r="BT33" s="64"/>
      <c r="BU33" s="63"/>
      <c r="BV33" s="63"/>
      <c r="BW33" s="62"/>
      <c r="BX33" s="63"/>
      <c r="BY33" s="64"/>
      <c r="BZ33" s="64"/>
      <c r="CA33" s="63"/>
      <c r="CB33" s="63"/>
      <c r="CC33" s="62"/>
      <c r="CD33" s="63"/>
      <c r="CE33" s="5"/>
    </row>
    <row r="34" spans="1:83" ht="16.5">
      <c r="A34" s="12">
        <v>31</v>
      </c>
      <c r="B34" s="26" t="s">
        <v>91</v>
      </c>
      <c r="C34" s="60" t="s">
        <v>92</v>
      </c>
      <c r="D34" s="1"/>
      <c r="E34" s="1"/>
      <c r="F34" s="1"/>
      <c r="G34" s="37"/>
      <c r="H34" s="19">
        <v>11.7</v>
      </c>
      <c r="I34" s="37"/>
      <c r="J34" s="15"/>
      <c r="K34" s="37"/>
      <c r="L34" s="37"/>
      <c r="M34" s="15"/>
      <c r="N34" s="15"/>
      <c r="O34" s="38"/>
      <c r="P34" s="15"/>
      <c r="Q34" s="37"/>
      <c r="R34" s="38"/>
      <c r="S34" s="15"/>
      <c r="T34" s="15"/>
      <c r="U34" s="38"/>
      <c r="V34" s="15"/>
      <c r="W34" s="37"/>
      <c r="X34" s="37"/>
      <c r="Y34" s="15"/>
      <c r="Z34" s="65"/>
      <c r="AA34" s="62"/>
      <c r="AB34" s="63"/>
      <c r="AC34" s="64"/>
      <c r="AD34" s="64"/>
      <c r="AE34" s="63"/>
      <c r="AF34" s="63"/>
      <c r="AG34" s="62"/>
      <c r="AH34" s="63"/>
      <c r="AI34" s="64"/>
      <c r="AJ34" s="64"/>
      <c r="AK34" s="63"/>
      <c r="AL34" s="63"/>
      <c r="AM34" s="62"/>
      <c r="AN34" s="63"/>
      <c r="AO34" s="64"/>
      <c r="AP34" s="64"/>
      <c r="AQ34" s="63"/>
      <c r="AR34" s="63"/>
      <c r="AS34" s="62"/>
      <c r="AT34" s="63"/>
      <c r="AU34" s="64"/>
      <c r="AV34" s="64"/>
      <c r="AW34" s="63"/>
      <c r="AX34" s="63"/>
      <c r="AY34" s="73">
        <v>0</v>
      </c>
      <c r="AZ34" s="63"/>
      <c r="BA34" s="64">
        <v>100</v>
      </c>
      <c r="BB34" s="64">
        <v>100</v>
      </c>
      <c r="BC34" s="63">
        <f t="shared" si="29"/>
        <v>1170</v>
      </c>
      <c r="BD34" s="63">
        <f t="shared" si="30"/>
        <v>1170</v>
      </c>
      <c r="BE34" s="62">
        <f t="shared" si="31"/>
        <v>0</v>
      </c>
      <c r="BF34" s="63">
        <f t="shared" si="32"/>
        <v>0</v>
      </c>
      <c r="BG34" s="64">
        <v>0</v>
      </c>
      <c r="BH34" s="64">
        <v>0</v>
      </c>
      <c r="BI34" s="63"/>
      <c r="BJ34" s="63"/>
      <c r="BK34" s="62"/>
      <c r="BL34" s="63"/>
      <c r="BM34" s="64"/>
      <c r="BN34" s="64"/>
      <c r="BO34" s="63"/>
      <c r="BP34" s="63"/>
      <c r="BQ34" s="62"/>
      <c r="BR34" s="63"/>
      <c r="BS34" s="64"/>
      <c r="BT34" s="64"/>
      <c r="BU34" s="63"/>
      <c r="BV34" s="63"/>
      <c r="BW34" s="62"/>
      <c r="BX34" s="63"/>
      <c r="BY34" s="64"/>
      <c r="BZ34" s="64"/>
      <c r="CA34" s="63"/>
      <c r="CB34" s="63"/>
      <c r="CC34" s="62"/>
      <c r="CD34" s="63"/>
      <c r="CE34" s="5"/>
    </row>
    <row r="35" spans="1:83" ht="16.5">
      <c r="A35" s="12">
        <v>32</v>
      </c>
      <c r="B35" s="26" t="s">
        <v>93</v>
      </c>
      <c r="C35" s="29" t="s">
        <v>94</v>
      </c>
      <c r="D35" s="1"/>
      <c r="E35" s="1"/>
      <c r="F35" s="1"/>
      <c r="G35" s="37"/>
      <c r="H35" s="19">
        <v>2.7</v>
      </c>
      <c r="I35" s="37"/>
      <c r="J35" s="15"/>
      <c r="K35" s="37"/>
      <c r="L35" s="37"/>
      <c r="M35" s="15"/>
      <c r="N35" s="15"/>
      <c r="O35" s="38"/>
      <c r="P35" s="15"/>
      <c r="Q35" s="37"/>
      <c r="R35" s="38"/>
      <c r="S35" s="15"/>
      <c r="T35" s="15"/>
      <c r="U35" s="38"/>
      <c r="V35" s="15"/>
      <c r="W35" s="37"/>
      <c r="X35" s="37"/>
      <c r="Y35" s="15"/>
      <c r="Z35" s="65"/>
      <c r="AA35" s="62"/>
      <c r="AB35" s="63"/>
      <c r="AC35" s="64"/>
      <c r="AD35" s="64"/>
      <c r="AE35" s="63"/>
      <c r="AF35" s="63"/>
      <c r="AG35" s="62"/>
      <c r="AH35" s="63"/>
      <c r="AI35" s="64"/>
      <c r="AJ35" s="64"/>
      <c r="AK35" s="63"/>
      <c r="AL35" s="63"/>
      <c r="AM35" s="62"/>
      <c r="AN35" s="63"/>
      <c r="AO35" s="64"/>
      <c r="AP35" s="64"/>
      <c r="AQ35" s="63"/>
      <c r="AR35" s="63"/>
      <c r="AS35" s="62"/>
      <c r="AT35" s="63"/>
      <c r="AU35" s="64"/>
      <c r="AV35" s="64"/>
      <c r="AW35" s="63"/>
      <c r="AX35" s="63"/>
      <c r="AY35" s="73">
        <v>0</v>
      </c>
      <c r="AZ35" s="63"/>
      <c r="BA35" s="64">
        <v>100</v>
      </c>
      <c r="BB35" s="64">
        <v>100</v>
      </c>
      <c r="BC35" s="63">
        <f t="shared" si="29"/>
        <v>270</v>
      </c>
      <c r="BD35" s="63">
        <f t="shared" si="30"/>
        <v>270</v>
      </c>
      <c r="BE35" s="62">
        <f t="shared" si="31"/>
        <v>0</v>
      </c>
      <c r="BF35" s="63">
        <f t="shared" si="32"/>
        <v>0</v>
      </c>
      <c r="BG35" s="64">
        <v>0</v>
      </c>
      <c r="BH35" s="64">
        <v>0</v>
      </c>
      <c r="BI35" s="63"/>
      <c r="BJ35" s="63"/>
      <c r="BK35" s="62"/>
      <c r="BL35" s="63"/>
      <c r="BM35" s="64"/>
      <c r="BN35" s="64"/>
      <c r="BO35" s="63"/>
      <c r="BP35" s="63"/>
      <c r="BQ35" s="62"/>
      <c r="BR35" s="63"/>
      <c r="BS35" s="64"/>
      <c r="BT35" s="64"/>
      <c r="BU35" s="63"/>
      <c r="BV35" s="63"/>
      <c r="BW35" s="62"/>
      <c r="BX35" s="63"/>
      <c r="BY35" s="64"/>
      <c r="BZ35" s="64"/>
      <c r="CA35" s="63"/>
      <c r="CB35" s="63"/>
      <c r="CC35" s="62"/>
      <c r="CD35" s="63"/>
      <c r="CE35" s="5"/>
    </row>
    <row r="36" spans="1:83" ht="16.5">
      <c r="A36" s="12">
        <v>33</v>
      </c>
      <c r="B36" s="26" t="s">
        <v>95</v>
      </c>
      <c r="C36" s="27" t="s">
        <v>96</v>
      </c>
      <c r="D36" s="1"/>
      <c r="E36" s="1"/>
      <c r="F36" s="1"/>
      <c r="G36" s="37"/>
      <c r="H36" s="19">
        <v>3.5</v>
      </c>
      <c r="I36" s="37"/>
      <c r="J36" s="15"/>
      <c r="K36" s="37"/>
      <c r="L36" s="37"/>
      <c r="M36" s="15"/>
      <c r="N36" s="15"/>
      <c r="O36" s="38"/>
      <c r="P36" s="15"/>
      <c r="Q36" s="37"/>
      <c r="R36" s="38"/>
      <c r="S36" s="15"/>
      <c r="T36" s="15"/>
      <c r="U36" s="38"/>
      <c r="V36" s="15"/>
      <c r="W36" s="37"/>
      <c r="X36" s="37"/>
      <c r="Y36" s="15"/>
      <c r="Z36" s="65"/>
      <c r="AA36" s="62"/>
      <c r="AB36" s="63"/>
      <c r="AC36" s="64"/>
      <c r="AD36" s="64"/>
      <c r="AE36" s="63"/>
      <c r="AF36" s="63"/>
      <c r="AG36" s="62"/>
      <c r="AH36" s="63"/>
      <c r="AI36" s="64"/>
      <c r="AJ36" s="64"/>
      <c r="AK36" s="63"/>
      <c r="AL36" s="63"/>
      <c r="AM36" s="62"/>
      <c r="AN36" s="63"/>
      <c r="AO36" s="64"/>
      <c r="AP36" s="64"/>
      <c r="AQ36" s="63"/>
      <c r="AR36" s="63"/>
      <c r="AS36" s="62"/>
      <c r="AT36" s="63"/>
      <c r="AU36" s="64"/>
      <c r="AV36" s="64"/>
      <c r="AW36" s="63"/>
      <c r="AX36" s="63"/>
      <c r="AY36" s="73">
        <v>0</v>
      </c>
      <c r="AZ36" s="63"/>
      <c r="BA36" s="64">
        <v>100</v>
      </c>
      <c r="BB36" s="64">
        <v>100</v>
      </c>
      <c r="BC36" s="63">
        <f t="shared" si="29"/>
        <v>350</v>
      </c>
      <c r="BD36" s="63">
        <f t="shared" si="30"/>
        <v>350</v>
      </c>
      <c r="BE36" s="62">
        <f t="shared" si="31"/>
        <v>0</v>
      </c>
      <c r="BF36" s="63">
        <f t="shared" si="32"/>
        <v>0</v>
      </c>
      <c r="BG36" s="64">
        <v>0</v>
      </c>
      <c r="BH36" s="64">
        <v>0</v>
      </c>
      <c r="BI36" s="63"/>
      <c r="BJ36" s="63"/>
      <c r="BK36" s="62"/>
      <c r="BL36" s="63"/>
      <c r="BM36" s="64"/>
      <c r="BN36" s="64"/>
      <c r="BO36" s="63"/>
      <c r="BP36" s="63"/>
      <c r="BQ36" s="62"/>
      <c r="BR36" s="63"/>
      <c r="BS36" s="64"/>
      <c r="BT36" s="64"/>
      <c r="BU36" s="63"/>
      <c r="BV36" s="63"/>
      <c r="BW36" s="62"/>
      <c r="BX36" s="63"/>
      <c r="BY36" s="64"/>
      <c r="BZ36" s="64"/>
      <c r="CA36" s="63"/>
      <c r="CB36" s="63"/>
      <c r="CC36" s="62"/>
      <c r="CD36" s="63"/>
      <c r="CE36" s="5"/>
    </row>
    <row r="37" spans="1:83" ht="16.5">
      <c r="A37" s="12">
        <v>34</v>
      </c>
      <c r="B37" s="26" t="s">
        <v>97</v>
      </c>
      <c r="C37" s="27" t="s">
        <v>98</v>
      </c>
      <c r="D37" s="1"/>
      <c r="E37" s="1"/>
      <c r="F37" s="1"/>
      <c r="G37" s="37"/>
      <c r="H37" s="19">
        <v>16</v>
      </c>
      <c r="I37" s="37"/>
      <c r="J37" s="15"/>
      <c r="K37" s="37"/>
      <c r="L37" s="37"/>
      <c r="M37" s="15"/>
      <c r="N37" s="15"/>
      <c r="O37" s="38"/>
      <c r="P37" s="15"/>
      <c r="Q37" s="37"/>
      <c r="R37" s="38"/>
      <c r="S37" s="15"/>
      <c r="T37" s="15"/>
      <c r="U37" s="38"/>
      <c r="V37" s="15"/>
      <c r="W37" s="37"/>
      <c r="X37" s="37"/>
      <c r="Y37" s="15"/>
      <c r="Z37" s="65"/>
      <c r="AA37" s="62"/>
      <c r="AB37" s="63"/>
      <c r="AC37" s="64"/>
      <c r="AD37" s="64"/>
      <c r="AE37" s="63"/>
      <c r="AF37" s="63"/>
      <c r="AG37" s="62"/>
      <c r="AH37" s="63"/>
      <c r="AI37" s="64"/>
      <c r="AJ37" s="64"/>
      <c r="AK37" s="63"/>
      <c r="AL37" s="63"/>
      <c r="AM37" s="62"/>
      <c r="AN37" s="63"/>
      <c r="AO37" s="64"/>
      <c r="AP37" s="64"/>
      <c r="AQ37" s="63"/>
      <c r="AR37" s="63"/>
      <c r="AS37" s="62"/>
      <c r="AT37" s="63"/>
      <c r="AU37" s="64"/>
      <c r="AV37" s="64"/>
      <c r="AW37" s="63"/>
      <c r="AX37" s="63"/>
      <c r="AY37" s="73">
        <v>0</v>
      </c>
      <c r="AZ37" s="63"/>
      <c r="BA37" s="64">
        <v>100</v>
      </c>
      <c r="BB37" s="64">
        <v>100</v>
      </c>
      <c r="BC37" s="63">
        <f t="shared" si="29"/>
        <v>1600</v>
      </c>
      <c r="BD37" s="63">
        <f t="shared" si="30"/>
        <v>1600</v>
      </c>
      <c r="BE37" s="62">
        <f t="shared" si="31"/>
        <v>0</v>
      </c>
      <c r="BF37" s="63">
        <f t="shared" si="32"/>
        <v>0</v>
      </c>
      <c r="BG37" s="64">
        <v>0</v>
      </c>
      <c r="BH37" s="64">
        <v>0</v>
      </c>
      <c r="BI37" s="63"/>
      <c r="BJ37" s="63"/>
      <c r="BK37" s="62"/>
      <c r="BL37" s="63"/>
      <c r="BM37" s="64"/>
      <c r="BN37" s="64"/>
      <c r="BO37" s="63"/>
      <c r="BP37" s="63"/>
      <c r="BQ37" s="62"/>
      <c r="BR37" s="63"/>
      <c r="BS37" s="64"/>
      <c r="BT37" s="64"/>
      <c r="BU37" s="63"/>
      <c r="BV37" s="63"/>
      <c r="BW37" s="62"/>
      <c r="BX37" s="63"/>
      <c r="BY37" s="64"/>
      <c r="BZ37" s="64"/>
      <c r="CA37" s="63"/>
      <c r="CB37" s="63"/>
      <c r="CC37" s="62"/>
      <c r="CD37" s="63"/>
      <c r="CE37" s="5"/>
    </row>
    <row r="38" spans="1:83" ht="16.5">
      <c r="A38" s="12">
        <v>35</v>
      </c>
      <c r="B38" s="26" t="s">
        <v>99</v>
      </c>
      <c r="C38" s="29" t="s">
        <v>100</v>
      </c>
      <c r="D38" s="1"/>
      <c r="E38" s="1"/>
      <c r="F38" s="1"/>
      <c r="G38" s="37"/>
      <c r="H38" s="19">
        <v>5.6</v>
      </c>
      <c r="I38" s="37"/>
      <c r="J38" s="15"/>
      <c r="K38" s="37"/>
      <c r="L38" s="37"/>
      <c r="M38" s="15"/>
      <c r="N38" s="15"/>
      <c r="O38" s="38"/>
      <c r="P38" s="15"/>
      <c r="Q38" s="37"/>
      <c r="R38" s="38"/>
      <c r="S38" s="15"/>
      <c r="T38" s="15"/>
      <c r="U38" s="38"/>
      <c r="V38" s="15"/>
      <c r="W38" s="37"/>
      <c r="X38" s="37"/>
      <c r="Y38" s="15"/>
      <c r="Z38" s="65"/>
      <c r="AA38" s="62"/>
      <c r="AB38" s="63"/>
      <c r="AC38" s="64"/>
      <c r="AD38" s="64"/>
      <c r="AE38" s="63"/>
      <c r="AF38" s="63"/>
      <c r="AG38" s="62"/>
      <c r="AH38" s="63"/>
      <c r="AI38" s="64"/>
      <c r="AJ38" s="64"/>
      <c r="AK38" s="63"/>
      <c r="AL38" s="63"/>
      <c r="AM38" s="62"/>
      <c r="AN38" s="63"/>
      <c r="AO38" s="64"/>
      <c r="AP38" s="64"/>
      <c r="AQ38" s="63"/>
      <c r="AR38" s="63"/>
      <c r="AS38" s="62"/>
      <c r="AT38" s="63"/>
      <c r="AU38" s="64"/>
      <c r="AV38" s="64"/>
      <c r="AW38" s="63"/>
      <c r="AX38" s="63"/>
      <c r="AY38" s="73">
        <v>0</v>
      </c>
      <c r="AZ38" s="63"/>
      <c r="BA38" s="64">
        <v>100</v>
      </c>
      <c r="BB38" s="64">
        <v>100</v>
      </c>
      <c r="BC38" s="63">
        <f t="shared" si="29"/>
        <v>560</v>
      </c>
      <c r="BD38" s="63">
        <f t="shared" si="30"/>
        <v>560</v>
      </c>
      <c r="BE38" s="62">
        <f t="shared" si="31"/>
        <v>0</v>
      </c>
      <c r="BF38" s="63">
        <f t="shared" si="32"/>
        <v>0</v>
      </c>
      <c r="BG38" s="64">
        <v>0</v>
      </c>
      <c r="BH38" s="64">
        <v>0</v>
      </c>
      <c r="BI38" s="63"/>
      <c r="BJ38" s="63"/>
      <c r="BK38" s="62"/>
      <c r="BL38" s="63"/>
      <c r="BM38" s="64"/>
      <c r="BN38" s="64"/>
      <c r="BO38" s="63"/>
      <c r="BP38" s="63"/>
      <c r="BQ38" s="62"/>
      <c r="BR38" s="63"/>
      <c r="BS38" s="64"/>
      <c r="BT38" s="64"/>
      <c r="BU38" s="63"/>
      <c r="BV38" s="63"/>
      <c r="BW38" s="62"/>
      <c r="BX38" s="63"/>
      <c r="BY38" s="64"/>
      <c r="BZ38" s="64"/>
      <c r="CA38" s="63"/>
      <c r="CB38" s="63"/>
      <c r="CC38" s="62"/>
      <c r="CD38" s="63"/>
      <c r="CE38" s="5"/>
    </row>
    <row r="39" spans="1:83" ht="16.5">
      <c r="A39" s="1"/>
      <c r="B39" s="1"/>
      <c r="C39" s="31"/>
      <c r="D39" s="32"/>
      <c r="E39" s="32"/>
      <c r="F39" s="32"/>
      <c r="G39" s="57"/>
      <c r="H39" s="33"/>
      <c r="I39" s="58"/>
      <c r="J39" s="34">
        <f>SUM(J4:J32)</f>
        <v>48130.999999999993</v>
      </c>
      <c r="K39" s="35"/>
      <c r="L39" s="36">
        <f>SUM(L4:L31)</f>
        <v>0</v>
      </c>
      <c r="M39" s="34">
        <f>SUM(M4:M31)</f>
        <v>0</v>
      </c>
      <c r="N39" s="34">
        <f>SUM(N4:N32)</f>
        <v>1879</v>
      </c>
      <c r="O39" s="59"/>
      <c r="P39" s="34">
        <f>SUM(P4:P32)</f>
        <v>46252</v>
      </c>
      <c r="Q39" s="37"/>
      <c r="R39" s="38">
        <f>SUM(R4:R31)</f>
        <v>0</v>
      </c>
      <c r="S39" s="34">
        <f>SUM(S4:S31)</f>
        <v>0</v>
      </c>
      <c r="T39" s="34">
        <f>SUM(T4:T32)</f>
        <v>1517.1999999999998</v>
      </c>
      <c r="U39" s="59"/>
      <c r="V39" s="34">
        <f>SUM(V4:V32)</f>
        <v>44734.799999999996</v>
      </c>
      <c r="W39" s="35"/>
      <c r="X39" s="36">
        <f>SUM(X4:X31)</f>
        <v>0</v>
      </c>
      <c r="Y39" s="34">
        <f>SUM(Y4:Y32)</f>
        <v>0</v>
      </c>
      <c r="Z39" s="34">
        <f>SUM(Z4:Z38)</f>
        <v>798.3</v>
      </c>
      <c r="AA39" s="35"/>
      <c r="AB39" s="34">
        <f>SUM(AB4:AB38)</f>
        <v>43936.5</v>
      </c>
      <c r="AC39" s="35"/>
      <c r="AD39" s="36">
        <f>SUM(AD4:AD31)</f>
        <v>0</v>
      </c>
      <c r="AE39" s="34">
        <f>SUM(AE4:AE32)</f>
        <v>0</v>
      </c>
      <c r="AF39" s="34">
        <f>SUM(AF4:AF32)</f>
        <v>35</v>
      </c>
      <c r="AG39" s="35"/>
      <c r="AH39" s="34">
        <f>SUM(AH4:AH32)</f>
        <v>43901.500000000007</v>
      </c>
      <c r="AI39" s="37"/>
      <c r="AJ39" s="37">
        <f>SUM(AJ4:AJ31)</f>
        <v>0</v>
      </c>
      <c r="AK39" s="34">
        <f>SUM(AK4:AK31)</f>
        <v>0</v>
      </c>
      <c r="AL39" s="34">
        <f>SUM(AL4:AL31)</f>
        <v>1514.5</v>
      </c>
      <c r="AM39" s="35"/>
      <c r="AN39" s="34">
        <f>SUM(AN4:AN32)</f>
        <v>42387.000000000007</v>
      </c>
      <c r="AO39" s="35"/>
      <c r="AP39" s="36">
        <f>SUM(AP4:AP31)</f>
        <v>0</v>
      </c>
      <c r="AQ39" s="34">
        <f>SUM(AQ4:AQ31)</f>
        <v>0</v>
      </c>
      <c r="AR39" s="34">
        <f>SUM(AR4:AR31)</f>
        <v>3876.9</v>
      </c>
      <c r="AS39" s="35"/>
      <c r="AT39" s="34">
        <f>SUM(AT4:AT32)</f>
        <v>38510.100000000006</v>
      </c>
      <c r="AU39" s="35"/>
      <c r="AV39" s="36">
        <f>SUM(AV4:AV31)</f>
        <v>0</v>
      </c>
      <c r="AW39" s="39">
        <f>SUM(AW4:AW31)</f>
        <v>0</v>
      </c>
      <c r="AX39" s="39">
        <f>SUM(AX4:AX31)</f>
        <v>1545.8</v>
      </c>
      <c r="AY39" s="40"/>
      <c r="AZ39" s="41">
        <f>SUM(AZ4:AZ38)</f>
        <v>36964.300000000003</v>
      </c>
      <c r="BA39" s="40"/>
      <c r="BB39" s="42">
        <f>SUM(BB4:BB38)</f>
        <v>600</v>
      </c>
      <c r="BC39" s="39">
        <f>SUM(BC4:BC31)</f>
        <v>0</v>
      </c>
      <c r="BD39" s="39">
        <f>SUM(BD4:BD38)</f>
        <v>6448.5</v>
      </c>
      <c r="BE39" s="38"/>
      <c r="BF39" s="71">
        <f>SUM(BF4:BF38)</f>
        <v>35965.800000000003</v>
      </c>
      <c r="BG39" s="37"/>
      <c r="BH39" s="37"/>
      <c r="BI39" s="39">
        <f>SUM(BI4:BI38)</f>
        <v>0</v>
      </c>
      <c r="BJ39" s="39">
        <f>SUM(BJ4:BJ38)</f>
        <v>0</v>
      </c>
      <c r="BK39" s="40"/>
      <c r="BL39" s="41">
        <f>SUM(BL4:BL38)</f>
        <v>35965.800000000003</v>
      </c>
      <c r="BM39" s="40"/>
      <c r="BN39" s="40"/>
      <c r="BO39" s="43">
        <f>SUM(BO4:BO32)</f>
        <v>0</v>
      </c>
      <c r="BP39" s="43">
        <f>SUM(BP4:BP32)</f>
        <v>0</v>
      </c>
      <c r="BQ39" s="40"/>
      <c r="BR39" s="41">
        <f>SUM(BR4:BR32)</f>
        <v>35965.800000000003</v>
      </c>
      <c r="BS39" s="40"/>
      <c r="BT39" s="40"/>
      <c r="BU39" s="39">
        <f>SUM(BU4:BU31)</f>
        <v>0</v>
      </c>
      <c r="BV39" s="43">
        <f>SUM(BV4:BV32)</f>
        <v>0</v>
      </c>
      <c r="BW39" s="40"/>
      <c r="BX39" s="41">
        <f>SUM(BX4:BX32)</f>
        <v>35965.800000000003</v>
      </c>
      <c r="BY39" s="40"/>
      <c r="BZ39" s="40"/>
      <c r="CA39" s="39">
        <f>SUM(CA4:CA31)</f>
        <v>0</v>
      </c>
      <c r="CB39" s="43">
        <f>SUM(CB4:CB32)</f>
        <v>0</v>
      </c>
      <c r="CC39" s="40"/>
      <c r="CD39" s="40">
        <f>SUM(CD4:CD32)</f>
        <v>35965.800000000003</v>
      </c>
      <c r="CE39" s="44"/>
    </row>
    <row r="40" spans="1:83" ht="16.5">
      <c r="A40" s="1"/>
      <c r="B40" s="1"/>
      <c r="C40" s="31"/>
      <c r="D40" s="32"/>
      <c r="E40" s="32"/>
      <c r="F40" s="32"/>
      <c r="G40" s="57">
        <f>SUM(G4:G39)</f>
        <v>5225</v>
      </c>
      <c r="H40" s="33">
        <f>SUM(H4:H39)</f>
        <v>886.1</v>
      </c>
      <c r="I40" s="58"/>
      <c r="J40" s="43"/>
      <c r="K40" s="35"/>
      <c r="L40" s="35"/>
      <c r="M40" s="43"/>
      <c r="N40" s="43"/>
      <c r="O40" s="59"/>
      <c r="P40" s="43"/>
      <c r="Q40" s="37"/>
      <c r="R40" s="38"/>
      <c r="S40" s="43"/>
      <c r="T40" s="43"/>
      <c r="U40" s="59"/>
      <c r="V40" s="43"/>
      <c r="W40" s="35"/>
      <c r="X40" s="35"/>
      <c r="Y40" s="43"/>
      <c r="Z40" s="43"/>
      <c r="AA40" s="35"/>
      <c r="AB40" s="43"/>
      <c r="AC40" s="35"/>
      <c r="AD40" s="35"/>
      <c r="AE40" s="43"/>
      <c r="AF40" s="43"/>
      <c r="AG40" s="35"/>
      <c r="AH40" s="43"/>
      <c r="AI40" s="37"/>
      <c r="AJ40" s="37"/>
      <c r="AK40" s="43"/>
      <c r="AL40" s="43"/>
      <c r="AM40" s="35"/>
      <c r="AN40" s="43"/>
      <c r="AO40" s="35"/>
      <c r="AP40" s="35"/>
      <c r="AQ40" s="43"/>
      <c r="AR40" s="43"/>
      <c r="AS40" s="35"/>
      <c r="AT40" s="43"/>
      <c r="AU40" s="35"/>
      <c r="AV40" s="35"/>
      <c r="AW40" s="39"/>
      <c r="AX40" s="39"/>
      <c r="AY40" s="40"/>
      <c r="AZ40" s="39"/>
      <c r="BA40" s="40"/>
      <c r="BB40" s="40"/>
      <c r="BC40" s="39"/>
      <c r="BD40" s="39"/>
      <c r="BE40" s="40"/>
      <c r="BF40" s="39"/>
      <c r="BG40" s="40"/>
      <c r="BH40" s="40"/>
      <c r="BI40" s="39"/>
      <c r="BJ40" s="39"/>
      <c r="BK40" s="40"/>
      <c r="BL40" s="39"/>
      <c r="BM40" s="40"/>
      <c r="BN40" s="40"/>
      <c r="BO40" s="43"/>
      <c r="BP40" s="43"/>
      <c r="BQ40" s="40"/>
      <c r="BR40" s="39"/>
      <c r="BS40" s="40"/>
      <c r="BT40" s="40"/>
      <c r="BU40" s="39"/>
      <c r="BV40" s="39"/>
      <c r="BW40" s="40"/>
      <c r="BX40" s="39"/>
      <c r="BY40" s="40"/>
      <c r="BZ40" s="40"/>
      <c r="CA40" s="39"/>
      <c r="CB40" s="39"/>
      <c r="CC40" s="45">
        <f>SUM(CC4:CC39)</f>
        <v>4058</v>
      </c>
      <c r="CD40" s="40"/>
      <c r="CE40" s="44"/>
    </row>
    <row r="41" spans="1:83" ht="16.5">
      <c r="A41" s="1"/>
      <c r="B41" s="1"/>
      <c r="C41" s="1"/>
      <c r="D41" s="6"/>
      <c r="E41" s="6"/>
      <c r="F41" s="6"/>
      <c r="G41" s="1"/>
      <c r="H41" s="33"/>
      <c r="I41" s="1"/>
      <c r="J41" s="7"/>
      <c r="K41" s="1"/>
      <c r="L41" s="1"/>
      <c r="M41" s="7"/>
      <c r="N41" s="7"/>
      <c r="O41" s="1"/>
      <c r="P41" s="7"/>
      <c r="Q41" s="1"/>
      <c r="R41" s="1"/>
      <c r="S41" s="7"/>
      <c r="T41" s="7"/>
      <c r="U41" s="1"/>
      <c r="V41" s="7"/>
      <c r="W41" s="1"/>
      <c r="X41" s="1"/>
      <c r="Y41" s="7"/>
      <c r="Z41" s="7"/>
      <c r="AA41" s="1"/>
      <c r="AB41" s="7"/>
      <c r="AC41" s="1"/>
      <c r="AD41" s="1"/>
      <c r="AE41" s="7"/>
      <c r="AF41" s="7"/>
      <c r="AG41" s="1"/>
      <c r="AH41" s="7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5"/>
    </row>
    <row r="42" spans="1:83" ht="16.5">
      <c r="A42" s="1"/>
      <c r="B42" s="1"/>
      <c r="C42" s="32"/>
      <c r="D42" s="6"/>
      <c r="E42" s="6"/>
      <c r="F42" s="6"/>
      <c r="G42" s="1"/>
      <c r="H42" s="7"/>
      <c r="I42" s="1">
        <f>SUM(I4:I41)</f>
        <v>5225</v>
      </c>
      <c r="J42" s="7"/>
      <c r="K42" s="1"/>
      <c r="L42" s="1"/>
      <c r="M42" s="7"/>
      <c r="N42" s="7">
        <f>J39+M39-N39</f>
        <v>46251.999999999993</v>
      </c>
      <c r="O42" s="1"/>
      <c r="P42" s="7"/>
      <c r="Q42" s="1"/>
      <c r="R42" s="1"/>
      <c r="S42" s="7"/>
      <c r="T42" s="7">
        <f>P39+S39-T39</f>
        <v>44734.8</v>
      </c>
      <c r="U42" s="1"/>
      <c r="V42" s="7"/>
      <c r="W42" s="1"/>
      <c r="X42" s="1"/>
      <c r="Y42" s="7"/>
      <c r="Z42" s="7">
        <f>V39+Y39-Z39</f>
        <v>43936.499999999993</v>
      </c>
      <c r="AA42" s="1"/>
      <c r="AB42" s="7"/>
      <c r="AC42" s="1"/>
      <c r="AD42" s="1"/>
      <c r="AE42" s="7"/>
      <c r="AF42" s="7">
        <f>AB39+AE39-AF39</f>
        <v>43901.5</v>
      </c>
      <c r="AG42" s="1"/>
      <c r="AH42" s="7"/>
      <c r="AI42" s="1"/>
      <c r="AJ42" s="1"/>
      <c r="AK42" s="1"/>
      <c r="AL42" s="46">
        <f>AH39+AK39-AL39</f>
        <v>42387.000000000007</v>
      </c>
      <c r="AM42" s="1"/>
      <c r="AN42" s="1"/>
      <c r="AO42" s="1"/>
      <c r="AP42" s="1"/>
      <c r="AQ42" s="1"/>
      <c r="AR42" s="46">
        <f>AN39+AQ39-AR39</f>
        <v>38510.100000000006</v>
      </c>
      <c r="AS42" s="1"/>
      <c r="AT42" s="1"/>
      <c r="AU42" s="1"/>
      <c r="AV42" s="1"/>
      <c r="AW42" s="1"/>
      <c r="AX42" s="46">
        <f>AT39+AW39-AX39</f>
        <v>36964.300000000003</v>
      </c>
      <c r="AY42" s="1"/>
      <c r="AZ42" s="1"/>
      <c r="BA42" s="1"/>
      <c r="BB42" s="1"/>
      <c r="BC42" s="1"/>
      <c r="BD42" s="46">
        <f>AZ39+BC39-BD39</f>
        <v>30515.800000000003</v>
      </c>
      <c r="BE42" s="1"/>
      <c r="BF42" s="1"/>
      <c r="BG42" s="1"/>
      <c r="BH42" s="1"/>
      <c r="BI42" s="46">
        <f>SUM(AW4,BC4,BI4)</f>
        <v>0</v>
      </c>
      <c r="BJ42" s="46">
        <f>BF39+BI39-BJ39</f>
        <v>35965.800000000003</v>
      </c>
      <c r="BK42" s="1"/>
      <c r="BL42" s="1"/>
      <c r="BM42" s="1"/>
      <c r="BN42" s="1"/>
      <c r="BO42" s="1"/>
      <c r="BP42" s="46">
        <f>BL39+BO39-BP39</f>
        <v>35965.800000000003</v>
      </c>
      <c r="BQ42" s="1"/>
      <c r="BR42" s="1"/>
      <c r="BS42" s="1"/>
      <c r="BT42" s="1"/>
      <c r="BU42" s="1"/>
      <c r="BV42" s="46">
        <f>BR39+BU39-BV39</f>
        <v>35965.800000000003</v>
      </c>
      <c r="BW42" s="1"/>
      <c r="BX42" s="1"/>
      <c r="BY42" s="1"/>
      <c r="BZ42" s="1"/>
      <c r="CA42" s="1"/>
      <c r="CB42" s="46">
        <f>BX39+CA39-CB39</f>
        <v>35965.800000000003</v>
      </c>
      <c r="CC42" s="1"/>
      <c r="CD42" s="1"/>
      <c r="CE42" s="5"/>
    </row>
    <row r="43" spans="1:83" ht="16.5">
      <c r="A43" s="1"/>
      <c r="B43" s="1"/>
      <c r="C43" s="6"/>
      <c r="D43" s="6"/>
      <c r="E43" s="6"/>
      <c r="F43" s="6"/>
      <c r="G43" s="1"/>
      <c r="H43" s="7"/>
      <c r="I43" s="1"/>
      <c r="J43" s="7"/>
      <c r="K43" s="1"/>
      <c r="L43" s="1"/>
      <c r="M43" s="7"/>
      <c r="N43" s="7"/>
      <c r="O43" s="1"/>
      <c r="P43" s="7"/>
      <c r="Q43" s="1"/>
      <c r="R43" s="1"/>
      <c r="S43" s="7"/>
      <c r="T43" s="7"/>
      <c r="U43" s="1"/>
      <c r="V43" s="7"/>
      <c r="W43" s="1"/>
      <c r="X43" s="1"/>
      <c r="Y43" s="7">
        <f>Y39+S39+M39</f>
        <v>0</v>
      </c>
      <c r="Z43" s="7">
        <f>(Z39+T39+N39)</f>
        <v>4194.5</v>
      </c>
      <c r="AA43" s="1"/>
      <c r="AB43" s="7"/>
      <c r="AC43" s="1"/>
      <c r="AD43" s="1"/>
      <c r="AE43" s="7"/>
      <c r="AF43" s="7"/>
      <c r="AG43" s="1"/>
      <c r="AH43" s="7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5"/>
    </row>
    <row r="44" spans="1:83" ht="16.5">
      <c r="A44" s="1"/>
      <c r="B44" s="1"/>
      <c r="C44" s="47"/>
      <c r="D44" s="47"/>
      <c r="E44" s="47"/>
      <c r="F44" s="47"/>
      <c r="G44" s="1"/>
      <c r="H44" s="7"/>
      <c r="I44" s="1"/>
      <c r="J44" s="7"/>
      <c r="K44" s="1"/>
      <c r="L44" s="1"/>
      <c r="M44" s="7"/>
      <c r="N44" s="7"/>
      <c r="O44" s="1"/>
      <c r="P44" s="7"/>
      <c r="Q44" s="1"/>
      <c r="R44" s="1"/>
      <c r="S44" s="7"/>
      <c r="T44" s="7"/>
      <c r="U44" s="2"/>
      <c r="V44" s="35"/>
      <c r="W44" s="1"/>
      <c r="X44" s="1"/>
      <c r="Y44" s="7"/>
      <c r="Z44" s="7"/>
      <c r="AA44" s="1"/>
      <c r="AB44" s="7"/>
      <c r="AC44" s="46"/>
      <c r="AD44" s="1"/>
      <c r="AE44" s="7"/>
      <c r="AF44" s="7"/>
      <c r="AG44" s="1"/>
      <c r="AH44" s="7"/>
      <c r="AI44" s="1"/>
      <c r="AJ44" s="1"/>
      <c r="AK44" s="1"/>
      <c r="AL44" s="1"/>
      <c r="AM44" s="1"/>
      <c r="AN44" s="1"/>
      <c r="AO44" s="1"/>
      <c r="AP44" s="1"/>
      <c r="AQ44" s="46">
        <f>SUM(AE39,AK39,AQ39)</f>
        <v>0</v>
      </c>
      <c r="AR44" s="46">
        <f>SUM(AF39,AL39,AR39)</f>
        <v>5426.4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 t="s">
        <v>101</v>
      </c>
      <c r="BI44" s="46" t="s">
        <v>102</v>
      </c>
      <c r="BJ44" s="46">
        <f>SUM(AX39+BD39+BJ39)</f>
        <v>7994.3</v>
      </c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5"/>
    </row>
    <row r="45" spans="1:83" ht="16.5">
      <c r="A45" s="1"/>
      <c r="B45" s="1"/>
      <c r="C45" s="6"/>
      <c r="D45" s="6"/>
      <c r="E45" s="6"/>
      <c r="F45" s="47" t="s">
        <v>103</v>
      </c>
      <c r="G45" s="1"/>
      <c r="H45" s="7"/>
      <c r="I45" s="1"/>
      <c r="J45" s="48"/>
      <c r="K45" s="1"/>
      <c r="L45" s="1"/>
      <c r="M45" s="7"/>
      <c r="N45" s="7"/>
      <c r="O45" s="1"/>
      <c r="P45" s="7"/>
      <c r="Q45" s="1"/>
      <c r="R45" s="1"/>
      <c r="S45" s="7"/>
      <c r="T45" s="7"/>
      <c r="U45" s="1"/>
      <c r="V45" s="7"/>
      <c r="W45" s="1"/>
      <c r="X45" s="1"/>
      <c r="Y45" s="7"/>
      <c r="Z45" s="7"/>
      <c r="AA45" s="1"/>
      <c r="AB45" s="7"/>
      <c r="AC45" s="43"/>
      <c r="AD45" s="1"/>
      <c r="AE45" s="7"/>
      <c r="AF45" s="7"/>
      <c r="AG45" s="1"/>
      <c r="AH45" s="7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46">
        <f>+SUM(BA39+BG39+AU39)</f>
        <v>0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5"/>
    </row>
    <row r="46" spans="1:83" ht="16.5">
      <c r="A46" s="1"/>
      <c r="B46" s="1"/>
      <c r="C46" s="6"/>
      <c r="D46" s="6"/>
      <c r="E46" s="6"/>
      <c r="F46" s="47" t="s">
        <v>104</v>
      </c>
      <c r="G46" s="1"/>
      <c r="H46" s="7"/>
      <c r="I46" s="1"/>
      <c r="J46" s="7"/>
      <c r="K46" s="1"/>
      <c r="L46" s="1"/>
      <c r="M46" s="7"/>
      <c r="N46" s="7"/>
      <c r="O46" s="1"/>
      <c r="P46" s="7"/>
      <c r="Q46" s="1"/>
      <c r="R46" s="1"/>
      <c r="S46" s="7"/>
      <c r="T46" s="7"/>
      <c r="U46" s="1"/>
      <c r="V46" s="7"/>
      <c r="W46" s="1"/>
      <c r="X46" s="1"/>
      <c r="Y46" s="7"/>
      <c r="Z46" s="7"/>
      <c r="AA46" s="1"/>
      <c r="AB46" s="7"/>
      <c r="AC46" s="46"/>
      <c r="AD46" s="1"/>
      <c r="AE46" s="7"/>
      <c r="AF46" s="7"/>
      <c r="AG46" s="1"/>
      <c r="AH46" s="7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5"/>
    </row>
    <row r="47" spans="1:83">
      <c r="A47" s="49"/>
      <c r="H47" s="50"/>
      <c r="CE47" s="51"/>
    </row>
    <row r="48" spans="1:83">
      <c r="A48" s="49"/>
      <c r="H48" s="50"/>
      <c r="CE48" s="51"/>
    </row>
    <row r="49" spans="1:83">
      <c r="A49" s="49"/>
      <c r="H49" s="50"/>
      <c r="CE49" s="51"/>
    </row>
  </sheetData>
  <mergeCells count="36">
    <mergeCell ref="BI1:BJ1"/>
    <mergeCell ref="A2:A3"/>
    <mergeCell ref="B2:B3"/>
    <mergeCell ref="C2:C3"/>
    <mergeCell ref="D2:D3"/>
    <mergeCell ref="E2:E3"/>
    <mergeCell ref="I2:N2"/>
    <mergeCell ref="O2:T2"/>
    <mergeCell ref="U2:Z2"/>
    <mergeCell ref="AQ1:AR1"/>
    <mergeCell ref="B1:H1"/>
    <mergeCell ref="BK2:BP2"/>
    <mergeCell ref="BQ2:BV2"/>
    <mergeCell ref="BW2:CB2"/>
    <mergeCell ref="CC2:CC3"/>
    <mergeCell ref="D14:D15"/>
    <mergeCell ref="E14:E15"/>
    <mergeCell ref="F14:F15"/>
    <mergeCell ref="AA2:AF2"/>
    <mergeCell ref="AG2:AL2"/>
    <mergeCell ref="AM2:AR2"/>
    <mergeCell ref="AS2:AX2"/>
    <mergeCell ref="AY2:BD2"/>
    <mergeCell ref="BE2:BJ2"/>
    <mergeCell ref="F2:F3"/>
    <mergeCell ref="G2:G3"/>
    <mergeCell ref="H2:H3"/>
    <mergeCell ref="D28:D31"/>
    <mergeCell ref="E28:E31"/>
    <mergeCell ref="F28:F31"/>
    <mergeCell ref="D24:D25"/>
    <mergeCell ref="E24:E25"/>
    <mergeCell ref="F24:F25"/>
    <mergeCell ref="D26:D27"/>
    <mergeCell ref="E26:E27"/>
    <mergeCell ref="F26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47CF918F2C540B2FD6B1932754768" ma:contentTypeVersion="22" ma:contentTypeDescription="Create a new document." ma:contentTypeScope="" ma:versionID="6109cb98feaa9094800620d763e23211">
  <xsd:schema xmlns:xsd="http://www.w3.org/2001/XMLSchema" xmlns:xs="http://www.w3.org/2001/XMLSchema" xmlns:p="http://schemas.microsoft.com/office/2006/metadata/properties" xmlns:ns2="aa641f1a-dc85-4a7c-9f95-1e5859195ca7" xmlns:ns3="896fa755-5038-4296-908d-761936ad479f" targetNamespace="http://schemas.microsoft.com/office/2006/metadata/properties" ma:root="true" ma:fieldsID="2db36fe924bfc44e2f5f4e228e6a7107" ns2:_="" ns3:_="">
    <xsd:import namespace="aa641f1a-dc85-4a7c-9f95-1e5859195ca7"/>
    <xsd:import namespace="896fa755-5038-4296-908d-761936ad47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41f1a-dc85-4a7c-9f95-1e5859195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68aa35-819b-428a-be07-d7a28ecccd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fa755-5038-4296-908d-761936ad479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92a5576-adff-453b-ab60-b2887ab49628}" ma:internalName="TaxCatchAll" ma:showField="CatchAllData" ma:web="896fa755-5038-4296-908d-761936ad47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641f1a-dc85-4a7c-9f95-1e5859195ca7">
      <Terms xmlns="http://schemas.microsoft.com/office/infopath/2007/PartnerControls"/>
    </lcf76f155ced4ddcb4097134ff3c332f>
    <TaxCatchAll xmlns="896fa755-5038-4296-908d-761936ad479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23839F-AA74-4BE4-A9DE-8398D48F5204}"/>
</file>

<file path=customXml/itemProps2.xml><?xml version="1.0" encoding="utf-8"?>
<ds:datastoreItem xmlns:ds="http://schemas.openxmlformats.org/officeDocument/2006/customXml" ds:itemID="{37D7AAB4-A2C8-4765-A5A0-9569AE9A4A15}"/>
</file>

<file path=customXml/itemProps3.xml><?xml version="1.0" encoding="utf-8"?>
<ds:datastoreItem xmlns:ds="http://schemas.openxmlformats.org/officeDocument/2006/customXml" ds:itemID="{D6FFE268-1245-4D1E-A393-E39C8555D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Mohamad Firdaus Jamil</dc:creator>
  <cp:keywords/>
  <dc:description/>
  <cp:lastModifiedBy>Mohamad Firdaus Jamil</cp:lastModifiedBy>
  <cp:revision/>
  <dcterms:created xsi:type="dcterms:W3CDTF">2026-02-10T06:21:29Z</dcterms:created>
  <dcterms:modified xsi:type="dcterms:W3CDTF">2026-09-13T07:13:31Z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0x010100F5B47CF918F2C540B2FD6B1932754768</vt:lpwstr>
  </property>
  <property fmtid="{D5CDD505-2E9C-101B-9397-08002B2CF9AE}" pid="3" name="MediaServiceImageTags">
    <vt:lpwstr/>
  </property>
</Properties>
</file>